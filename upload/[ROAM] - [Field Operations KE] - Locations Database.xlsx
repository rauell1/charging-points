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ve data" sheetId="1" r:id="rId5"/>
    <sheet state="hidden" name="RK - KE - NBI" sheetId="2" r:id="rId6"/>
    <sheet state="hidden" name="KE County Codes" sheetId="3" r:id="rId7"/>
    <sheet state="visible" name="FO Project Code" sheetId="4" r:id="rId8"/>
    <sheet state="visible" name="RH - KE" sheetId="5" r:id="rId9"/>
    <sheet state="visible" name="RP - KE" sheetId="6" r:id="rId10"/>
    <sheet state="visible" name="RN - KE - NBI" sheetId="7" r:id="rId11"/>
    <sheet state="visible" name="EVSEID" sheetId="8" r:id="rId12"/>
    <sheet state="visible" name="Labels HubSlots" sheetId="9" r:id="rId13"/>
    <sheet state="visible" name="Labels Charger" sheetId="10" r:id="rId14"/>
    <sheet state="visible" name="EMEIs" sheetId="11" r:id="rId15"/>
    <sheet state="visible" name="List of Chargers" sheetId="12" r:id="rId16"/>
    <sheet state="visible" name="List of Till Numbers" sheetId="13" r:id="rId17"/>
    <sheet state="hidden" name="Sheet15" sheetId="14" r:id="rId18"/>
  </sheets>
  <definedNames>
    <definedName hidden="1" localSheetId="4" name="_xlnm._FilterDatabase">'RH - KE'!$A$2:$AS$502</definedName>
    <definedName hidden="1" localSheetId="10" name="_xlnm._FilterDatabase">EMEIs!$A$1:$C$135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tc={1d04ecf3-6c74-4e39-8ac9-008a552367c6}</author>
    <author>tc={506e0690-7b07-470d-9697-3226e953d39b}</author>
  </authors>
  <commentList>
    <comment authorId="0" xr:uid="{1d04ecf3-6c74-4e39-8ac9-008a552367c6}" ref="A1">
      <text>
        <t xml:space="preserve">[Threaded comment]
 Your version of Excel allows you to read this threaded comment; however, any edits to it will get removed if the file is opened in a newer version of Excel. Learn more: https://go.microsoft.com/fwlink/?linkid=870924
Comment:
	@habib.lukaya@roam-electric.com please add opening hours
</t>
      </text>
    </comment>
    <comment authorId="1" xr:uid="{506e0690-7b07-470d-9697-3226e953d39b}" ref="A1">
      <text>
        <t xml:space="preserve">[Threaded comment]
 Your version of Excel allows you to read this threaded comment; however, any edits to it will get removed if the file is opened in a newer version of Excel. Learn more: https://go.microsoft.com/fwlink/?linkid=870924
Comment:
	@habib.lukaya@roam-electric.com 
Let's only use NBI
Too complex to have one list per county
Let's have one list per Region.
Can you inform Finance to change everything on Dynamics?
Means that Machakos will be NBI as well
Reply:
	Once done, tab can be remove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tc={1a52d579-69de-4f36-9704-dda2b1a55223}</author>
    <author>tc={411e52ea-6796-4370-904f-0584e29f1bcb}</author>
    <author>tc={794c9f98-f00e-4d87-a60e-e59c9867ce8c}</author>
    <author>tc={80ec7e6a-08e4-4fce-8398-5cd7a499a797}</author>
    <author>tc={cb8fb129-8cbd-4cef-a78f-6f60e308bfb9}</author>
    <author>tc={cbfd3d96-9fbd-4fbd-b8dd-1b4cac34cd27}</author>
    <author>tc={d08fb9b8-b98e-4b57-b919-cb08f1c4203d}</author>
    <author>tc={f30f9c73-8372-4f4a-ae3f-e2d8f6ae078f}</author>
  </authors>
  <commentList>
    <comment authorId="0" xr:uid="{1a52d579-69de-4f36-9704-dda2b1a55223}" ref="J14">
      <text>
        <t xml:space="preserve">[Threaded comment]
 Your version of Excel allows you to read this threaded comment; however, any edits to it will get removed if the file is opened in a newer version of Excel. Learn more: https://go.microsoft.com/fwlink/?linkid=870924
Comment:
	@elisha.chesir@roam-electric.com  Kindly be adding the date  in which the hub became operational ,this guides in  the capitalisation of the hubs
Assigned to elisha.chesir@roam-electric.com
Reply:
	This hub is not yet installed, thus the absence of information
</t>
      </text>
    </comment>
    <comment authorId="1" xr:uid="{411e52ea-6796-4370-904f-0584e29f1bcb}" ref="Q1">
      <text>
        <t xml:space="preserve">[Threaded comment]
 Your version of Excel allows you to read this threaded comment; however, any edits to it will get removed if the file is opened in a newer version of Excel. Learn more: https://go.microsoft.com/fwlink/?linkid=870924
Comment:
	@romain.petiteau@roam-electric.com Who should this be. TE rep or Roam
Assigned to romain.petiteau@roam-electric.com
Reply:
	I was thinking more of TE side. our Roam Operators will move arround.
</t>
      </text>
    </comment>
    <comment authorId="2" xr:uid="{794c9f98-f00e-4d87-a60e-e59c9867ce8c}" ref="P8">
      <text>
        <t xml:space="preserve">[Threaded comment]
 Your version of Excel allows you to read this threaded comment; however, any edits to it will get removed if the file is opened in a newer version of Excel. Learn more: https://go.microsoft.com/fwlink/?linkid=870924
Comment:
	-1.419524654214477, 36.95437865147021
</t>
      </text>
    </comment>
    <comment authorId="3" xr:uid="{80ec7e6a-08e4-4fce-8398-5cd7a499a797}" ref="P10">
      <text>
        <t xml:space="preserve">[Threaded comment]
 Your version of Excel allows you to read this threaded comment; however, any edits to it will get removed if the file is opened in a newer version of Excel. Learn more: https://go.microsoft.com/fwlink/?linkid=870924
Comment:
	Wrong coordinates, allow me to edit @habib.lukaya@roam-electric.com
Assigned to habib.lukaya@roam-electric.com
Reply:
	please yes
</t>
      </text>
    </comment>
    <comment authorId="4" xr:uid="{cb8fb129-8cbd-4cef-a78f-6f60e308bfb9}" ref="Y4">
      <text>
        <t xml:space="preserve">[Threaded comment]
 Your version of Excel allows you to read this threaded comment; however, any edits to it will get removed if the file is opened in a newer version of Excel. Learn more: https://go.microsoft.com/fwlink/?linkid=870924
Comment:
	@habib.lukaya@roam-electric.com 
Please keep this database up to date.
Assigned to habib.lukaya@roam-electric.com
</t>
      </text>
    </comment>
    <comment authorId="5" xr:uid="{cbfd3d96-9fbd-4fbd-b8dd-1b4cac34cd27}" ref="AL25">
      <text>
        <t xml:space="preserve">[Threaded comment]
 Your version of Excel allows you to read this threaded comment; however, any edits to it will get removed if the file is opened in a newer version of Excel. Learn more: https://go.microsoft.com/fwlink/?linkid=870924
Comment:
	Tariff Conversion initiated waiting for Jan 2026 bill to confirm the tariff
</t>
      </text>
    </comment>
    <comment authorId="6" xr:uid="{d08fb9b8-b98e-4b57-b919-cb08f1c4203d}" ref="AL26">
      <text>
        <t xml:space="preserve">[Threaded comment]
 Your version of Excel allows you to read this threaded comment; however, any edits to it will get removed if the file is opened in a newer version of Excel. Learn more: https://go.microsoft.com/fwlink/?linkid=870924
Comment:
	Waiting for Jan 2026 for Tariff confirmation
</t>
      </text>
    </comment>
    <comment authorId="7" xr:uid="{f30f9c73-8372-4f4a-ae3f-e2d8f6ae078f}" ref="M13">
      <text>
        <t xml:space="preserve">[Threaded comment]
 Your version of Excel allows you to read this threaded comment; however, any edits to it will get removed if the file is opened in a newer version of Excel. Learn more: https://go.microsoft.com/fwlink/?linkid=870924
Comment:
	@habib.lukaya@roam-electric.com 
please don't forget to update this document as well.
Should we migrate this database on ClickUp ?
Look what we did with Juliana for our ES projects :
https://app.clickup.com/3432768/v/l/38ra0-24160
Assigned to habib.lukaya@roam-electric.com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tc={161ea4e1-d756-420e-a742-fc05f13bf8fb}</author>
  </authors>
  <commentList>
    <comment authorId="0" xr:uid="{161ea4e1-d756-420e-a742-fc05f13bf8fb}" ref="G10">
      <text>
        <t xml:space="preserve">[Threaded comment]
 Your version of Excel allows you to read this threaded comment; however, any edits to it will get removed if the file is opened in a newer version of Excel. Learn more: https://go.microsoft.com/fwlink/?linkid=870924
Comment:
	hi,at kayole we have only 11 chargers with IOT not 10.and 2 of them requires a keyword.
Reply:
	karambee we have 18 IOTS not 19.
Reply:
	Marked as resolved
Reply:
	ok
Re-opened
</t>
      </text>
    </comment>
  </commentList>
</comments>
</file>

<file path=xl/sharedStrings.xml><?xml version="1.0" encoding="utf-8"?>
<sst xmlns="http://schemas.openxmlformats.org/spreadsheetml/2006/main" count="5496" uniqueCount="927">
  <si>
    <t>id</t>
  </si>
  <si>
    <t>code</t>
  </si>
  <si>
    <t>station</t>
  </si>
  <si>
    <t>latitude</t>
  </si>
  <si>
    <t>longitude</t>
  </si>
  <si>
    <t>services</t>
  </si>
  <si>
    <t>openTime</t>
  </si>
  <si>
    <t>closeTime</t>
  </si>
  <si>
    <t>phone Number</t>
  </si>
  <si>
    <t>#RH-KE-NBI-A-01</t>
  </si>
  <si>
    <t>Lusaka Road - TotalEnergies</t>
  </si>
  <si>
    <t>Battery charging, Battery Rental</t>
  </si>
  <si>
    <t>7:00 AM</t>
  </si>
  <si>
    <t>7:00PM</t>
  </si>
  <si>
    <t>#RH-KE-NBI-A-02</t>
  </si>
  <si>
    <t>Wayaki Way - TotalEnergies</t>
  </si>
  <si>
    <t>#RH-KE-NBI-A-03</t>
  </si>
  <si>
    <t>Ngong Road - TotalEnergies</t>
  </si>
  <si>
    <t>#RP-KE-NBI-A-04</t>
  </si>
  <si>
    <t xml:space="preserve">Jogoo Road - M-KOPA Shell </t>
  </si>
  <si>
    <t>Battery Rental</t>
  </si>
  <si>
    <t>8:00 AM</t>
  </si>
  <si>
    <t>5:00 PM</t>
  </si>
  <si>
    <t>#RP-KE-NBI-A-05</t>
  </si>
  <si>
    <t xml:space="preserve">Lavington - M-KOPA Shell </t>
  </si>
  <si>
    <t>#RP-KE-NBI-A-06</t>
  </si>
  <si>
    <t xml:space="preserve">Kawangware - M-KOPA Shell </t>
  </si>
  <si>
    <t>#RH-KE-NBI-A-07</t>
  </si>
  <si>
    <t xml:space="preserve"> South C - TotalEnergies</t>
  </si>
  <si>
    <t>Battery charging</t>
  </si>
  <si>
    <t>Open 24hrs</t>
  </si>
  <si>
    <t>#RH-KE-NBI-A-08</t>
  </si>
  <si>
    <t>Outer Ring - TotalEnergies</t>
  </si>
  <si>
    <t>#RH-KE-NBI-A-09</t>
  </si>
  <si>
    <t>TotalEnergies - Ruaraka</t>
  </si>
  <si>
    <t>#RH-KE-NBI-A-10</t>
  </si>
  <si>
    <t>Coming Soon: Regen</t>
  </si>
  <si>
    <t>#RH-KE-NBI-A-11</t>
  </si>
  <si>
    <t>Coming Soon: Eastleigh</t>
  </si>
  <si>
    <t>#RH-KE-NBI-A-12</t>
  </si>
  <si>
    <t>Coming Soon: Adlife</t>
  </si>
  <si>
    <t>Site Information</t>
  </si>
  <si>
    <t>Site Manager</t>
  </si>
  <si>
    <t>Extinguishers</t>
  </si>
  <si>
    <t>Rom Hubs</t>
  </si>
  <si>
    <t>Number of Chargers</t>
  </si>
  <si>
    <t>Services</t>
  </si>
  <si>
    <t>Short Name</t>
  </si>
  <si>
    <t>Long Name</t>
  </si>
  <si>
    <t>Country</t>
  </si>
  <si>
    <t>County</t>
  </si>
  <si>
    <t>Alphabet</t>
  </si>
  <si>
    <t>No</t>
  </si>
  <si>
    <t>Roam Charger ID</t>
  </si>
  <si>
    <t>Dynamics Project Code</t>
  </si>
  <si>
    <t>Status</t>
  </si>
  <si>
    <t>Partner</t>
  </si>
  <si>
    <t>Site Name</t>
  </si>
  <si>
    <t>Charger Name</t>
  </si>
  <si>
    <t>Complete Name</t>
  </si>
  <si>
    <t>Coordinate</t>
  </si>
  <si>
    <t>Full Name</t>
  </si>
  <si>
    <t>Phone Number</t>
  </si>
  <si>
    <t>Ownership</t>
  </si>
  <si>
    <t>Operation</t>
  </si>
  <si>
    <t>Release</t>
  </si>
  <si>
    <t>Next Date of Control</t>
  </si>
  <si>
    <t>10A</t>
  </si>
  <si>
    <t>20A</t>
  </si>
  <si>
    <t>30A</t>
  </si>
  <si>
    <t>Charging</t>
  </si>
  <si>
    <t>Rental</t>
  </si>
  <si>
    <t>RK</t>
  </si>
  <si>
    <t>KE</t>
  </si>
  <si>
    <t>NBI</t>
  </si>
  <si>
    <t>A</t>
  </si>
  <si>
    <t>01</t>
  </si>
  <si>
    <t>Operational</t>
  </si>
  <si>
    <t>M-KOPA</t>
  </si>
  <si>
    <t>Shell Jogoo Road</t>
  </si>
  <si>
    <t>Roam Electric Limited</t>
  </si>
  <si>
    <t>Mkopa Kenya</t>
  </si>
  <si>
    <t>Mombasa</t>
  </si>
  <si>
    <t>02</t>
  </si>
  <si>
    <t>Shell Lavington</t>
  </si>
  <si>
    <t>03</t>
  </si>
  <si>
    <t>Shell Kawangware</t>
  </si>
  <si>
    <t>04</t>
  </si>
  <si>
    <t>Construction</t>
  </si>
  <si>
    <t>RideWell</t>
  </si>
  <si>
    <t>TotalEnergies Ruaraka</t>
  </si>
  <si>
    <t>05</t>
  </si>
  <si>
    <t>Blocked</t>
  </si>
  <si>
    <t>Mogo</t>
  </si>
  <si>
    <t>??</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</si>
  <si>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</si>
  <si>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</si>
  <si>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</si>
  <si>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</si>
  <si>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</si>
  <si>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</si>
  <si>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</si>
  <si>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</si>
  <si>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</si>
  <si>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</si>
  <si>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</si>
  <si>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</si>
  <si>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</si>
  <si>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</si>
  <si>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</si>
  <si>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</si>
  <si>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</si>
  <si>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</si>
  <si>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</si>
  <si>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</si>
  <si>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</si>
  <si>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</si>
  <si>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</si>
  <si>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</si>
  <si>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</si>
  <si>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</si>
  <si>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</si>
  <si>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</si>
  <si>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Code</t>
  </si>
  <si>
    <t>Headquarters/ capital</t>
  </si>
  <si>
    <t>Postal abbreviations</t>
  </si>
  <si>
    <t>MSA</t>
  </si>
  <si>
    <t>Kwale</t>
  </si>
  <si>
    <t>KWL</t>
  </si>
  <si>
    <t>Kilifi</t>
  </si>
  <si>
    <t>KLF</t>
  </si>
  <si>
    <t>Tana River</t>
  </si>
  <si>
    <t>Hola</t>
  </si>
  <si>
    <t>TRV</t>
  </si>
  <si>
    <t>Lamu</t>
  </si>
  <si>
    <t>LMU</t>
  </si>
  <si>
    <t>Taita–Taveta</t>
  </si>
  <si>
    <t>Mwatate</t>
  </si>
  <si>
    <t>TVT</t>
  </si>
  <si>
    <t>Garissa</t>
  </si>
  <si>
    <t>GRS</t>
  </si>
  <si>
    <t>Wajir</t>
  </si>
  <si>
    <t>WJR</t>
  </si>
  <si>
    <t>Mandera</t>
  </si>
  <si>
    <t>MDR</t>
  </si>
  <si>
    <t>Marsabit</t>
  </si>
  <si>
    <t>MRS</t>
  </si>
  <si>
    <t>Isiolo</t>
  </si>
  <si>
    <t>ISL</t>
  </si>
  <si>
    <t>Meru</t>
  </si>
  <si>
    <t>MRU</t>
  </si>
  <si>
    <t>Tharaka-Nithi</t>
  </si>
  <si>
    <t>Kathwana</t>
  </si>
  <si>
    <t>TNT</t>
  </si>
  <si>
    <t>Embu</t>
  </si>
  <si>
    <t>EMB</t>
  </si>
  <si>
    <t>Kitui</t>
  </si>
  <si>
    <t>KTU</t>
  </si>
  <si>
    <t>Machakos</t>
  </si>
  <si>
    <t>MCK</t>
  </si>
  <si>
    <t>Makueni</t>
  </si>
  <si>
    <t>Wote</t>
  </si>
  <si>
    <t>MKN</t>
  </si>
  <si>
    <t>Nyandarua</t>
  </si>
  <si>
    <t>Ol Karau</t>
  </si>
  <si>
    <t>NDR</t>
  </si>
  <si>
    <t>Nyeri</t>
  </si>
  <si>
    <t>NYR</t>
  </si>
  <si>
    <t>Kirinyaga</t>
  </si>
  <si>
    <t>Kerugoya</t>
  </si>
  <si>
    <t>KRG</t>
  </si>
  <si>
    <t>Murang'a</t>
  </si>
  <si>
    <t>MRG</t>
  </si>
  <si>
    <t>Kiambu</t>
  </si>
  <si>
    <t>KMB</t>
  </si>
  <si>
    <t>Turkana</t>
  </si>
  <si>
    <t>Lodwar</t>
  </si>
  <si>
    <t>TRK</t>
  </si>
  <si>
    <t>West Pokot</t>
  </si>
  <si>
    <t>Kapenguria</t>
  </si>
  <si>
    <t>WPK</t>
  </si>
  <si>
    <t>Samburu</t>
  </si>
  <si>
    <t>Maralal</t>
  </si>
  <si>
    <t>SBR</t>
  </si>
  <si>
    <t>Trans-Nzoia</t>
  </si>
  <si>
    <t>Kitale</t>
  </si>
  <si>
    <t>TNZ</t>
  </si>
  <si>
    <t>Uasin Gishu</t>
  </si>
  <si>
    <t>Eldoret</t>
  </si>
  <si>
    <t>UGS</t>
  </si>
  <si>
    <t>Elgeyo-Marakwet</t>
  </si>
  <si>
    <t>Iten</t>
  </si>
  <si>
    <t>EMK</t>
  </si>
  <si>
    <t>Nandi</t>
  </si>
  <si>
    <t>Kapsabet</t>
  </si>
  <si>
    <t>NDI</t>
  </si>
  <si>
    <t>Baringo</t>
  </si>
  <si>
    <t>Kabarnet</t>
  </si>
  <si>
    <t>BRG</t>
  </si>
  <si>
    <t>Laikipia</t>
  </si>
  <si>
    <t>Rumuruti</t>
  </si>
  <si>
    <t>LKP</t>
  </si>
  <si>
    <t>Nakuru</t>
  </si>
  <si>
    <t>NKR</t>
  </si>
  <si>
    <t>Narok</t>
  </si>
  <si>
    <t>NRK</t>
  </si>
  <si>
    <t>Kajiado</t>
  </si>
  <si>
    <t>KJD</t>
  </si>
  <si>
    <t>Kericho</t>
  </si>
  <si>
    <t>KRC</t>
  </si>
  <si>
    <t>Bomet</t>
  </si>
  <si>
    <t>BMT</t>
  </si>
  <si>
    <t>Kakamega</t>
  </si>
  <si>
    <t>KKG</t>
  </si>
  <si>
    <t>Vihiga</t>
  </si>
  <si>
    <t>Mbale</t>
  </si>
  <si>
    <t>VHG</t>
  </si>
  <si>
    <t>Bungoma</t>
  </si>
  <si>
    <t>BGM</t>
  </si>
  <si>
    <t>Busia</t>
  </si>
  <si>
    <t>BSA</t>
  </si>
  <si>
    <t>Siaya</t>
  </si>
  <si>
    <t>SYA</t>
  </si>
  <si>
    <t>Kisumu</t>
  </si>
  <si>
    <t>KSM</t>
  </si>
  <si>
    <t>Homa Bay</t>
  </si>
  <si>
    <t>HBY</t>
  </si>
  <si>
    <t>Migori</t>
  </si>
  <si>
    <t>MGR</t>
  </si>
  <si>
    <t>Kisii</t>
  </si>
  <si>
    <t>KSI</t>
  </si>
  <si>
    <t>Nyamira</t>
  </si>
  <si>
    <t>NMR</t>
  </si>
  <si>
    <t>Nairobi</t>
  </si>
  <si>
    <t>FO-XXX-YY#OUTLET/CHARGER-ID</t>
  </si>
  <si>
    <t>Link to Field Ops Setup from Dynamics</t>
  </si>
  <si>
    <t>FO</t>
  </si>
  <si>
    <t>Field Operation</t>
  </si>
  <si>
    <t>XXX</t>
  </si>
  <si>
    <t>Regional ISO Code</t>
  </si>
  <si>
    <t>YY</t>
  </si>
  <si>
    <t>Area Number</t>
  </si>
  <si>
    <t>EXAMPLE</t>
  </si>
  <si>
    <t>FO-NBI-01#RH-KE-NBI-A-01</t>
  </si>
  <si>
    <t>Field Operations</t>
  </si>
  <si>
    <t>Nairobi Region</t>
  </si>
  <si>
    <t>Area 01</t>
  </si>
  <si>
    <t>#</t>
  </si>
  <si>
    <t>RH</t>
  </si>
  <si>
    <t>Roam Hub</t>
  </si>
  <si>
    <t>Kenya</t>
  </si>
  <si>
    <t>Increment A</t>
  </si>
  <si>
    <t>Increment 01</t>
  </si>
  <si>
    <t>LIST OF REGIONS</t>
  </si>
  <si>
    <t>Regions</t>
  </si>
  <si>
    <t>Regions Name</t>
  </si>
  <si>
    <t>Greater Nairobi</t>
  </si>
  <si>
    <t>LIST OF AREAS</t>
  </si>
  <si>
    <t>Areas</t>
  </si>
  <si>
    <t>Prefix</t>
  </si>
  <si>
    <t>Areas Name</t>
  </si>
  <si>
    <t>Nairobi Central</t>
  </si>
  <si>
    <t>Thika</t>
  </si>
  <si>
    <t>Ngong</t>
  </si>
  <si>
    <t>Kitengela</t>
  </si>
  <si>
    <t>Rongai / Kiserian</t>
  </si>
  <si>
    <t>FIELD OPS ID</t>
  </si>
  <si>
    <t>OUTLET / ASSET ID</t>
  </si>
  <si>
    <t>Operational Hubs</t>
  </si>
  <si>
    <t>Location Type</t>
  </si>
  <si>
    <t>Serial Numbers</t>
  </si>
  <si>
    <t>Safaricom</t>
  </si>
  <si>
    <t>KPLC / Power</t>
  </si>
  <si>
    <t>Others</t>
  </si>
  <si>
    <t>Region</t>
  </si>
  <si>
    <t>Area</t>
  </si>
  <si>
    <t>Name ID</t>
  </si>
  <si>
    <t>Asset</t>
  </si>
  <si>
    <t>Launch Date</t>
  </si>
  <si>
    <t>Station Name</t>
  </si>
  <si>
    <t>After Sales</t>
  </si>
  <si>
    <t>Container</t>
  </si>
  <si>
    <t>Shop</t>
  </si>
  <si>
    <t>3P Energy Meter</t>
  </si>
  <si>
    <t>1P Energy Meter</t>
  </si>
  <si>
    <t>CCTV-interior</t>
  </si>
  <si>
    <t>CCTV-exterior</t>
  </si>
  <si>
    <t>Direct Line</t>
  </si>
  <si>
    <t>5G Router line</t>
  </si>
  <si>
    <t>Total</t>
  </si>
  <si>
    <t>Total kW</t>
  </si>
  <si>
    <t>6A</t>
  </si>
  <si>
    <t>9A</t>
  </si>
  <si>
    <t>25A</t>
  </si>
  <si>
    <t>40A</t>
  </si>
  <si>
    <t>emobility tarriff</t>
  </si>
  <si>
    <t>KPLC Meter</t>
  </si>
  <si>
    <t>KPLC Account</t>
  </si>
  <si>
    <t>Max kVA</t>
  </si>
  <si>
    <t>Battery Rack No. Battery</t>
  </si>
  <si>
    <t>Battery Rack Type</t>
  </si>
  <si>
    <t>16/01/2025</t>
  </si>
  <si>
    <t>TotalEnergies</t>
  </si>
  <si>
    <t>Outering</t>
  </si>
  <si>
    <t>-1.26955, 36.88024</t>
  </si>
  <si>
    <t>Hardley Sultan</t>
  </si>
  <si>
    <t>F30F99A0</t>
  </si>
  <si>
    <t>3BAD8FBE</t>
  </si>
  <si>
    <t>FIOJP1906000602</t>
  </si>
  <si>
    <t>FIOJP1906000499</t>
  </si>
  <si>
    <t>Yes</t>
  </si>
  <si>
    <t>Wayaki Way</t>
  </si>
  <si>
    <t>-1.258610, 36.781386</t>
  </si>
  <si>
    <t>Edwin Kimani</t>
  </si>
  <si>
    <t>Sahara Energy</t>
  </si>
  <si>
    <t xml:space="preserve">Kayole </t>
  </si>
  <si>
    <t>-1.28173, 36.9052</t>
  </si>
  <si>
    <t>Anthony Mugash</t>
  </si>
  <si>
    <t>Lusaka Road</t>
  </si>
  <si>
    <t>-1.301257, 36.833013</t>
  </si>
  <si>
    <t>Moses Masibayi</t>
  </si>
  <si>
    <t>Quickmart</t>
  </si>
  <si>
    <t>Roysambu</t>
  </si>
  <si>
    <t>-1.21521, 36.89175</t>
  </si>
  <si>
    <t>George Chege</t>
  </si>
  <si>
    <t>Sabaki</t>
  </si>
  <si>
    <t>-1.41952, 36.95438</t>
  </si>
  <si>
    <t>Shell</t>
  </si>
  <si>
    <t>Forest Road</t>
  </si>
  <si>
    <t>-1.26773, 36.83114</t>
  </si>
  <si>
    <t>Palawaan Bhadrika</t>
  </si>
  <si>
    <t>Karambee</t>
  </si>
  <si>
    <t>-1.26673, 36.84522</t>
  </si>
  <si>
    <t>Container 2</t>
  </si>
  <si>
    <t>Oryx</t>
  </si>
  <si>
    <t>Oryx Ruai</t>
  </si>
  <si>
    <t>-1.25481, 36.98606</t>
  </si>
  <si>
    <t>Stanchard</t>
  </si>
  <si>
    <t>Machakos Town</t>
  </si>
  <si>
    <t>-1.51997, 37.26909</t>
  </si>
  <si>
    <t>15/11/2025</t>
  </si>
  <si>
    <t>Rubis</t>
  </si>
  <si>
    <t>Ojijo</t>
  </si>
  <si>
    <t>-1.2671, 36.81175</t>
  </si>
  <si>
    <t>Container 3</t>
  </si>
  <si>
    <t>17/2/2025</t>
  </si>
  <si>
    <t>Roam</t>
  </si>
  <si>
    <t>Roam Park</t>
  </si>
  <si>
    <t>-1.33688, 36.8646</t>
  </si>
  <si>
    <t>28/11/2024</t>
  </si>
  <si>
    <t>Suguta</t>
  </si>
  <si>
    <t>-1.28777, 36.77884</t>
  </si>
  <si>
    <t>Nasri Sahal</t>
  </si>
  <si>
    <t>Closed</t>
  </si>
  <si>
    <t>Greenwheels</t>
  </si>
  <si>
    <t>GreenWheels HQ</t>
  </si>
  <si>
    <t>Thika Centre</t>
  </si>
  <si>
    <t>-1.03381, 37.07543</t>
  </si>
  <si>
    <t>254704 269168</t>
  </si>
  <si>
    <t>30/04/2025</t>
  </si>
  <si>
    <t>Machakos Centre</t>
  </si>
  <si>
    <t>-1.52782, 37.20929</t>
  </si>
  <si>
    <t>15/07/2025</t>
  </si>
  <si>
    <t>Narobi Regional Office</t>
  </si>
  <si>
    <t>-1.30187, 36.8332</t>
  </si>
  <si>
    <t>Roam / Ridewell</t>
  </si>
  <si>
    <t>Ngong Center</t>
  </si>
  <si>
    <t>Adam's Minimall</t>
  </si>
  <si>
    <t>-1.30085, 36.77946</t>
  </si>
  <si>
    <t>Langata</t>
  </si>
  <si>
    <t>-1.34207, 36.7639</t>
  </si>
  <si>
    <t>Trinity</t>
  </si>
  <si>
    <t>Banana</t>
  </si>
  <si>
    <t>-1.16696, 36.75373</t>
  </si>
  <si>
    <t>FIELD OPS</t>
  </si>
  <si>
    <t>Operational Points</t>
  </si>
  <si>
    <t>Roam Charge Station ID</t>
  </si>
  <si>
    <t>Yes / No</t>
  </si>
  <si>
    <t>No.</t>
  </si>
  <si>
    <t>Socket v1.2</t>
  </si>
  <si>
    <t>6kW DC 1xType 6 3P</t>
  </si>
  <si>
    <t>6kW DC 2xType 6 1P</t>
  </si>
  <si>
    <t>RP</t>
  </si>
  <si>
    <t>Anita Karambu</t>
  </si>
  <si>
    <t>Pangani 1</t>
  </si>
  <si>
    <t>-1.266212, 36.835316</t>
  </si>
  <si>
    <t>0716899985</t>
  </si>
  <si>
    <t>Edward Kinyua Kimotho</t>
  </si>
  <si>
    <t>Kariobangi North 1</t>
  </si>
  <si>
    <t>-1.2564947,36.8817722</t>
  </si>
  <si>
    <t>0790539015</t>
  </si>
  <si>
    <t>Pheliesia Kasera</t>
  </si>
  <si>
    <t>Rongai 1</t>
  </si>
  <si>
    <t>-1.3913462,36.7705494</t>
  </si>
  <si>
    <t>0705797584</t>
  </si>
  <si>
    <t>Joyce Pere</t>
  </si>
  <si>
    <t>Kitengela 1</t>
  </si>
  <si>
    <t>-1.4862217,36.9547761</t>
  </si>
  <si>
    <t>0713226840</t>
  </si>
  <si>
    <t>Mercy Nduta</t>
  </si>
  <si>
    <t>Point Mall</t>
  </si>
  <si>
    <t>-1.2936642,36.871029</t>
  </si>
  <si>
    <t>0708534944</t>
  </si>
  <si>
    <t>Archived</t>
  </si>
  <si>
    <t>John Njoki</t>
  </si>
  <si>
    <t>Kawangware 1</t>
  </si>
  <si>
    <t>-1.2944176,36.7227883</t>
  </si>
  <si>
    <t>0727990176</t>
  </si>
  <si>
    <t>Munene Mbuchi</t>
  </si>
  <si>
    <t>Ruaka 1</t>
  </si>
  <si>
    <t>-1.207359,36.7856069</t>
  </si>
  <si>
    <t>0722531006</t>
  </si>
  <si>
    <t>Peter Macharia</t>
  </si>
  <si>
    <t>Kiambu Road 1</t>
  </si>
  <si>
    <t>-1.2184234,36.8229217</t>
  </si>
  <si>
    <t>0722843770</t>
  </si>
  <si>
    <t>Ivy Cheruto</t>
  </si>
  <si>
    <t>Juja 1</t>
  </si>
  <si>
    <t>-1.0932973,37.0198771</t>
  </si>
  <si>
    <t>0700071760</t>
  </si>
  <si>
    <t>George Maina Njoroge</t>
  </si>
  <si>
    <t>Umoja 1</t>
  </si>
  <si>
    <t>-1.2785188,36.8879889</t>
  </si>
  <si>
    <t>0722958498</t>
  </si>
  <si>
    <t>Kevin Kaburu</t>
  </si>
  <si>
    <t>Marurui 1</t>
  </si>
  <si>
    <t>-1.2073934,36.8726554</t>
  </si>
  <si>
    <t>0799838826</t>
  </si>
  <si>
    <t xml:space="preserve">Kevin Njeru </t>
  </si>
  <si>
    <t>TRM Drive 1</t>
  </si>
  <si>
    <t>-1.2188724,36.8848064</t>
  </si>
  <si>
    <t>0717615283</t>
  </si>
  <si>
    <t>Andrew Murimi</t>
  </si>
  <si>
    <t>Ngara 1</t>
  </si>
  <si>
    <t>-1.2736004,36.8319322</t>
  </si>
  <si>
    <t>0722341329</t>
  </si>
  <si>
    <t>Stanley Mbugua</t>
  </si>
  <si>
    <t>Mirema Drive 1</t>
  </si>
  <si>
    <t>-1.211768, 36.889741</t>
  </si>
  <si>
    <t>0702115108</t>
  </si>
  <si>
    <t xml:space="preserve">Alcapone Lounge </t>
  </si>
  <si>
    <t>-1.231141, 36.876106</t>
  </si>
  <si>
    <t>Andrew Kamanu</t>
  </si>
  <si>
    <t>Astrol Garden City 1</t>
  </si>
  <si>
    <t>-1.229331, 36.878955</t>
  </si>
  <si>
    <t>0723944326</t>
  </si>
  <si>
    <t>Joyce Wanjiku</t>
  </si>
  <si>
    <t>Kariobangi Roundabout 1</t>
  </si>
  <si>
    <t>-1.261975, 36.877616</t>
  </si>
  <si>
    <t>0729762478</t>
  </si>
  <si>
    <t>Hans Haerdlte</t>
  </si>
  <si>
    <t>Kawangware 2</t>
  </si>
  <si>
    <t>-1.2816677,36.7414258</t>
  </si>
  <si>
    <t>0113166817</t>
  </si>
  <si>
    <t>Albert Chacha</t>
  </si>
  <si>
    <t>Kitengela 2</t>
  </si>
  <si>
    <t>-1.4771311,36.949506</t>
  </si>
  <si>
    <t>0722759516</t>
  </si>
  <si>
    <t>Joseph Mburu</t>
  </si>
  <si>
    <t>Ngara West 1</t>
  </si>
  <si>
    <t>-1.2711089,36.82049</t>
  </si>
  <si>
    <t>0705388019</t>
  </si>
  <si>
    <t>ATLAS; Harrison Wachenje</t>
  </si>
  <si>
    <t>Ruiru Bypass 1</t>
  </si>
  <si>
    <t>-1.1544773,36.9372528</t>
  </si>
  <si>
    <t>0721715326</t>
  </si>
  <si>
    <t>Utawala 1</t>
  </si>
  <si>
    <t>-1.275188,36.9717323</t>
  </si>
  <si>
    <t>0721715327</t>
  </si>
  <si>
    <t>Mihango 1</t>
  </si>
  <si>
    <t>-1.2775993,36.949089</t>
  </si>
  <si>
    <t>0721715328</t>
  </si>
  <si>
    <t>.</t>
  </si>
  <si>
    <t xml:space="preserve">Be Energy; Grace </t>
  </si>
  <si>
    <t>Ruiru 1</t>
  </si>
  <si>
    <t>-1.146381,36.956178</t>
  </si>
  <si>
    <t>0722702811</t>
  </si>
  <si>
    <t>Be Energy; Jespher</t>
  </si>
  <si>
    <t>Kiambu 1</t>
  </si>
  <si>
    <t>-1.1670501,36.8204359</t>
  </si>
  <si>
    <t>0792887023</t>
  </si>
  <si>
    <t>Be Energy; Antony</t>
  </si>
  <si>
    <t>Utawala 2</t>
  </si>
  <si>
    <t>-1.2750468,36.9698007</t>
  </si>
  <si>
    <t>0714657138</t>
  </si>
  <si>
    <t>Be Energy; Tabitha</t>
  </si>
  <si>
    <t>Kayole Junction 1</t>
  </si>
  <si>
    <t>-1.257151,36.917729</t>
  </si>
  <si>
    <t>0723332165</t>
  </si>
  <si>
    <t>Be Energy; Philips</t>
  </si>
  <si>
    <t>Ngong Racecourse 1</t>
  </si>
  <si>
    <t>-1.3067629,36.7335908</t>
  </si>
  <si>
    <t>0721561395</t>
  </si>
  <si>
    <t>Be Energy; Teddy</t>
  </si>
  <si>
    <t>Gitaru 1</t>
  </si>
  <si>
    <t>-1.2295536,36.6784509</t>
  </si>
  <si>
    <t>0798281041</t>
  </si>
  <si>
    <t>Trinity Energy; Mohammedin</t>
  </si>
  <si>
    <t>Thome 1</t>
  </si>
  <si>
    <t>-1.2052805,36.8601241</t>
  </si>
  <si>
    <t>0700106393</t>
  </si>
  <si>
    <t>Dagoretti 1</t>
  </si>
  <si>
    <t>-1.2786853,36.5486813</t>
  </si>
  <si>
    <t>0700106394</t>
  </si>
  <si>
    <t>Kelvin Kinani</t>
  </si>
  <si>
    <t>Buruburu 1</t>
  </si>
  <si>
    <t>Rimpa 1</t>
  </si>
  <si>
    <t>-1.4214276,36.69642</t>
  </si>
  <si>
    <t>0700106396</t>
  </si>
  <si>
    <t>34</t>
  </si>
  <si>
    <t>Kiserian 1</t>
  </si>
  <si>
    <t>-1.424615,36.6811616</t>
  </si>
  <si>
    <t>0700106397</t>
  </si>
  <si>
    <t>35</t>
  </si>
  <si>
    <t>Stephen Muchai</t>
  </si>
  <si>
    <t>Ruiru 2</t>
  </si>
  <si>
    <t>-1.1497653,36.9635278</t>
  </si>
  <si>
    <t>0791621171</t>
  </si>
  <si>
    <t>36</t>
  </si>
  <si>
    <t>Makadara Railway Station</t>
  </si>
  <si>
    <t>Makadara 1</t>
  </si>
  <si>
    <t>-1.2980571,36.8688626</t>
  </si>
  <si>
    <t>37</t>
  </si>
  <si>
    <t>Rosemary Kamau</t>
  </si>
  <si>
    <t>Huruma 1</t>
  </si>
  <si>
    <t>0722354603</t>
  </si>
  <si>
    <t>38</t>
  </si>
  <si>
    <t>Zacharia Ngigi</t>
  </si>
  <si>
    <t>Industrial Area 1</t>
  </si>
  <si>
    <t>-1.3078582,36.8541481</t>
  </si>
  <si>
    <t>0788100111</t>
  </si>
  <si>
    <t>39</t>
  </si>
  <si>
    <t>Brian Mwake</t>
  </si>
  <si>
    <t>Industrial Area 2</t>
  </si>
  <si>
    <t>0729881353</t>
  </si>
  <si>
    <t>40</t>
  </si>
  <si>
    <t>Joseph Cheng</t>
  </si>
  <si>
    <t>Upperhill 1</t>
  </si>
  <si>
    <t>-1.2995369,36.8076478</t>
  </si>
  <si>
    <t>0725266466</t>
  </si>
  <si>
    <t>41</t>
  </si>
  <si>
    <t>Brenda Too</t>
  </si>
  <si>
    <t>Kilimani 1</t>
  </si>
  <si>
    <t>-1.2943264,36.7546944</t>
  </si>
  <si>
    <t>0702919797</t>
  </si>
  <si>
    <t>42</t>
  </si>
  <si>
    <t>Total Energies</t>
  </si>
  <si>
    <t>Hurlingham 1</t>
  </si>
  <si>
    <t>-1.2954724,36.7991183</t>
  </si>
  <si>
    <t>43</t>
  </si>
  <si>
    <t>Sahara Energies</t>
  </si>
  <si>
    <t>Kamulu 1</t>
  </si>
  <si>
    <t>-1.2805207,37.0540711</t>
  </si>
  <si>
    <t>44</t>
  </si>
  <si>
    <t>Irene Wali</t>
  </si>
  <si>
    <t>City Mortuary 1</t>
  </si>
  <si>
    <t>-1.2991321,36.7985032</t>
  </si>
  <si>
    <t>0721985344</t>
  </si>
  <si>
    <t>45</t>
  </si>
  <si>
    <t>Thuo Richard</t>
  </si>
  <si>
    <t>Thogoto 1</t>
  </si>
  <si>
    <t>-1.2800969,36.661813</t>
  </si>
  <si>
    <t>0736112563</t>
  </si>
  <si>
    <t>46</t>
  </si>
  <si>
    <t>Vincent Kamau</t>
  </si>
  <si>
    <t>Parklands 1</t>
  </si>
  <si>
    <t>-1.2646015,36.812634</t>
  </si>
  <si>
    <t>0733773067</t>
  </si>
  <si>
    <t>47</t>
  </si>
  <si>
    <t>Moreen Mwirebua</t>
  </si>
  <si>
    <t>Kasarani 1</t>
  </si>
  <si>
    <t>-1.2178493,36.8985575</t>
  </si>
  <si>
    <t>0790504222</t>
  </si>
  <si>
    <t>48</t>
  </si>
  <si>
    <t>Nairobi County</t>
  </si>
  <si>
    <t>Outering Bus Stop</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</si>
  <si>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</si>
  <si>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</si>
  <si>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</si>
  <si>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</si>
  <si>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</si>
  <si>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</si>
  <si>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</si>
  <si>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</si>
  <si>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</si>
  <si>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</si>
  <si>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</si>
  <si>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</si>
  <si>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</si>
  <si>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</si>
  <si>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</si>
  <si>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</si>
  <si>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</si>
  <si>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</si>
  <si>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</si>
  <si>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</si>
  <si>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</si>
  <si>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</si>
  <si>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</si>
  <si>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</si>
  <si>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</si>
  <si>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</si>
  <si>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</si>
  <si>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</si>
  <si>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</si>
  <si>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</si>
  <si>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</si>
  <si>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</si>
  <si>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</si>
  <si>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</si>
  <si>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</si>
  <si>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</si>
  <si>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</si>
  <si>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</si>
  <si>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</si>
  <si>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</si>
  <si>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</si>
  <si>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</si>
  <si>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</si>
  <si>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</si>
  <si>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</si>
  <si>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</si>
  <si>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</si>
  <si>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</si>
  <si>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</si>
  <si>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</si>
  <si>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</si>
  <si>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</si>
  <si>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</si>
  <si>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</si>
  <si>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</si>
  <si>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</si>
  <si>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</si>
  <si>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</si>
  <si>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</si>
  <si>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</si>
  <si>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</si>
  <si>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</si>
  <si>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</si>
  <si>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</si>
  <si>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</si>
  <si>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</si>
  <si>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</si>
  <si>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</si>
  <si>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</si>
  <si>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</si>
  <si>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</si>
  <si>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</si>
  <si>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</si>
  <si>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</si>
  <si>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</si>
  <si>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</si>
  <si>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</si>
  <si>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</si>
  <si>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</si>
  <si>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</si>
  <si>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</si>
  <si>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</si>
  <si>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</si>
  <si>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</si>
  <si>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</si>
  <si>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</si>
  <si>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</si>
  <si>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</si>
  <si>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</si>
  <si>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</si>
  <si>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</si>
  <si>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</si>
  <si>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</si>
  <si>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</si>
  <si>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</si>
  <si>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</si>
  <si>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</si>
  <si>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</si>
  <si>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</si>
  <si>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</si>
  <si>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</si>
  <si>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</si>
  <si>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</si>
  <si>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</si>
  <si>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</si>
  <si>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</si>
  <si>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</si>
  <si>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</si>
  <si>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</si>
  <si>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</si>
  <si>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</si>
  <si>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</si>
  <si>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</si>
  <si>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</si>
  <si>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</si>
  <si>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</si>
  <si>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</si>
  <si>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</si>
  <si>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</si>
  <si>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</si>
  <si>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</si>
  <si>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</si>
  <si>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</si>
  <si>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</si>
  <si>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</si>
  <si>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</si>
  <si>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</si>
  <si>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</si>
  <si>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</si>
  <si>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</si>
  <si>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</si>
  <si>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</si>
  <si>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</si>
  <si>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</si>
  <si>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</si>
  <si>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</si>
  <si>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</si>
  <si>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</si>
  <si>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</si>
  <si>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</si>
  <si>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</si>
  <si>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</si>
  <si>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</si>
  <si>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</si>
  <si>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</si>
  <si>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</si>
  <si>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</si>
  <si>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</si>
  <si>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</si>
  <si>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</si>
  <si>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</si>
  <si>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</si>
  <si>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</si>
  <si>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</si>
  <si>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</si>
  <si>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</si>
  <si>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</si>
  <si>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</si>
  <si>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</si>
  <si>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</si>
  <si>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</si>
  <si>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</si>
  <si>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</si>
  <si>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</si>
  <si>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</si>
  <si>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</si>
  <si>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</si>
  <si>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</si>
  <si>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</si>
  <si>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</si>
  <si>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</si>
  <si>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</si>
  <si>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</si>
  <si>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</si>
  <si>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</si>
  <si>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</si>
  <si>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</si>
  <si>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</si>
  <si>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</si>
  <si>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</si>
  <si>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</si>
  <si>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</si>
  <si>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</si>
  <si>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</si>
  <si>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</si>
  <si>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</si>
  <si>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</si>
  <si>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</si>
  <si>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</si>
  <si>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</si>
  <si>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</si>
  <si>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</si>
  <si>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</si>
  <si>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</si>
  <si>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</si>
  <si>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</si>
  <si>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</si>
  <si>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</si>
  <si>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</si>
  <si>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</si>
  <si>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</si>
  <si>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</si>
  <si>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</si>
  <si>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</si>
  <si>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</si>
  <si>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</si>
  <si>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</si>
  <si>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</si>
  <si>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</si>
  <si>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</si>
  <si>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</si>
  <si>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</si>
  <si>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</si>
  <si>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</si>
  <si>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</si>
  <si>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</si>
  <si>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</si>
  <si>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</si>
  <si>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</si>
  <si>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</si>
  <si>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</si>
  <si>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</si>
  <si>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</si>
  <si>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</si>
  <si>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</si>
  <si>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</si>
  <si>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</si>
  <si>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</si>
  <si>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</si>
  <si>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</si>
  <si>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</si>
  <si>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</si>
  <si>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</si>
  <si>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</si>
  <si>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</si>
  <si>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</si>
  <si>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</si>
  <si>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</si>
  <si>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</si>
  <si>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</si>
  <si>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</si>
  <si>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</si>
  <si>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</si>
  <si>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</si>
  <si>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</si>
  <si>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</si>
  <si>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</si>
  <si>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</si>
  <si>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</si>
  <si>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</si>
  <si>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</si>
  <si>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</si>
  <si>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</si>
  <si>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</si>
  <si>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</si>
  <si>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Site Respresentative</t>
  </si>
  <si>
    <t>Charger Size</t>
  </si>
  <si>
    <t>email address</t>
  </si>
  <si>
    <t>IoT Sim</t>
  </si>
  <si>
    <t>kW</t>
  </si>
  <si>
    <t>RN</t>
  </si>
  <si>
    <t>PI0074</t>
  </si>
  <si>
    <t>ISK</t>
  </si>
  <si>
    <t>School Bus Depot</t>
  </si>
  <si>
    <t>Standard</t>
  </si>
  <si>
    <t>eMI3</t>
  </si>
  <si>
    <t>&lt;EVSE ID&gt; = &lt;Country Code&gt; &lt;S&gt; &lt;Spot Operator ID&gt; &lt;S&gt; &lt;ID Type&gt; &lt;Power Outlet ID&gt;</t>
  </si>
  <si>
    <t>Roam Point</t>
  </si>
  <si>
    <t>exemple</t>
  </si>
  <si>
    <t>KE*ROA*EROA00036*2</t>
  </si>
  <si>
    <t>&lt;Country Code&gt; = 2 ALPHA
; two character country code according to ISO-3166-1 (Alpha-2-Code)</t>
  </si>
  <si>
    <t>ROA</t>
  </si>
  <si>
    <t>&lt;Provider ID&gt; = 3 (ALPHA / DIGIT)
; three alphanumeric characters, referring to the EVSP</t>
  </si>
  <si>
    <t>E</t>
  </si>
  <si>
    <t>EVSE</t>
  </si>
  <si>
    <t>&lt;ID Type&gt; = “E”
; one character “E” indicating that this ID represents an “EVSE”</t>
  </si>
  <si>
    <t>ROA00036</t>
  </si>
  <si>
    <t>Roam Point / Charging ID</t>
  </si>
  <si>
    <t>&lt;Power Outlet ID&gt; = (ALPHA / DIGIT)1 * *30 ( 1*(ALPHA / DIGIT) / [&lt;S&gt;] )
; between 1 and 31 sequence of alphanumeric characters or separators, including additional
optional separators start with alphanumeric character, internal number allowing the EVSE
Operator to identify one specific EVSE</t>
  </si>
  <si>
    <t>If second cable</t>
  </si>
  <si>
    <t>&lt;S&gt; = *1 ( “*” )
; optional separator</t>
  </si>
  <si>
    <t>Note: Roam Points will also have a short code for manual entry format XXX000 (3 ALPHA + 3 DIGITS)</t>
  </si>
  <si>
    <t>KE*ROA*E#RH-KE-A-04*16</t>
  </si>
  <si>
    <t>#RH-KE-A-04</t>
  </si>
  <si>
    <t>Roam Hub ID</t>
  </si>
  <si>
    <t>Slot Controler No.</t>
  </si>
  <si>
    <t>Note: A Roam Hub (Hub Controller) is seen as a Level 2 Charging Station and each Charger (Slot Controllers) is seen as a Level 3 EVSE</t>
  </si>
  <si>
    <t>Input Section</t>
  </si>
  <si>
    <t>Select and fill Blue Sections</t>
  </si>
  <si>
    <t>#RH-KE-A-16</t>
  </si>
  <si>
    <t>Slot Number Start</t>
  </si>
  <si>
    <t>Number of Slots</t>
  </si>
  <si>
    <t>HUB CONTROLLER</t>
  </si>
  <si>
    <t>SLOT CONTROLLER</t>
  </si>
  <si>
    <t xml:space="preserve">EVSE ID </t>
  </si>
  <si>
    <t>#RH-KE-A-02</t>
  </si>
  <si>
    <t>Model Charger</t>
  </si>
  <si>
    <t>10002048.A1</t>
  </si>
  <si>
    <t>Number of Slots Start</t>
  </si>
  <si>
    <t>FAST CHARGER</t>
  </si>
  <si>
    <t>ITEM NO.</t>
  </si>
  <si>
    <t>Timestamp</t>
  </si>
  <si>
    <t>IMEI No</t>
  </si>
  <si>
    <t>Config 1.1.6</t>
  </si>
  <si>
    <t>Kayole</t>
  </si>
  <si>
    <t>3502016708381132</t>
  </si>
  <si>
    <t>3502016708408554</t>
  </si>
  <si>
    <t>3502016708381264</t>
  </si>
  <si>
    <t>3520016708381538</t>
  </si>
  <si>
    <t>Charger Short Name</t>
  </si>
  <si>
    <t>Charger Long Name</t>
  </si>
  <si>
    <t>Roam Kiosk</t>
  </si>
  <si>
    <t>AC</t>
  </si>
  <si>
    <t>AC Charging Point (T2)</t>
  </si>
  <si>
    <t>Roam Node</t>
  </si>
  <si>
    <t>TILL NAME</t>
  </si>
  <si>
    <t>Number</t>
  </si>
  <si>
    <t>Location</t>
  </si>
  <si>
    <t>H O</t>
  </si>
  <si>
    <t>STORE</t>
  </si>
  <si>
    <t>TILL</t>
  </si>
  <si>
    <t>Waiyaki Way</t>
  </si>
  <si>
    <t>Ngong Road</t>
  </si>
  <si>
    <t>Quickmart Roysambu</t>
  </si>
  <si>
    <t>Ruaraka</t>
  </si>
  <si>
    <t>Redhill</t>
  </si>
  <si>
    <t>Machakos Shop</t>
  </si>
  <si>
    <t>Machakos CBD</t>
  </si>
  <si>
    <t>Roam Hub Location</t>
  </si>
  <si>
    <t>Title</t>
  </si>
  <si>
    <t>Latitude</t>
  </si>
  <si>
    <t>Longitude</t>
  </si>
  <si>
    <t>Description</t>
  </si>
  <si>
    <t>Roam Hub - Dagoretti Corner</t>
  </si>
  <si>
    <t>Coming soon</t>
  </si>
  <si>
    <t>Battery Rental and Charging</t>
  </si>
  <si>
    <t>Roam Hub - Forest Road</t>
  </si>
  <si>
    <t>Contact - 0112685256</t>
  </si>
  <si>
    <t>Roam Hub - Kayole</t>
  </si>
  <si>
    <t>Contact - 0700010315</t>
  </si>
  <si>
    <t>Roam Hub - Lusaka</t>
  </si>
  <si>
    <t>Contact - 0111917217</t>
  </si>
  <si>
    <t>Roam Hub - Outering Rd</t>
  </si>
  <si>
    <t>Roam Hub - Quickmart Roysambu</t>
  </si>
  <si>
    <t>Contact - 0745145482</t>
  </si>
  <si>
    <t>Roam Hub - Suguta Center</t>
  </si>
  <si>
    <t>Roam Hub - Wayaki Way</t>
  </si>
  <si>
    <t>Contact - 0113585123</t>
  </si>
  <si>
    <t>Roam Hub - Rosslyn</t>
  </si>
  <si>
    <t>Coming Soon</t>
  </si>
  <si>
    <t>Roam Hub - Karambee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</si>
</sst>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
    <numFmt numFmtId="166" formatCode="mm/dd/yyyy"/>
    <numFmt numFmtId="167" formatCode="m/d/yyyy"/>
    <numFmt numFmtId="168" formatCode="m/d/yyyy h:mm:ss"/>
  </numFmts>
  <fonts count="30">
    <font>
      <sz val="10.0"/>
      <color rgb="FF000000"/>
      <name val="Arial"/>
      <scheme val="minor"/>
    </font>
    <font>
      <b/>
      <color theme="1"/>
      <name val="Arial"/>
    </font>
    <font>
      <sz val="11.0"/>
      <color theme="1"/>
      <name val="Calibri"/>
    </font>
    <font>
      <color theme="1"/>
      <name val="Arial"/>
    </font>
    <font>
      <color theme="1"/>
      <name val="Arial"/>
      <scheme val="minor"/>
    </font>
    <font>
      <b/>
      <color theme="1"/>
      <name val="Arial"/>
      <scheme val="minor"/>
    </font>
    <font>
      <u/>
      <sz val="9.0"/>
      <color rgb="FF1A73E8"/>
      <name val="Roboto"/>
    </font>
    <font>
      <u/>
      <color rgb="FF1A73E8"/>
      <name val="Roboto"/>
    </font>
    <font>
      <b/>
      <sz val="11.0"/>
      <color theme="1"/>
      <name val="Arial"/>
      <scheme val="minor"/>
    </font>
    <font>
      <sz val="11.0"/>
      <color theme="1"/>
      <name val="Arial"/>
      <scheme val="minor"/>
    </font>
    <font>
      <sz val="11.0"/>
      <color theme="1"/>
      <name val="&quot;Arial MT&quot;"/>
    </font>
    <font>
      <u/>
      <color rgb="FF0000FF"/>
    </font>
    <font>
      <b/>
      <color rgb="FFFFFFFF"/>
      <name val="Arial"/>
      <scheme val="minor"/>
    </font>
    <font>
      <color rgb="FFFFFFFF"/>
      <name val="Arial"/>
      <scheme val="minor"/>
    </font>
    <font>
      <sz val="10.0"/>
      <color theme="1"/>
      <name val="Arial"/>
    </font>
    <font>
      <color rgb="FF000000"/>
      <name val="Arial"/>
    </font>
    <font>
      <sz val="10.0"/>
      <color theme="1"/>
      <name val="Arial"/>
      <scheme val="minor"/>
    </font>
    <font>
      <u/>
      <sz val="9.0"/>
      <color rgb="FF0000FF"/>
      <name val="Roboto"/>
    </font>
    <font>
      <i/>
      <color rgb="FFB45F06"/>
      <name val="Arial"/>
      <scheme val="minor"/>
    </font>
    <font>
      <b/>
      <sz val="13.0"/>
      <color theme="1"/>
      <name val="Arial"/>
      <scheme val="minor"/>
    </font>
    <font/>
    <font>
      <b/>
      <color rgb="FF0000FF"/>
      <name val="Arial"/>
      <scheme val="minor"/>
    </font>
    <font>
      <b/>
      <sz val="12.0"/>
      <color theme="1"/>
      <name val="Arial"/>
      <scheme val="minor"/>
    </font>
    <font>
      <sz val="12.0"/>
      <color theme="1"/>
      <name val="Arial"/>
      <scheme val="minor"/>
    </font>
    <font>
      <b/>
      <sz val="32.0"/>
      <color theme="1"/>
      <name val="Arial"/>
      <scheme val="minor"/>
    </font>
    <font>
      <b/>
      <sz val="11.0"/>
      <color rgb="FF000000"/>
      <name val="Calibri"/>
    </font>
    <font>
      <sz val="11.0"/>
      <color rgb="FF000000"/>
      <name val="Calibri"/>
    </font>
    <font>
      <b/>
      <sz val="17.0"/>
      <color rgb="FF000000"/>
      <name val="Arial"/>
    </font>
    <font>
      <b/>
      <sz val="9.0"/>
      <color rgb="FF000000"/>
      <name val="Arial"/>
    </font>
    <font>
      <sz val="9.0"/>
      <color rgb="FF000000"/>
      <name val="Arial"/>
    </font>
  </fonts>
  <fills count="17">
    <fill>
      <patternFill patternType="none"/>
    </fill>
    <fill>
      <patternFill patternType="lightGray"/>
    </fill>
    <fill>
      <patternFill patternType="solid">
        <fgColor rgb="FFFFFFFF"/>
        <bgColor rgb="FFFFFFFF"/>
      </patternFill>
    </fill>
    <fill>
      <patternFill patternType="solid">
        <fgColor rgb="FF93C47D"/>
        <bgColor rgb="FF93C47D"/>
      </patternFill>
    </fill>
    <fill>
      <patternFill patternType="solid">
        <fgColor rgb="FFB6D7A8"/>
        <bgColor rgb="FFB6D7A8"/>
      </patternFill>
    </fill>
    <fill>
      <patternFill patternType="solid">
        <fgColor rgb="FFCCCCCC"/>
        <bgColor rgb="FFCCCCCC"/>
      </patternFill>
    </fill>
    <fill>
      <patternFill patternType="solid">
        <fgColor rgb="FFF6B26B"/>
        <bgColor rgb="FFF6B26B"/>
      </patternFill>
    </fill>
    <fill>
      <patternFill patternType="solid">
        <fgColor rgb="FFFCE5CD"/>
        <bgColor rgb="FFFCE5CD"/>
      </patternFill>
    </fill>
    <fill>
      <patternFill patternType="solid">
        <fgColor rgb="FFF9CB9C"/>
        <bgColor rgb="FFF9CB9C"/>
      </patternFill>
    </fill>
    <fill>
      <patternFill patternType="solid">
        <fgColor rgb="FF38761D"/>
        <bgColor rgb="FF38761D"/>
      </patternFill>
    </fill>
    <fill>
      <patternFill patternType="solid">
        <fgColor rgb="FFFF00FF"/>
        <bgColor rgb="FFFF00FF"/>
      </patternFill>
    </fill>
    <fill>
      <patternFill patternType="solid">
        <fgColor rgb="FFD5A6BD"/>
        <bgColor rgb="FFD5A6BD"/>
      </patternFill>
    </fill>
    <fill>
      <patternFill patternType="solid">
        <fgColor rgb="FF4A86E8"/>
        <bgColor rgb="FF4A86E8"/>
      </patternFill>
    </fill>
    <fill>
      <patternFill patternType="solid">
        <fgColor rgb="FFCC4125"/>
        <bgColor rgb="FFCC4125"/>
      </patternFill>
    </fill>
    <fill>
      <patternFill patternType="solid">
        <fgColor rgb="FFF4CCCC"/>
        <bgColor rgb="FFF4CCCC"/>
      </patternFill>
    </fill>
    <fill>
      <patternFill patternType="solid">
        <fgColor rgb="FFC9DAF8"/>
        <bgColor rgb="FFC9DAF8"/>
      </patternFill>
    </fill>
    <fill>
      <patternFill patternType="solid">
        <fgColor theme="6"/>
        <bgColor theme="6"/>
      </patternFill>
    </fill>
  </fills>
  <borders count="1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top style="thin">
        <color rgb="FF000000"/>
      </top>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dotted">
        <color rgb="FF000000"/>
      </right>
      <bottom style="dotted">
        <color rgb="FF000000"/>
      </bottom>
    </border>
    <border>
      <left style="dotted">
        <color rgb="FF000000"/>
      </left>
      <right style="dotted">
        <color rgb="FF000000"/>
      </right>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2" fillId="0" fontId="1" numFmtId="49" xfId="0" applyAlignment="1" applyBorder="1" applyFont="1" applyNumberFormat="1">
      <alignment vertical="bottom"/>
    </xf>
    <xf borderId="3" fillId="0" fontId="2" numFmtId="0" xfId="0" applyAlignment="1" applyBorder="1" applyFont="1">
      <alignment horizontal="right" vertical="top"/>
    </xf>
    <xf borderId="4" fillId="2" fontId="3" numFmtId="0" xfId="0" applyAlignment="1" applyBorder="1" applyFill="1" applyFont="1">
      <alignment vertical="bottom"/>
    </xf>
    <xf borderId="4" fillId="0" fontId="2" numFmtId="0" xfId="0" applyAlignment="1" applyBorder="1" applyFont="1">
      <alignment vertical="top"/>
    </xf>
    <xf borderId="4" fillId="0" fontId="2" numFmtId="0" xfId="0" applyAlignment="1" applyBorder="1" applyFont="1">
      <alignment horizontal="right" vertical="top"/>
    </xf>
    <xf borderId="4" fillId="0" fontId="2" numFmtId="49" xfId="0" applyAlignment="1" applyBorder="1" applyFont="1" applyNumberFormat="1">
      <alignment vertical="top"/>
    </xf>
    <xf borderId="4" fillId="0" fontId="3" numFmtId="0" xfId="0" applyAlignment="1" applyBorder="1" applyFont="1">
      <alignment horizontal="center" vertical="bottom"/>
    </xf>
    <xf borderId="4" fillId="0" fontId="3" numFmtId="0" xfId="0" applyAlignment="1" applyBorder="1" applyFont="1">
      <alignment vertical="bottom"/>
    </xf>
    <xf borderId="0" fillId="0" fontId="3" numFmtId="0" xfId="0" applyAlignment="1" applyFont="1">
      <alignment vertical="bottom"/>
    </xf>
    <xf borderId="0" fillId="0" fontId="4" numFmtId="0" xfId="0" applyAlignment="1" applyFont="1">
      <alignment horizontal="center" readingOrder="0"/>
    </xf>
    <xf borderId="0" fillId="0" fontId="4" numFmtId="0" xfId="0" applyAlignment="1" applyFont="1">
      <alignment readingOrder="0"/>
    </xf>
    <xf borderId="0" fillId="0" fontId="5" numFmtId="0" xfId="0" applyAlignment="1" applyFont="1">
      <alignment horizontal="center" readingOrder="0"/>
    </xf>
    <xf borderId="0" fillId="3" fontId="5" numFmtId="0" xfId="0" applyAlignment="1" applyFill="1" applyFont="1">
      <alignment horizontal="center" readingOrder="0"/>
    </xf>
    <xf borderId="0" fillId="4" fontId="4" numFmtId="0" xfId="0" applyAlignment="1" applyFill="1" applyFont="1">
      <alignment horizontal="center" readingOrder="0"/>
    </xf>
    <xf borderId="0" fillId="5" fontId="4" numFmtId="0" xfId="0" applyAlignment="1" applyFill="1" applyFont="1">
      <alignment horizontal="center" readingOrder="0"/>
    </xf>
    <xf borderId="0" fillId="6" fontId="4" numFmtId="0" xfId="0" applyAlignment="1" applyFill="1" applyFont="1">
      <alignment horizontal="center" readingOrder="0"/>
    </xf>
    <xf borderId="5" fillId="0" fontId="5" numFmtId="0" xfId="0" applyAlignment="1" applyBorder="1" applyFont="1">
      <alignment horizontal="center" readingOrder="0"/>
    </xf>
    <xf borderId="5" fillId="0" fontId="5" numFmtId="0" xfId="0" applyAlignment="1" applyBorder="1" applyFont="1">
      <alignment readingOrder="0"/>
    </xf>
    <xf borderId="5" fillId="0" fontId="5" numFmtId="0" xfId="0" applyAlignment="1" applyBorder="1" applyFont="1">
      <alignment horizontal="left" readingOrder="0"/>
    </xf>
    <xf borderId="5" fillId="0" fontId="5" numFmtId="0" xfId="0" applyBorder="1" applyFont="1"/>
    <xf borderId="0" fillId="7" fontId="4" numFmtId="0" xfId="0" applyAlignment="1" applyFill="1" applyFont="1">
      <alignment horizontal="center" readingOrder="0"/>
    </xf>
    <xf quotePrefix="1" borderId="0" fillId="7" fontId="4" numFmtId="0" xfId="0" applyAlignment="1" applyFont="1">
      <alignment horizontal="center" readingOrder="0"/>
    </xf>
    <xf borderId="0" fillId="7" fontId="4" numFmtId="0" xfId="0" applyAlignment="1" applyFont="1">
      <alignment readingOrder="0"/>
    </xf>
    <xf borderId="0" fillId="0" fontId="4" numFmtId="0" xfId="0" applyFont="1"/>
    <xf borderId="0" fillId="2" fontId="6" numFmtId="0" xfId="0" applyAlignment="1" applyFont="1">
      <alignment horizontal="left" readingOrder="0"/>
    </xf>
    <xf borderId="0" fillId="0" fontId="3" numFmtId="0" xfId="0" applyAlignment="1" applyFont="1">
      <alignment vertical="bottom"/>
    </xf>
    <xf borderId="0" fillId="0" fontId="7" numFmtId="0" xfId="0" applyAlignment="1" applyFont="1">
      <alignment horizontal="left" readingOrder="0"/>
    </xf>
    <xf borderId="0" fillId="0" fontId="4" numFmtId="0" xfId="0" applyAlignment="1" applyFont="1">
      <alignment horizontal="center"/>
    </xf>
    <xf borderId="0" fillId="7" fontId="4" numFmtId="0" xfId="0" applyFont="1"/>
    <xf borderId="1" fillId="0" fontId="8" numFmtId="0" xfId="0" applyAlignment="1" applyBorder="1" applyFont="1">
      <alignment horizontal="center" readingOrder="0"/>
    </xf>
    <xf borderId="2" fillId="0" fontId="8" numFmtId="0" xfId="0" applyAlignment="1" applyBorder="1" applyFont="1">
      <alignment horizontal="center" readingOrder="0"/>
    </xf>
    <xf borderId="2" fillId="0" fontId="8" numFmtId="0" xfId="0" applyAlignment="1" applyBorder="1" applyFont="1">
      <alignment horizontal="center" readingOrder="0" vertical="top"/>
    </xf>
    <xf borderId="3" fillId="4" fontId="9" numFmtId="0" xfId="0" applyAlignment="1" applyBorder="1" applyFont="1">
      <alignment horizontal="center" readingOrder="0" shrinkToFit="0" vertical="top" wrapText="0"/>
    </xf>
    <xf borderId="4" fillId="4" fontId="9" numFmtId="0" xfId="0" applyAlignment="1" applyBorder="1" applyFont="1">
      <alignment horizontal="center" readingOrder="0" vertical="top"/>
    </xf>
    <xf borderId="3" fillId="0" fontId="9" numFmtId="0" xfId="0" applyAlignment="1" applyBorder="1" applyFont="1">
      <alignment horizontal="center" readingOrder="0" shrinkToFit="0" vertical="top" wrapText="0"/>
    </xf>
    <xf borderId="4" fillId="0" fontId="9" numFmtId="0" xfId="0" applyAlignment="1" applyBorder="1" applyFont="1">
      <alignment horizontal="center" readingOrder="0" vertical="top"/>
    </xf>
    <xf borderId="3" fillId="0" fontId="10" numFmtId="0" xfId="0" applyAlignment="1" applyBorder="1" applyFont="1">
      <alignment horizontal="center" readingOrder="0" shrinkToFit="0" vertical="top" wrapText="0"/>
    </xf>
    <xf borderId="4" fillId="0" fontId="10" numFmtId="0" xfId="0" applyAlignment="1" applyBorder="1" applyFont="1">
      <alignment horizontal="center" readingOrder="0" vertical="top"/>
    </xf>
    <xf borderId="3" fillId="4" fontId="10" numFmtId="0" xfId="0" applyAlignment="1" applyBorder="1" applyFont="1">
      <alignment horizontal="center" readingOrder="0" shrinkToFit="0" vertical="top" wrapText="0"/>
    </xf>
    <xf borderId="4" fillId="4" fontId="10" numFmtId="0" xfId="0" applyAlignment="1" applyBorder="1" applyFont="1">
      <alignment horizontal="center" readingOrder="0" vertical="top"/>
    </xf>
    <xf borderId="0" fillId="8" fontId="5" numFmtId="0" xfId="0" applyAlignment="1" applyFill="1" applyFont="1">
      <alignment readingOrder="0"/>
    </xf>
    <xf borderId="0" fillId="8" fontId="4" numFmtId="0" xfId="0" applyFont="1"/>
    <xf borderId="0" fillId="0" fontId="11" numFmtId="0" xfId="0" applyAlignment="1" applyFont="1">
      <alignment readingOrder="0"/>
    </xf>
    <xf quotePrefix="1" borderId="0" fillId="0" fontId="4" numFmtId="0" xfId="0" applyAlignment="1" applyFont="1">
      <alignment readingOrder="0"/>
    </xf>
    <xf borderId="0" fillId="0" fontId="5" numFmtId="0" xfId="0" applyAlignment="1" applyFont="1">
      <alignment readingOrder="0"/>
    </xf>
    <xf borderId="0" fillId="0" fontId="5" numFmtId="0" xfId="0" applyAlignment="1" applyFont="1">
      <alignment horizontal="right" readingOrder="0"/>
    </xf>
    <xf borderId="0" fillId="0" fontId="4" numFmtId="0" xfId="0" applyAlignment="1" applyFont="1">
      <alignment horizontal="right" readingOrder="0"/>
    </xf>
    <xf borderId="0" fillId="0" fontId="4" numFmtId="0" xfId="0" applyAlignment="1" applyFont="1">
      <alignment horizontal="right"/>
    </xf>
    <xf borderId="0" fillId="0" fontId="5" numFmtId="0" xfId="0" applyAlignment="1" applyFont="1">
      <alignment horizontal="left" readingOrder="0"/>
    </xf>
    <xf quotePrefix="1" borderId="0" fillId="0" fontId="4" numFmtId="0" xfId="0" applyAlignment="1" applyFont="1">
      <alignment horizontal="left" readingOrder="0"/>
    </xf>
    <xf borderId="0" fillId="0" fontId="4" numFmtId="0" xfId="0" applyAlignment="1" applyFont="1">
      <alignment horizontal="left"/>
    </xf>
    <xf borderId="0" fillId="0" fontId="4" numFmtId="0" xfId="0" applyAlignment="1" applyFont="1">
      <alignment horizontal="left" readingOrder="0"/>
    </xf>
    <xf borderId="0" fillId="9" fontId="12" numFmtId="0" xfId="0" applyAlignment="1" applyFill="1" applyFont="1">
      <alignment horizontal="right" readingOrder="0"/>
    </xf>
    <xf borderId="0" fillId="9" fontId="12" numFmtId="0" xfId="0" applyAlignment="1" applyFont="1">
      <alignment horizontal="left" readingOrder="0"/>
    </xf>
    <xf borderId="0" fillId="10" fontId="3" numFmtId="0" xfId="0" applyAlignment="1" applyFill="1" applyFont="1">
      <alignment horizontal="center" vertical="bottom"/>
    </xf>
    <xf borderId="0" fillId="11" fontId="4" numFmtId="0" xfId="0" applyAlignment="1" applyFill="1" applyFont="1">
      <alignment horizontal="center" readingOrder="0"/>
    </xf>
    <xf borderId="0" fillId="12" fontId="4" numFmtId="0" xfId="0" applyAlignment="1" applyFill="1" applyFont="1">
      <alignment horizontal="center" readingOrder="0"/>
    </xf>
    <xf borderId="0" fillId="3" fontId="4" numFmtId="0" xfId="0" applyAlignment="1" applyFont="1">
      <alignment horizontal="center" readingOrder="0"/>
    </xf>
    <xf borderId="0" fillId="13" fontId="13" numFmtId="0" xfId="0" applyAlignment="1" applyFill="1" applyFont="1">
      <alignment horizontal="center" readingOrder="0"/>
    </xf>
    <xf borderId="0" fillId="0" fontId="5" numFmtId="164" xfId="0" applyAlignment="1" applyFont="1" applyNumberFormat="1">
      <alignment horizontal="center" readingOrder="0"/>
    </xf>
    <xf borderId="5" fillId="0" fontId="1" numFmtId="0" xfId="0" applyAlignment="1" applyBorder="1" applyFont="1">
      <alignment horizontal="center" vertical="bottom"/>
    </xf>
    <xf borderId="0" fillId="0" fontId="4" numFmtId="164" xfId="0" applyAlignment="1" applyFont="1" applyNumberFormat="1">
      <alignment horizontal="center" readingOrder="0"/>
    </xf>
    <xf quotePrefix="1" borderId="0" fillId="0" fontId="4" numFmtId="0" xfId="0" applyAlignment="1" applyFont="1">
      <alignment horizontal="center" readingOrder="0"/>
    </xf>
    <xf borderId="0" fillId="7" fontId="4" numFmtId="0" xfId="0" applyAlignment="1" applyFont="1">
      <alignment horizontal="left" readingOrder="0"/>
    </xf>
    <xf borderId="0" fillId="0" fontId="14" numFmtId="0" xfId="0" applyAlignment="1" applyFont="1">
      <alignment horizontal="left" readingOrder="0"/>
    </xf>
    <xf borderId="0" fillId="0" fontId="3" numFmtId="0" xfId="0" applyAlignment="1" applyFont="1">
      <alignment horizontal="center"/>
    </xf>
    <xf borderId="0" fillId="0" fontId="3" numFmtId="0" xfId="0" applyAlignment="1" applyFont="1">
      <alignment readingOrder="0" vertical="bottom"/>
    </xf>
    <xf borderId="0" fillId="0" fontId="4" numFmtId="165" xfId="0" applyAlignment="1" applyFont="1" applyNumberFormat="1">
      <alignment horizontal="center" readingOrder="0"/>
    </xf>
    <xf borderId="0" fillId="14" fontId="4" numFmtId="0" xfId="0" applyAlignment="1" applyFill="1" applyFont="1">
      <alignment horizontal="center" readingOrder="0"/>
    </xf>
    <xf borderId="0" fillId="7" fontId="4" numFmtId="166" xfId="0" applyAlignment="1" applyFont="1" applyNumberFormat="1">
      <alignment horizontal="left" readingOrder="0"/>
    </xf>
    <xf borderId="0" fillId="0" fontId="3" numFmtId="0" xfId="0" applyAlignment="1" applyFont="1">
      <alignment horizontal="center" readingOrder="0"/>
    </xf>
    <xf borderId="0" fillId="7" fontId="4" numFmtId="167" xfId="0" applyAlignment="1" applyFont="1" applyNumberFormat="1">
      <alignment horizontal="left" readingOrder="0"/>
    </xf>
    <xf borderId="0" fillId="0" fontId="15" numFmtId="0" xfId="0" applyAlignment="1" applyFont="1">
      <alignment horizontal="left" readingOrder="0"/>
    </xf>
    <xf borderId="0" fillId="7" fontId="4" numFmtId="0" xfId="0" applyAlignment="1" applyFont="1">
      <alignment horizontal="center"/>
    </xf>
    <xf borderId="0" fillId="0" fontId="14" numFmtId="0" xfId="0" applyAlignment="1" applyFont="1">
      <alignment readingOrder="0"/>
    </xf>
    <xf borderId="0" fillId="0" fontId="3" numFmtId="0" xfId="0" applyAlignment="1" applyFont="1">
      <alignment horizontal="center"/>
    </xf>
    <xf borderId="0" fillId="14" fontId="4" numFmtId="0" xfId="0" applyAlignment="1" applyFont="1">
      <alignment horizontal="center"/>
    </xf>
    <xf borderId="0" fillId="2" fontId="14" numFmtId="0" xfId="0" applyAlignment="1" applyFont="1">
      <alignment horizontal="left" readingOrder="0"/>
    </xf>
    <xf borderId="0" fillId="0" fontId="14" numFmtId="0" xfId="0" applyAlignment="1" applyFont="1">
      <alignment readingOrder="0"/>
    </xf>
    <xf borderId="0" fillId="0" fontId="16" numFmtId="0" xfId="0" applyAlignment="1" applyFont="1">
      <alignment horizontal="center" readingOrder="0"/>
    </xf>
    <xf borderId="0" fillId="9" fontId="12" numFmtId="0" xfId="0" applyAlignment="1" applyFont="1">
      <alignment horizontal="center" readingOrder="0"/>
    </xf>
    <xf borderId="0" fillId="4" fontId="5" numFmtId="0" xfId="0" applyAlignment="1" applyFont="1">
      <alignment horizontal="center" readingOrder="0"/>
    </xf>
    <xf borderId="5" fillId="0" fontId="5" numFmtId="164" xfId="0" applyAlignment="1" applyBorder="1" applyFont="1" applyNumberFormat="1">
      <alignment horizontal="center" readingOrder="0"/>
    </xf>
    <xf borderId="0" fillId="2" fontId="17" numFmtId="0" xfId="0" applyAlignment="1" applyFont="1">
      <alignment horizontal="left" readingOrder="0"/>
    </xf>
    <xf borderId="5" fillId="0" fontId="5" numFmtId="0" xfId="0" applyAlignment="1" applyBorder="1" applyFont="1">
      <alignment horizontal="right" readingOrder="0"/>
    </xf>
    <xf borderId="5" fillId="7" fontId="5" numFmtId="0" xfId="0" applyAlignment="1" applyBorder="1" applyFont="1">
      <alignment readingOrder="0"/>
    </xf>
    <xf borderId="0" fillId="0" fontId="4" numFmtId="0" xfId="0" applyAlignment="1" applyFont="1">
      <alignment readingOrder="0" shrinkToFit="0" wrapText="1"/>
    </xf>
    <xf borderId="0" fillId="0" fontId="18" numFmtId="0" xfId="0" applyAlignment="1" applyFont="1">
      <alignment readingOrder="0"/>
    </xf>
    <xf borderId="6" fillId="0" fontId="19" numFmtId="0" xfId="0" applyAlignment="1" applyBorder="1" applyFont="1">
      <alignment horizontal="center" readingOrder="0" textRotation="90" vertical="center"/>
    </xf>
    <xf borderId="7" fillId="0" fontId="20" numFmtId="0" xfId="0" applyBorder="1" applyFont="1"/>
    <xf borderId="2" fillId="0" fontId="5" numFmtId="0" xfId="0" applyAlignment="1" applyBorder="1" applyFont="1">
      <alignment horizontal="center" readingOrder="0"/>
    </xf>
    <xf borderId="8" fillId="0" fontId="20" numFmtId="0" xfId="0" applyBorder="1" applyFont="1"/>
    <xf borderId="9" fillId="0" fontId="4" numFmtId="0" xfId="0" applyAlignment="1" applyBorder="1" applyFont="1">
      <alignment readingOrder="0"/>
    </xf>
    <xf borderId="9" fillId="15" fontId="21" numFmtId="0" xfId="0" applyAlignment="1" applyBorder="1" applyFill="1" applyFont="1">
      <alignment readingOrder="0"/>
    </xf>
    <xf borderId="9" fillId="0" fontId="4" numFmtId="0" xfId="0" applyBorder="1" applyFont="1"/>
    <xf borderId="1" fillId="15" fontId="21" numFmtId="0" xfId="0" applyAlignment="1" applyBorder="1" applyFont="1">
      <alignment horizontal="center" readingOrder="0"/>
    </xf>
    <xf borderId="10" fillId="0" fontId="20" numFmtId="0" xfId="0" applyBorder="1" applyFont="1"/>
    <xf borderId="5" fillId="0" fontId="20" numFmtId="0" xfId="0" applyBorder="1" applyFont="1"/>
    <xf borderId="6" fillId="0" fontId="4" numFmtId="0" xfId="0" applyBorder="1" applyFont="1"/>
    <xf borderId="7" fillId="0" fontId="4" numFmtId="0" xfId="0" applyBorder="1" applyFont="1"/>
    <xf borderId="11" fillId="0" fontId="4" numFmtId="0" xfId="0" applyBorder="1" applyFont="1"/>
    <xf borderId="8" fillId="0" fontId="22" numFmtId="0" xfId="0" applyAlignment="1" applyBorder="1" applyFont="1">
      <alignment horizontal="center" readingOrder="0"/>
    </xf>
    <xf borderId="9" fillId="0" fontId="20" numFmtId="0" xfId="0" applyBorder="1" applyFont="1"/>
    <xf borderId="8" fillId="0" fontId="23" numFmtId="0" xfId="0" applyAlignment="1" applyBorder="1" applyFont="1">
      <alignment horizontal="center"/>
    </xf>
    <xf borderId="8" fillId="0" fontId="23" numFmtId="0" xfId="0" applyAlignment="1" applyBorder="1" applyFont="1">
      <alignment horizontal="center" readingOrder="0"/>
    </xf>
    <xf borderId="8" fillId="0" fontId="4" numFmtId="0" xfId="0" applyAlignment="1" applyBorder="1" applyFont="1">
      <alignment readingOrder="0"/>
    </xf>
    <xf borderId="0" fillId="0" fontId="24" numFmtId="0" xfId="0" applyAlignment="1" applyFont="1">
      <alignment horizontal="center" vertical="center"/>
    </xf>
    <xf borderId="9" fillId="0" fontId="24" numFmtId="0" xfId="0" applyAlignment="1" applyBorder="1" applyFont="1">
      <alignment horizontal="center" vertical="center"/>
    </xf>
    <xf borderId="8" fillId="0" fontId="24" numFmtId="0" xfId="0" applyAlignment="1" applyBorder="1" applyFont="1">
      <alignment horizontal="center" vertical="center"/>
    </xf>
    <xf borderId="10" fillId="0" fontId="4" numFmtId="0" xfId="0" applyBorder="1" applyFont="1"/>
    <xf borderId="5" fillId="0" fontId="4" numFmtId="0" xfId="0" applyBorder="1" applyFont="1"/>
    <xf borderId="4" fillId="0" fontId="4" numFmtId="0" xfId="0" applyBorder="1" applyFont="1"/>
    <xf borderId="8" fillId="0" fontId="5" numFmtId="0" xfId="0" applyAlignment="1" applyBorder="1" applyFont="1">
      <alignment readingOrder="0"/>
    </xf>
    <xf borderId="0" fillId="0" fontId="22" numFmtId="0" xfId="0" applyAlignment="1" applyFont="1">
      <alignment readingOrder="0"/>
    </xf>
    <xf borderId="9" fillId="0" fontId="23" numFmtId="0" xfId="0" applyBorder="1" applyFont="1"/>
    <xf borderId="9" fillId="0" fontId="4" numFmtId="0" xfId="0" applyAlignment="1" applyBorder="1" applyFont="1">
      <alignment horizontal="center"/>
    </xf>
    <xf borderId="0" fillId="0" fontId="4" numFmtId="0" xfId="0" applyAlignment="1" applyFont="1">
      <alignment horizontal="left" readingOrder="0" shrinkToFit="0" vertical="center" wrapText="0"/>
    </xf>
    <xf borderId="0" fillId="0" fontId="4" numFmtId="0" xfId="0" applyAlignment="1" applyFont="1">
      <alignment horizontal="center" readingOrder="0" shrinkToFit="0" vertical="center" wrapText="0"/>
    </xf>
    <xf borderId="0" fillId="0" fontId="4" numFmtId="168"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horizontal="center" readingOrder="0" shrinkToFit="0" vertical="center" wrapText="0"/>
    </xf>
    <xf borderId="0" fillId="0" fontId="4" numFmtId="168"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horizontal="center" readingOrder="0" shrinkToFit="0" vertical="center" wrapText="0"/>
    </xf>
    <xf borderId="0" fillId="0" fontId="5" numFmtId="0" xfId="0" applyAlignment="1" applyFont="1">
      <alignment horizontal="center" readingOrder="0" vertical="center"/>
    </xf>
    <xf borderId="1" fillId="0" fontId="4" numFmtId="0" xfId="0" applyBorder="1" applyFont="1"/>
    <xf borderId="1" fillId="0" fontId="4" numFmtId="0" xfId="0" applyAlignment="1" applyBorder="1" applyFont="1">
      <alignment horizontal="center" readingOrder="0"/>
    </xf>
    <xf borderId="1" fillId="0" fontId="4" numFmtId="0" xfId="0" applyAlignment="1" applyBorder="1" applyFont="1">
      <alignment horizontal="center"/>
    </xf>
    <xf borderId="1" fillId="0" fontId="4" numFmtId="0" xfId="0" applyAlignment="1" applyBorder="1" applyFont="1">
      <alignment readingOrder="0"/>
    </xf>
    <xf borderId="0" fillId="0" fontId="25" numFmtId="0" xfId="0" applyAlignment="1" applyFont="1">
      <alignment horizontal="left" readingOrder="0" shrinkToFit="0" wrapText="0"/>
    </xf>
    <xf borderId="0" fillId="0" fontId="25" numFmtId="0" xfId="0" applyAlignment="1" applyFont="1">
      <alignment horizontal="center" readingOrder="0" shrinkToFit="0" wrapText="0"/>
    </xf>
    <xf borderId="0" fillId="0" fontId="26" numFmtId="0" xfId="0" applyAlignment="1" applyFont="1">
      <alignment readingOrder="0" shrinkToFit="0" wrapText="0"/>
    </xf>
    <xf borderId="0" fillId="0" fontId="26" numFmtId="0" xfId="0" applyAlignment="1" applyFont="1">
      <alignment horizontal="center" readingOrder="0" shrinkToFit="0" wrapText="0"/>
    </xf>
    <xf borderId="0" fillId="0" fontId="26" numFmtId="0" xfId="0" applyAlignment="1" applyFont="1">
      <alignment horizontal="right" readingOrder="0" shrinkToFit="0" wrapText="0"/>
    </xf>
    <xf borderId="0" fillId="0" fontId="26" numFmtId="0" xfId="0" applyAlignment="1" applyFont="1">
      <alignment readingOrder="0" shrinkToFit="0" vertical="bottom" wrapText="0"/>
    </xf>
    <xf borderId="0" fillId="0" fontId="26" numFmtId="0" xfId="0" applyAlignment="1" applyFont="1">
      <alignment shrinkToFit="0" vertical="bottom" wrapText="0"/>
    </xf>
    <xf borderId="0" fillId="0" fontId="27" numFmtId="0" xfId="0" applyAlignment="1" applyFont="1">
      <alignment horizontal="center" readingOrder="0" vertical="bottom"/>
    </xf>
    <xf borderId="12" fillId="0" fontId="27" numFmtId="0" xfId="0" applyAlignment="1" applyBorder="1" applyFont="1">
      <alignment horizontal="center" readingOrder="0" vertical="bottom"/>
    </xf>
    <xf borderId="13" fillId="0" fontId="20" numFmtId="0" xfId="0" applyBorder="1" applyFont="1"/>
    <xf borderId="14" fillId="0" fontId="20" numFmtId="0" xfId="0" applyBorder="1" applyFont="1"/>
    <xf borderId="0" fillId="16" fontId="28" numFmtId="0" xfId="0" applyAlignment="1" applyFill="1" applyFont="1">
      <alignment horizontal="left" readingOrder="0" shrinkToFit="0" wrapText="0"/>
    </xf>
    <xf borderId="15" fillId="16" fontId="28" numFmtId="0" xfId="0" applyAlignment="1" applyBorder="1" applyFont="1">
      <alignment horizontal="left" readingOrder="0" shrinkToFit="0" wrapText="0"/>
    </xf>
    <xf borderId="16" fillId="0" fontId="29" numFmtId="0" xfId="0" applyAlignment="1" applyBorder="1" applyFont="1">
      <alignment readingOrder="0" vertical="top"/>
    </xf>
    <xf borderId="16" fillId="0" fontId="29" numFmtId="0" xfId="0" applyAlignment="1" applyBorder="1" applyFont="1">
      <alignment readingOrder="0" shrinkToFit="0" vertical="top" wrapText="1"/>
    </xf>
    <xf borderId="15" fillId="0" fontId="29" numFmtId="0" xfId="0" applyAlignment="1" applyBorder="1" applyFont="1">
      <alignment readingOrder="0" vertical="top"/>
    </xf>
    <xf borderId="17" fillId="0" fontId="20" numFmtId="0" xfId="0" applyBorder="1" applyFont="1"/>
    <xf borderId="16" fillId="2" fontId="29" numFmtId="0" xfId="0" applyAlignment="1" applyBorder="1" applyFont="1">
      <alignment readingOrder="0" shrinkToFit="0" vertical="top" wrapText="1"/>
    </xf>
    <xf borderId="15" fillId="2" fontId="29" numFmtId="0" xfId="0" applyAlignment="1" applyBorder="1" applyFont="1">
      <alignment readingOrder="0" shrinkToFit="0" vertical="top" wrapText="1"/>
    </xf>
    <xf borderId="18" fillId="0" fontId="20" numFmtId="0" xfId="0" applyBorder="1" applyFont="1"/>
    <xf borderId="15" fillId="2" fontId="29" numFmtId="0" xfId="0" applyAlignment="1" applyBorder="1" applyFont="1">
      <alignment readingOrder="0"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tableStyle count="4" pivot="0" name="EMEI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122682d4-130a-41f4-a2e7-439ae1db1366}">
    <Anchor>
      <Comment id="{f30f9c73-8372-4f4a-ae3f-e2d8f6ae078f}"/>
    </Anchor>
    <History>
      <Event time="2023-06-08T06:25:12.00" id="{685fe089-df36-4019-b76b-85580040d7bf}">
        <Attribution userId="placeholder@email.com" userName="Romain Petiteau" userProvider="google-sheets"/>
        <Anchor>
          <Comment id="{f30f9c73-8372-4f4a-ae3f-e2d8f6ae078f}"/>
        </Anchor>
        <Create/>
      </Event>
      <Event time="2023-06-08T06:25:12.00" id="{6d4f4387-00fc-460d-922d-62a309ee658c}">
        <Attribution userId="placeholder@email.com" userName="Romain Petiteau" userProvider="google-sheets"/>
        <Anchor>
          <Comment id="{f30f9c73-8372-4f4a-ae3f-e2d8f6ae078f}"/>
        </Anchor>
        <Assign userId="habib.lukaya@roam-electric.com" userName="habib.lukaya@roam-electric.com" userProvider="google-sheets"/>
      </Event>
    </History>
  </Task>
  <Task id="{b4f60a71-73a0-4dc7-be2b-d8c259f2c88e}">
    <Anchor>
      <Comment id="{1a52d579-69de-4f36-9704-dda2b1a55223}"/>
    </Anchor>
    <History>
      <Event time="2026-01-14T11:20:23.00" id="{f81c0842-f3e4-4b49-8e0d-9802328d4129}">
        <Attribution userId="placeholder@email.com" userName="Winrose Thuita" userProvider="google-sheets"/>
        <Anchor>
          <Comment id="{1a52d579-69de-4f36-9704-dda2b1a55223}"/>
        </Anchor>
        <Create/>
      </Event>
      <Event time="2026-01-14T11:20:23.00" id="{c8e692a7-40b5-45b6-983e-2922c2a35637}">
        <Attribution userId="placeholder@email.com" userName="Winrose Thuita" userProvider="google-sheets"/>
        <Anchor>
          <Comment id="{1a52d579-69de-4f36-9704-dda2b1a55223}"/>
        </Anchor>
        <Assign userId="elisha.chesir@roam-electric.com" userName="elisha.chesir@roam-electric.com" userProvider="google-sheets"/>
      </Event>
    </History>
  </Task>
  <Task id="{ea1a4c32-f77f-42d1-a105-eb484a0fcc14}">
    <Anchor>
      <Comment id="{411e52ea-6796-4370-904f-0584e29f1bcb}"/>
    </Anchor>
    <History>
      <Event time="2023-03-09T07:30:27.00" id="{9ac5bb47-5b02-442b-a638-c01f8614badb}">
        <Attribution userId="placeholder@email.com" userName="Habib Lukaya" userProvider="google-sheets"/>
        <Anchor>
          <Comment id="{411e52ea-6796-4370-904f-0584e29f1bcb}"/>
        </Anchor>
        <Create/>
      </Event>
      <Event time="2023-03-09T07:30:27.00" id="{411ee689-9f6e-477e-a751-c10ea0b4cce1}">
        <Attribution userId="placeholder@email.com" userName="Habib Lukaya" userProvider="google-sheets"/>
        <Anchor>
          <Comment id="{411e52ea-6796-4370-904f-0584e29f1bcb}"/>
        </Anchor>
        <Assign userId="romain.petiteau@roam-electric.com" userName="romain.petiteau@roam-electric.com" userProvider="google-sheets"/>
      </Event>
    </History>
  </Task>
  <Task id="{0e9b6d4e-6faf-4d80-bbf5-2eb0c4d9555f}">
    <Anchor>
      <Comment id="{80ec7e6a-08e4-4fce-8398-5cd7a499a797}"/>
    </Anchor>
    <History>
      <Event time="2025-04-28T12:46:49.00" id="{5021fcd4-d511-498a-a439-29d5d8277ed2}">
        <Attribution userId="placeholder@email.com" userName="Harriet Mwaura" userProvider="google-sheets"/>
        <Anchor>
          <Comment id="{80ec7e6a-08e4-4fce-8398-5cd7a499a797}"/>
        </Anchor>
        <Create/>
      </Event>
      <Event time="2025-04-28T12:46:49.00" id="{e38b2744-5f3f-446e-9663-435496c802a9}">
        <Attribution userId="placeholder@email.com" userName="Harriet Mwaura" userProvider="google-sheets"/>
        <Anchor>
          <Comment id="{80ec7e6a-08e4-4fce-8398-5cd7a499a797}"/>
        </Anchor>
        <Assign userId="habib.lukaya@roam-electric.com" userName="habib.lukaya@roam-electric.com" userProvider="google-sheets"/>
      </Event>
    </History>
  </Task>
  <Task id="{2da1f22b-b2d8-4aa8-bfba-c8a329ddb4ea}">
    <Anchor>
      <Comment id="{cb8fb129-8cbd-4cef-a78f-6f60e308bfb9}"/>
    </Anchor>
    <History>
      <Event time="2023-07-06T04:40:34.00" id="{480132bb-208e-48e7-80b3-4eecb4622651}">
        <Attribution userId="placeholder@email.com" userName="Romain Petiteau" userProvider="google-sheets"/>
        <Anchor>
          <Comment id="{cb8fb129-8cbd-4cef-a78f-6f60e308bfb9}"/>
        </Anchor>
        <Create/>
      </Event>
      <Event time="2023-07-06T04:40:34.00" id="{3b21ec32-f2b3-41e0-90ea-b04c7d3621a0}">
        <Attribution userId="placeholder@email.com" userName="Romain Petiteau" userProvider="google-sheets"/>
        <Anchor>
          <Comment id="{cb8fb129-8cbd-4cef-a78f-6f60e308bfb9}"/>
        </Anchor>
        <Assign userId="habib.lukaya@roam-electric.com" userName="habib.lukaya@roam-electric.com" userProvider="google-sheets"/>
      </Event>
    </History>
  </Task>
</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rriet Mwaura" id="{b46e58cd-8774-42b0-a797-546e5d08ce4b}" providerId="google-sheets"/>
  <x18tc:person displayName="Romain Petiteau" id="{4a367b16-8cb5-48d5-b105-e54c85f4b2f4}" providerId="google-sheets"/>
  <x18tc:person displayName="romain.petiteau@roam-electric.com" id="{c17c0cac-4c0a-4899-af55-741fd403d74c}" userId="romain.petiteau@roam-electric.com" providerId="google-sheets"/>
  <x18tc:person displayName="Michael Abuya" id="{188ee2ff-b719-4bad-9d43-f7d5b85099e9}" providerId="google-sheets"/>
  <x18tc:person displayName="Habib Lukaya" id="{60a94410-1128-4573-ab0c-329aee5acb51}" providerId="google-sheets"/>
  <x18tc:person displayName="Winrose Thuita" id="{25d016f1-7d4c-4d67-a5e8-367fdb000b72}" providerId="google-sheets"/>
  <x18tc:person displayName="elisha.chesir@roam-electric.com" id="{a6b3c5ca-444d-44e4-a5a1-ab6a3f6c672f}" userId="elisha.chesir@roam-electric.com" providerId="google-sheets"/>
  <x18tc:person displayName="habib.lukaya@roam-electric.com" id="{c96a55e2-c86f-4579-aadb-ef9d571a9446}" userId="habib.lukaya@roam-electric.com" providerId="google-sheets"/>
  <x18tc:person displayName="John Munene" id="{07f87298-38ab-485d-8a57-1318dad6ce6a}" providerId="google-sheets"/>
</x18tc:personList>
</file>

<file path=xl/tables/table1.xml><?xml version="1.0" encoding="utf-8"?>
<table xmlns="http://schemas.openxmlformats.org/spreadsheetml/2006/main" ref="A1:C135" displayName="Form_Responses1" name="Form_Responses1" id="1">
  <autoFilter ref="$A$1:$C$135"/>
  <tableColumns count="3">
    <tableColumn name="Timestamp" id="1"/>
    <tableColumn name="Roam Hub" id="2"/>
    <tableColumn name="IMEI No" id="3"/>
  </tableColumns>
  <tableStyleInfo name="EME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5-29T06:41:00.00" personId="{4a367b16-8cb5-48d5-b105-e54c85f4b2f4}" id="{1d04ecf3-6c74-4e39-8ac9-008a552367c6}" done="1">
    <x18tc:text xml:space="preserve">@habib.lukaya@roam-electric.com please add opening hours</x18tc:text>
    <x18tc:mentions>
      <x18tc:mention mentionpersonId="{c96a55e2-c86f-4579-aadb-ef9d571a9446}" mentionId="{f255b6ea-cc56-4e6e-b2bd-e35a43192ae9}" startIndex="0" length="31"/>
    </x18tc:mentions>
  </x18tc:threadedComment>
  <x18tc:threadedComment ref="A1" dT="2025-03-06T07:00:52.00" personId="{4a367b16-8cb5-48d5-b105-e54c85f4b2f4}" id="{506e0690-7b07-470d-9697-3226e953d39b}" done="1">
    <x18tc:text xml:space="preserve">@habib.lukaya@roam-electric.com 
Let's only use NBI
Too complex to have one list per county
Let's have one list per Region.
Can you inform Finance to change everything on Dynamics?
Means that Machakos will be NBI as well</x18tc:text>
    <x18tc:mentions>
      <x18tc:mention mentionpersonId="{c96a55e2-c86f-4579-aadb-ef9d571a9446}" mentionId="{967cfa73-52ed-451e-b943-bc9a394cf449}" startIndex="0" length="31"/>
    </x18tc:mentions>
  </x18tc:threadedComment>
  <x18tc:threadedComment ref="A1" dT="2025-03-06T07:32:11.00" personId="{4a367b16-8cb5-48d5-b105-e54c85f4b2f4}" id="{927739ac-6a02-4d1d-8b71-03fc78547ec9}" parentId="{506e0690-7b07-470d-9697-3226e953d39b}">
    <x18tc:text xml:space="preserve">Once done, tab can be remove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3" dT="2023-06-08T06:25:12.00" personId="{4a367b16-8cb5-48d5-b105-e54c85f4b2f4}" id="{f30f9c73-8372-4f4a-ae3f-e2d8f6ae078f}" done="1">
    <x18tc:text xml:space="preserve">@habib.lukaya@roam-electric.com 
please don't forget to update this document as well.
Should we migrate this database on ClickUp ?
Look what we did with Juliana for our ES projects :
https://app.clickup.com/3432768/v/l/38ra0-24160
Assigned to habib.lukaya@roam-electric.com</x18tc:text>
    <x18tc:mentions>
      <x18tc:mention mentionpersonId="{c96a55e2-c86f-4579-aadb-ef9d571a9446}" mentionId="{886f0a32-5890-41e4-a6c0-2550499787b5}" startIndex="0" length="31"/>
    </x18tc:mentions>
    <x18tc:extLst>
      <ext uri="{F7C98A9C-CBB3-438F-8F68-D28B6AF4A901}">
        <xltc2:checksum/>
        <xltc2:hyperlink startIndex="187" length="47" url="https://app.clickup.com/3432768/v/l/38ra0-24160"/>
      </ext>
    </x18tc:extLst>
  </x18tc:threadedComment>
  <x18tc:threadedComment ref="P8" dT="2025-08-18T07:30:47.00" personId="{b46e58cd-8774-42b0-a797-546e5d08ce4b}" id="{794c9f98-f00e-4d87-a60e-e59c9867ce8c}" done="1">
    <x18tc:text xml:space="preserve">-1.419524654214477, 36.95437865147021</x18tc:text>
  </x18tc:threadedComment>
  <x18tc:threadedComment ref="J14" dT="2026-01-14T11:20:23.00" personId="{25d016f1-7d4c-4d67-a5e8-367fdb000b72}" id="{1a52d579-69de-4f36-9704-dda2b1a55223}" done="1">
    <x18tc:text xml:space="preserve">@elisha.chesir@roam-electric.com  Kindly be adding the date  in which the hub became operational ,this guides in  the capitalisation of the hubs
Assigned to elisha.chesir@roam-electric.com</x18tc:text>
    <x18tc:mentions>
      <x18tc:mention mentionpersonId="{a6b3c5ca-444d-44e4-a5a1-ab6a3f6c672f}" mentionId="{c396bee5-897a-4f5e-962a-e58d3cee363b}" startIndex="0" length="32"/>
    </x18tc:mentions>
  </x18tc:threadedComment>
  <x18tc:threadedComment ref="J14" dT="2026-01-22T08:32:23.00" personId="{4a367b16-8cb5-48d5-b105-e54c85f4b2f4}" id="{5d85e79b-c835-4da2-9f89-a749289215a0}" parentId="{1a52d579-69de-4f36-9704-dda2b1a55223}">
    <x18tc:text xml:space="preserve">This hub is not yet installed, thus the absence of information</x18tc:text>
  </x18tc:threadedComment>
  <x18tc:threadedComment ref="AL26" dT="2026-01-19T07:01:21.00" personId="{07f87298-38ab-485d-8a57-1318dad6ce6a}" id="{d08fb9b8-b98e-4b57-b919-cb08f1c4203d}" done="1">
    <x18tc:text xml:space="preserve">Waiting for Jan 2026 for Tariff confirmation</x18tc:text>
  </x18tc:threadedComment>
  <x18tc:threadedComment ref="Q1" dT="2023-03-09T07:30:27.00" personId="{60a94410-1128-4573-ab0c-329aee5acb51}" id="{411e52ea-6796-4370-904f-0584e29f1bcb}" done="1">
    <x18tc:text xml:space="preserve">@romain.petiteau@roam-electric.com Who should this be. TE rep or Roam
Assigned to romain.petiteau@roam-electric.com</x18tc:text>
    <x18tc:mentions>
      <x18tc:mention mentionpersonId="{c17c0cac-4c0a-4899-af55-741fd403d74c}" mentionId="{4b16d91b-73dd-423a-a2ed-14c3f935be43}" startIndex="0" length="34"/>
    </x18tc:mentions>
  </x18tc:threadedComment>
  <x18tc:threadedComment ref="Q1" dT="2023-03-09T07:43:42.00" personId="{4a367b16-8cb5-48d5-b105-e54c85f4b2f4}" id="{a668732d-661b-417d-a690-230c133b0b66}" parentId="{411e52ea-6796-4370-904f-0584e29f1bcb}">
    <x18tc:text xml:space="preserve">I was thinking more of TE side. our Roam Operators will move arround.</x18tc:text>
  </x18tc:threadedComment>
  <x18tc:threadedComment ref="P10" dT="2025-04-28T12:46:49.00" personId="{b46e58cd-8774-42b0-a797-546e5d08ce4b}" id="{80ec7e6a-08e4-4fce-8398-5cd7a499a797}" done="1">
    <x18tc:text xml:space="preserve">Wrong coordinates, allow me to edit @habib.lukaya@roam-electric.com
Assigned to habib.lukaya@roam-electric.com</x18tc:text>
    <x18tc:mentions>
      <x18tc:mention mentionpersonId="{c96a55e2-c86f-4579-aadb-ef9d571a9446}" mentionId="{fa48faaa-fd1b-4f50-b9ba-2e572636c49d}" startIndex="36" length="31"/>
    </x18tc:mentions>
  </x18tc:threadedComment>
  <x18tc:threadedComment ref="P10" dT="2025-05-06T15:24:54.00" personId="{4a367b16-8cb5-48d5-b105-e54c85f4b2f4}" id="{4c98de99-e062-4f5d-83c7-b8adc6c40099}" parentId="{80ec7e6a-08e4-4fce-8398-5cd7a499a797}">
    <x18tc:text xml:space="preserve">please yes</x18tc:text>
  </x18tc:threadedComment>
  <x18tc:threadedComment ref="Y4" dT="2023-07-06T04:40:34.00" personId="{4a367b16-8cb5-48d5-b105-e54c85f4b2f4}" id="{cb8fb129-8cbd-4cef-a78f-6f60e308bfb9}" done="1">
    <x18tc:text xml:space="preserve">@habib.lukaya@roam-electric.com 
Please keep this database up to date.
Assigned to habib.lukaya@roam-electric.com</x18tc:text>
    <x18tc:mentions>
      <x18tc:mention mentionpersonId="{c96a55e2-c86f-4579-aadb-ef9d571a9446}" mentionId="{1c2f08ff-1391-453b-bc58-b43a8dd23311}" startIndex="0" length="31"/>
    </x18tc:mentions>
  </x18tc:threadedComment>
  <x18tc:threadedComment ref="AL25" dT="2026-01-19T07:00:41.00" personId="{07f87298-38ab-485d-8a57-1318dad6ce6a}" id="{cbfd3d96-9fbd-4fbd-b8dd-1b4cac34cd27}" done="1">
    <x18tc:text xml:space="preserve">Tariff Conversion initiated waiting for Jan 2026 bill to confirm the tariff</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0" dT="2025-06-17T06:56:50.00" personId="{188ee2ff-b719-4bad-9d43-f7d5b85099e9}" id="{161ea4e1-d756-420e-a742-fc05f13bf8fb}" done="1">
    <x18tc:text xml:space="preserve">hi,at kayole we have only 11 chargers with IOT not 10.and 2 of them requires a keyword.</x18tc:text>
  </x18tc:threadedComment>
  <x18tc:threadedComment ref="G10" dT="2025-06-18T14:20:15.00" personId="{188ee2ff-b719-4bad-9d43-f7d5b85099e9}" id="{65ca99b2-75c0-4274-9fc8-178b71b81075}" parentId="{161ea4e1-d756-420e-a742-fc05f13bf8fb}">
    <x18tc:text xml:space="preserve">karambee we have 18 IOTS not 19.</x18tc:text>
  </x18tc:threadedComment>
  <x18tc:threadedComment ref="G10" dT="2025-07-09T07:59:19.00" personId="{4a367b16-8cb5-48d5-b105-e54c85f4b2f4}" id="{b98a6853-2030-418c-b71c-da612ba96ab0}" parentId="{161ea4e1-d756-420e-a742-fc05f13bf8fb}">
    <x18tc:text xml:space="preserve">Marked as resolved</x18tc:text>
  </x18tc:threadedComment>
  <x18tc:threadedComment ref="G10" dT="2025-07-09T09:41:55.00" personId="{188ee2ff-b719-4bad-9d43-f7d5b85099e9}" id="{34ce24d8-e340-4d71-ba20-3e1c2e9433fc}" parentId="{161ea4e1-d756-420e-a742-fc05f13bf8fb}">
    <x18tc:text xml:space="preserve">ok
Re-opened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ybSP_OLmVooKnCeErB028eOgS0cUtnCs3TzHb6poBdA/edit?gid=0"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40" Type="http://schemas.openxmlformats.org/officeDocument/2006/relationships/drawing" Target="../drawings/drawing6.xml"/><Relationship Id="rId20" Type="http://schemas.openxmlformats.org/officeDocument/2006/relationships/hyperlink" Target="https://www.google.com/maps?q=-1.1670501,36.8204359" TargetMode="External"/><Relationship Id="rId22" Type="http://schemas.openxmlformats.org/officeDocument/2006/relationships/hyperlink" Target="https://www.google.com/maps?q=-1.257151,36.917729" TargetMode="External"/><Relationship Id="rId21" Type="http://schemas.openxmlformats.org/officeDocument/2006/relationships/hyperlink" Target="https://www.google.com/maps?q=-1.2750468,36.9698007" TargetMode="External"/><Relationship Id="rId24" Type="http://schemas.openxmlformats.org/officeDocument/2006/relationships/hyperlink" Target="https://www.google.com/maps?q=-1.2295536,36.6784509" TargetMode="External"/><Relationship Id="rId23" Type="http://schemas.openxmlformats.org/officeDocument/2006/relationships/hyperlink" Target="https://www.google.com/maps?q=-1.3067629,36.7335908" TargetMode="External"/><Relationship Id="rId1" Type="http://schemas.openxmlformats.org/officeDocument/2006/relationships/hyperlink" Target="https://maps.app.goo.gl/BWD5aZmQwfr99RhbA" TargetMode="External"/><Relationship Id="rId2" Type="http://schemas.openxmlformats.org/officeDocument/2006/relationships/hyperlink" Target="https://maps.app.goo.gl/4s1nBETTQEqXASkh7" TargetMode="External"/><Relationship Id="rId3" Type="http://schemas.openxmlformats.org/officeDocument/2006/relationships/hyperlink" Target="https://maps.app.goo.gl/Ld9yah1pECmyfm8d6" TargetMode="External"/><Relationship Id="rId4" Type="http://schemas.openxmlformats.org/officeDocument/2006/relationships/hyperlink" Target="https://maps.app.goo.gl/oGSY6tdUBCXoHNPUA" TargetMode="External"/><Relationship Id="rId9" Type="http://schemas.openxmlformats.org/officeDocument/2006/relationships/hyperlink" Target="https://maps.app.goo.gl/dj6LcJFcTfoMkEzm7" TargetMode="External"/><Relationship Id="rId26" Type="http://schemas.openxmlformats.org/officeDocument/2006/relationships/hyperlink" Target="https://maps.app.goo.gl/Fb4Hfgehw74ueAKy9" TargetMode="External"/><Relationship Id="rId25" Type="http://schemas.openxmlformats.org/officeDocument/2006/relationships/hyperlink" Target="https://maps.app.goo.gl/yLHnnC3XHnF4Sx9s6" TargetMode="External"/><Relationship Id="rId28" Type="http://schemas.openxmlformats.org/officeDocument/2006/relationships/hyperlink" Target="https://www.google.com/maps?q=-1.424615,36.6811616" TargetMode="External"/><Relationship Id="rId27" Type="http://schemas.openxmlformats.org/officeDocument/2006/relationships/hyperlink" Target="https://www.google.com/maps?q=-1.4214276,36.69642" TargetMode="External"/><Relationship Id="rId5" Type="http://schemas.openxmlformats.org/officeDocument/2006/relationships/hyperlink" Target="https://maps.app.goo.gl/DQnjxQMF4uhA7eLg9" TargetMode="External"/><Relationship Id="rId6" Type="http://schemas.openxmlformats.org/officeDocument/2006/relationships/hyperlink" Target="https://maps.app.goo.gl/R3VA82cHdHpQ8rjSA" TargetMode="External"/><Relationship Id="rId29" Type="http://schemas.openxmlformats.org/officeDocument/2006/relationships/hyperlink" Target="https://www.google.com/maps?q=-1.1497653,36.9635278" TargetMode="External"/><Relationship Id="rId7" Type="http://schemas.openxmlformats.org/officeDocument/2006/relationships/hyperlink" Target="https://maps.app.goo.gl/iUiCxSgALqujUkfq6" TargetMode="External"/><Relationship Id="rId8" Type="http://schemas.openxmlformats.org/officeDocument/2006/relationships/hyperlink" Target="https://maps.app.goo.gl/FySGKKPxLwGFj2RG6" TargetMode="External"/><Relationship Id="rId31" Type="http://schemas.openxmlformats.org/officeDocument/2006/relationships/hyperlink" Target="https://www.google.com/maps?q=-1.3078582,36.8541481" TargetMode="External"/><Relationship Id="rId30" Type="http://schemas.openxmlformats.org/officeDocument/2006/relationships/hyperlink" Target="https://www.google.com/maps?q=-1.2980571,36.8688626" TargetMode="External"/><Relationship Id="rId11" Type="http://schemas.openxmlformats.org/officeDocument/2006/relationships/hyperlink" Target="https://maps.app.goo.gl/yRA1jWawcWU61VEt6" TargetMode="External"/><Relationship Id="rId33" Type="http://schemas.openxmlformats.org/officeDocument/2006/relationships/hyperlink" Target="https://www.google.com/maps?q=-1.2943264,36.7546944" TargetMode="External"/><Relationship Id="rId10" Type="http://schemas.openxmlformats.org/officeDocument/2006/relationships/hyperlink" Target="https://maps.app.goo.gl/tLFZ5vwvMa8y7RKG8" TargetMode="External"/><Relationship Id="rId32" Type="http://schemas.openxmlformats.org/officeDocument/2006/relationships/hyperlink" Target="https://www.google.com/maps?q=-1.2995369,36.8076478" TargetMode="External"/><Relationship Id="rId13" Type="http://schemas.openxmlformats.org/officeDocument/2006/relationships/hyperlink" Target="https://maps.app.goo.gl/9RLTvXFd6Wc1pG7i6" TargetMode="External"/><Relationship Id="rId35" Type="http://schemas.openxmlformats.org/officeDocument/2006/relationships/hyperlink" Target="https://www.google.com/maps?q=-1.2805207,37.0540711" TargetMode="External"/><Relationship Id="rId12" Type="http://schemas.openxmlformats.org/officeDocument/2006/relationships/hyperlink" Target="https://maps.app.goo.gl/uaCJAooiDuDNf2wB8" TargetMode="External"/><Relationship Id="rId34" Type="http://schemas.openxmlformats.org/officeDocument/2006/relationships/hyperlink" Target="https://www.google.com/maps?q=-1.2954724,36.7991183" TargetMode="External"/><Relationship Id="rId15" Type="http://schemas.openxmlformats.org/officeDocument/2006/relationships/hyperlink" Target="https://maps.app.goo.gl/sDageUBgjbBzS6389" TargetMode="External"/><Relationship Id="rId37" Type="http://schemas.openxmlformats.org/officeDocument/2006/relationships/hyperlink" Target="https://www.google.com/maps?q=-1.2800969,36.661813" TargetMode="External"/><Relationship Id="rId14" Type="http://schemas.openxmlformats.org/officeDocument/2006/relationships/hyperlink" Target="https://maps.app.goo.gl/rQx46HqhK5YX2DjQ6" TargetMode="External"/><Relationship Id="rId36" Type="http://schemas.openxmlformats.org/officeDocument/2006/relationships/hyperlink" Target="https://www.google.com/maps?q=-1.2991321,36.7985032" TargetMode="External"/><Relationship Id="rId17" Type="http://schemas.openxmlformats.org/officeDocument/2006/relationships/hyperlink" Target="https://www.google.com/maps?q=-1.275188,36.9717323" TargetMode="External"/><Relationship Id="rId39" Type="http://schemas.openxmlformats.org/officeDocument/2006/relationships/hyperlink" Target="https://www.google.com/maps?q=-1.2178493,36.8985575" TargetMode="External"/><Relationship Id="rId16" Type="http://schemas.openxmlformats.org/officeDocument/2006/relationships/hyperlink" Target="https://www.google.com/maps?q=-1.1544773,36.9372528" TargetMode="External"/><Relationship Id="rId38" Type="http://schemas.openxmlformats.org/officeDocument/2006/relationships/hyperlink" Target="https://www.google.com/maps?q=-1.2646015,36.812634" TargetMode="External"/><Relationship Id="rId19" Type="http://schemas.openxmlformats.org/officeDocument/2006/relationships/hyperlink" Target="https://www.google.com/maps?q=-1.146381,36.956178" TargetMode="External"/><Relationship Id="rId18" Type="http://schemas.openxmlformats.org/officeDocument/2006/relationships/hyperlink" Target="https://www.google.com/maps?q=-1.2775993,36.949089"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iki.openstreetmap.org/w/images/9/9a/EMI3-standard-v1.0-Part-2.pdf"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1.xml"/><Relationship Id="rId5" Type="http://schemas.openxmlformats.org/officeDocument/2006/relationships/vmlDrawing" Target="../drawings/vmlDrawing3.vml"/><Relationship Id="rId7"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22.38"/>
  </cols>
  <sheetData>
    <row r="1">
      <c r="A1" s="1" t="s">
        <v>0</v>
      </c>
      <c r="B1" s="2" t="s">
        <v>1</v>
      </c>
      <c r="C1" s="2" t="s">
        <v>2</v>
      </c>
      <c r="D1" s="2" t="s">
        <v>3</v>
      </c>
      <c r="E1" s="2" t="s">
        <v>4</v>
      </c>
      <c r="F1" s="3" t="s">
        <v>5</v>
      </c>
      <c r="G1" s="3" t="s">
        <v>6</v>
      </c>
      <c r="H1" s="3" t="s">
        <v>7</v>
      </c>
      <c r="I1" s="3" t="s">
        <v>8</v>
      </c>
    </row>
    <row r="2">
      <c r="A2" s="4">
        <v>0.0</v>
      </c>
      <c r="B2" s="5" t="s">
        <v>9</v>
      </c>
      <c r="C2" s="6" t="s">
        <v>10</v>
      </c>
      <c r="D2" s="7">
        <v>-1.30113449995662</v>
      </c>
      <c r="E2" s="7">
        <v>36.8329046439933</v>
      </c>
      <c r="F2" s="8" t="s">
        <v>11</v>
      </c>
      <c r="G2" s="8" t="s">
        <v>12</v>
      </c>
      <c r="H2" s="8" t="s">
        <v>13</v>
      </c>
      <c r="I2" s="9">
        <v>2.54111917217E11</v>
      </c>
    </row>
    <row r="3">
      <c r="A3" s="4">
        <v>1.0</v>
      </c>
      <c r="B3" s="5" t="s">
        <v>14</v>
      </c>
      <c r="C3" s="6" t="s">
        <v>15</v>
      </c>
      <c r="D3" s="7">
        <v>-1.25794053117185</v>
      </c>
      <c r="E3" s="7">
        <v>36.7813288629712</v>
      </c>
      <c r="F3" s="8" t="s">
        <v>11</v>
      </c>
      <c r="G3" s="8" t="s">
        <v>12</v>
      </c>
      <c r="H3" s="8" t="s">
        <v>13</v>
      </c>
      <c r="I3" s="9">
        <v>2.54113585123E11</v>
      </c>
    </row>
    <row r="4">
      <c r="A4" s="4">
        <v>2.0</v>
      </c>
      <c r="B4" s="10" t="s">
        <v>16</v>
      </c>
      <c r="C4" s="6" t="s">
        <v>17</v>
      </c>
      <c r="D4" s="7">
        <v>-1.29966736517089</v>
      </c>
      <c r="E4" s="7">
        <v>36.7887171593343</v>
      </c>
      <c r="F4" s="8" t="s">
        <v>11</v>
      </c>
      <c r="G4" s="8" t="s">
        <v>12</v>
      </c>
      <c r="H4" s="8" t="s">
        <v>13</v>
      </c>
      <c r="I4" s="10"/>
    </row>
    <row r="5">
      <c r="A5" s="4">
        <v>3.0</v>
      </c>
      <c r="B5" s="10" t="s">
        <v>18</v>
      </c>
      <c r="C5" s="6" t="s">
        <v>19</v>
      </c>
      <c r="D5" s="7">
        <v>-1.292109</v>
      </c>
      <c r="E5" s="7">
        <v>36.843321</v>
      </c>
      <c r="F5" s="8" t="s">
        <v>20</v>
      </c>
      <c r="G5" s="8" t="s">
        <v>21</v>
      </c>
      <c r="H5" s="8" t="s">
        <v>22</v>
      </c>
      <c r="I5" s="10"/>
    </row>
    <row r="6">
      <c r="A6" s="4">
        <v>4.0</v>
      </c>
      <c r="B6" s="10" t="s">
        <v>23</v>
      </c>
      <c r="C6" s="6" t="s">
        <v>24</v>
      </c>
      <c r="D6" s="7">
        <v>-1.279364</v>
      </c>
      <c r="E6" s="7">
        <v>36.770414</v>
      </c>
      <c r="F6" s="8" t="s">
        <v>20</v>
      </c>
      <c r="G6" s="8" t="s">
        <v>21</v>
      </c>
      <c r="H6" s="8" t="s">
        <v>22</v>
      </c>
      <c r="I6" s="10"/>
    </row>
    <row r="7">
      <c r="A7" s="4">
        <v>5.0</v>
      </c>
      <c r="B7" s="10" t="s">
        <v>25</v>
      </c>
      <c r="C7" s="6" t="s">
        <v>26</v>
      </c>
      <c r="D7" s="7">
        <v>-1.287923</v>
      </c>
      <c r="E7" s="7">
        <v>36.741585</v>
      </c>
      <c r="F7" s="8" t="s">
        <v>20</v>
      </c>
      <c r="G7" s="8" t="s">
        <v>21</v>
      </c>
      <c r="H7" s="8" t="s">
        <v>22</v>
      </c>
      <c r="I7" s="10"/>
    </row>
    <row r="8">
      <c r="A8" s="4">
        <v>6.0</v>
      </c>
      <c r="B8" s="10" t="s">
        <v>27</v>
      </c>
      <c r="C8" s="6" t="s">
        <v>28</v>
      </c>
      <c r="D8" s="10"/>
      <c r="E8" s="7"/>
      <c r="F8" s="8" t="s">
        <v>29</v>
      </c>
      <c r="G8" s="8" t="s">
        <v>30</v>
      </c>
      <c r="H8" s="8" t="s">
        <v>30</v>
      </c>
      <c r="I8" s="10"/>
    </row>
    <row r="9">
      <c r="A9" s="4">
        <v>7.0</v>
      </c>
      <c r="B9" s="10" t="s">
        <v>31</v>
      </c>
      <c r="C9" s="6" t="s">
        <v>32</v>
      </c>
      <c r="D9" s="10"/>
      <c r="E9" s="10"/>
      <c r="F9" s="8" t="s">
        <v>29</v>
      </c>
      <c r="G9" s="8" t="s">
        <v>30</v>
      </c>
      <c r="H9" s="8" t="s">
        <v>30</v>
      </c>
      <c r="I9" s="10"/>
    </row>
    <row r="10">
      <c r="A10" s="4">
        <v>8.0</v>
      </c>
      <c r="B10" s="10" t="s">
        <v>33</v>
      </c>
      <c r="C10" s="6" t="s">
        <v>34</v>
      </c>
      <c r="D10" s="7">
        <v>-1.227694</v>
      </c>
      <c r="E10" s="7">
        <v>36.883355</v>
      </c>
      <c r="F10" s="8" t="s">
        <v>29</v>
      </c>
      <c r="G10" s="8" t="s">
        <v>30</v>
      </c>
      <c r="H10" s="8" t="s">
        <v>30</v>
      </c>
      <c r="I10" s="10"/>
    </row>
    <row r="11">
      <c r="A11" s="4">
        <v>9.0</v>
      </c>
      <c r="B11" s="10" t="s">
        <v>35</v>
      </c>
      <c r="C11" s="6" t="s">
        <v>36</v>
      </c>
      <c r="D11" s="7">
        <v>-1.2548636</v>
      </c>
      <c r="E11" s="7">
        <v>36.6631395</v>
      </c>
      <c r="F11" s="8" t="s">
        <v>29</v>
      </c>
      <c r="G11" s="8" t="s">
        <v>30</v>
      </c>
      <c r="H11" s="8" t="s">
        <v>30</v>
      </c>
      <c r="I11" s="10"/>
    </row>
    <row r="12">
      <c r="A12" s="4">
        <v>10.0</v>
      </c>
      <c r="B12" s="10" t="s">
        <v>37</v>
      </c>
      <c r="C12" s="6" t="s">
        <v>38</v>
      </c>
      <c r="D12" s="7">
        <v>-1.268001</v>
      </c>
      <c r="E12" s="7">
        <v>36.84817</v>
      </c>
      <c r="F12" s="8" t="s">
        <v>29</v>
      </c>
      <c r="G12" s="8" t="s">
        <v>30</v>
      </c>
      <c r="H12" s="8" t="s">
        <v>30</v>
      </c>
      <c r="I12" s="10"/>
    </row>
    <row r="13">
      <c r="A13" s="4">
        <v>11.0</v>
      </c>
      <c r="B13" s="10" t="s">
        <v>39</v>
      </c>
      <c r="C13" s="6" t="s">
        <v>40</v>
      </c>
      <c r="D13" s="7">
        <v>-1.29483</v>
      </c>
      <c r="E13" s="7">
        <v>36.78731</v>
      </c>
      <c r="F13" s="8" t="s">
        <v>29</v>
      </c>
      <c r="G13" s="8" t="s">
        <v>30</v>
      </c>
      <c r="H13" s="8" t="s">
        <v>30</v>
      </c>
      <c r="I13" s="10"/>
    </row>
    <row r="14">
      <c r="A14" s="11"/>
      <c r="B14" s="11"/>
      <c r="C14" s="11"/>
      <c r="D14" s="11"/>
      <c r="E14" s="11"/>
      <c r="F14" s="11"/>
      <c r="G14" s="11"/>
      <c r="H14" s="11"/>
      <c r="I14" s="11"/>
    </row>
    <row r="15">
      <c r="A15" s="11"/>
      <c r="B15" s="11"/>
      <c r="C15" s="11"/>
      <c r="D15" s="11"/>
      <c r="E15" s="11"/>
      <c r="F15" s="11"/>
      <c r="G15" s="11"/>
      <c r="H15" s="11"/>
      <c r="I15" s="11"/>
    </row>
    <row r="16">
      <c r="A16" s="11"/>
      <c r="B16" s="11"/>
      <c r="C16" s="11"/>
      <c r="D16" s="11"/>
      <c r="E16" s="11"/>
      <c r="F16" s="11"/>
      <c r="G16" s="11"/>
      <c r="H16" s="11"/>
      <c r="I16" s="11"/>
    </row>
    <row r="17">
      <c r="A17" s="11"/>
      <c r="B17" s="11"/>
      <c r="C17" s="11"/>
      <c r="D17" s="11"/>
      <c r="E17" s="11"/>
      <c r="F17" s="11"/>
      <c r="G17" s="11"/>
      <c r="H17" s="11"/>
      <c r="I17" s="11"/>
    </row>
    <row r="18">
      <c r="A18" s="11"/>
      <c r="B18" s="11"/>
      <c r="C18" s="11"/>
      <c r="D18" s="11"/>
      <c r="E18" s="11"/>
      <c r="F18" s="11"/>
      <c r="G18" s="11"/>
      <c r="H18" s="11"/>
      <c r="I18" s="11"/>
    </row>
    <row r="19">
      <c r="A19" s="11"/>
      <c r="B19" s="11"/>
      <c r="C19" s="11"/>
      <c r="D19" s="11"/>
      <c r="E19" s="11"/>
      <c r="F19" s="11"/>
      <c r="G19" s="11"/>
      <c r="H19" s="11"/>
      <c r="I19" s="11"/>
    </row>
    <row r="20">
      <c r="A20" s="11"/>
      <c r="B20" s="11"/>
      <c r="C20" s="11"/>
      <c r="D20" s="11"/>
      <c r="E20" s="11"/>
      <c r="F20" s="11"/>
      <c r="G20" s="11"/>
      <c r="H20" s="11"/>
      <c r="I20" s="11"/>
    </row>
    <row r="21">
      <c r="A21" s="11"/>
      <c r="B21" s="11"/>
      <c r="C21" s="11"/>
      <c r="D21" s="11"/>
      <c r="E21" s="11"/>
      <c r="F21" s="11"/>
      <c r="G21" s="11"/>
      <c r="H21" s="11"/>
      <c r="I21" s="11"/>
    </row>
    <row r="22">
      <c r="A22" s="11"/>
      <c r="B22" s="11"/>
      <c r="C22" s="11"/>
      <c r="D22" s="11"/>
      <c r="E22" s="11"/>
      <c r="F22" s="11"/>
      <c r="G22" s="11"/>
      <c r="H22" s="11"/>
      <c r="I22" s="11"/>
    </row>
    <row r="23">
      <c r="A23" s="11"/>
      <c r="B23" s="11"/>
      <c r="C23" s="11"/>
      <c r="D23" s="11"/>
      <c r="E23" s="11"/>
      <c r="F23" s="11"/>
      <c r="G23" s="11"/>
      <c r="H23" s="11"/>
      <c r="I23" s="11"/>
    </row>
    <row r="24">
      <c r="A24" s="11"/>
      <c r="B24" s="11"/>
      <c r="C24" s="11"/>
      <c r="D24" s="11"/>
      <c r="E24" s="11"/>
      <c r="F24" s="11"/>
      <c r="G24" s="11"/>
      <c r="H24" s="11"/>
      <c r="I24" s="11"/>
    </row>
    <row r="25">
      <c r="A25" s="11"/>
      <c r="B25" s="11"/>
      <c r="C25" s="11"/>
      <c r="D25" s="11"/>
      <c r="E25" s="11"/>
      <c r="F25" s="11"/>
      <c r="G25" s="11"/>
      <c r="H25" s="11"/>
      <c r="I25" s="11"/>
    </row>
    <row r="26">
      <c r="A26" s="11"/>
      <c r="B26" s="11"/>
      <c r="C26" s="11"/>
      <c r="D26" s="11"/>
      <c r="E26" s="11"/>
      <c r="F26" s="11"/>
      <c r="G26" s="11"/>
      <c r="H26" s="11"/>
      <c r="I26" s="11"/>
    </row>
    <row r="27">
      <c r="A27" s="11"/>
      <c r="B27" s="11"/>
      <c r="C27" s="11"/>
      <c r="D27" s="11"/>
      <c r="E27" s="11"/>
      <c r="F27" s="11"/>
      <c r="G27" s="11"/>
      <c r="H27" s="11"/>
      <c r="I27" s="11"/>
    </row>
    <row r="28">
      <c r="A28" s="11"/>
      <c r="B28" s="11"/>
      <c r="C28" s="11"/>
      <c r="D28" s="11"/>
      <c r="E28" s="11"/>
      <c r="F28" s="11"/>
      <c r="G28" s="11"/>
      <c r="H28" s="11"/>
      <c r="I28" s="11"/>
    </row>
    <row r="29">
      <c r="A29" s="11"/>
      <c r="B29" s="11"/>
      <c r="C29" s="11"/>
      <c r="D29" s="11"/>
      <c r="E29" s="11"/>
      <c r="F29" s="11"/>
      <c r="G29" s="11"/>
      <c r="H29" s="11"/>
      <c r="I29" s="11"/>
    </row>
    <row r="30">
      <c r="A30" s="11"/>
      <c r="B30" s="11"/>
      <c r="C30" s="11"/>
      <c r="D30" s="11"/>
      <c r="E30" s="11"/>
      <c r="F30" s="11"/>
      <c r="G30" s="11"/>
      <c r="H30" s="11"/>
      <c r="I30" s="11"/>
    </row>
    <row r="31">
      <c r="A31" s="11"/>
      <c r="B31" s="11"/>
      <c r="C31" s="11"/>
      <c r="D31" s="11"/>
      <c r="E31" s="11"/>
      <c r="F31" s="11"/>
      <c r="G31" s="11"/>
      <c r="H31" s="11"/>
      <c r="I31" s="11"/>
    </row>
    <row r="32">
      <c r="A32" s="11"/>
      <c r="B32" s="11"/>
      <c r="C32" s="11"/>
      <c r="D32" s="11"/>
      <c r="E32" s="11"/>
      <c r="F32" s="11"/>
      <c r="G32" s="11"/>
      <c r="H32" s="11"/>
      <c r="I32" s="11"/>
    </row>
    <row r="33">
      <c r="A33" s="11"/>
      <c r="B33" s="11"/>
      <c r="C33" s="11"/>
      <c r="D33" s="11"/>
      <c r="E33" s="11"/>
      <c r="F33" s="11"/>
      <c r="G33" s="11"/>
      <c r="H33" s="11"/>
      <c r="I33" s="11"/>
    </row>
    <row r="34">
      <c r="A34" s="11"/>
      <c r="B34" s="11"/>
      <c r="C34" s="11"/>
      <c r="D34" s="11"/>
      <c r="E34" s="11"/>
      <c r="F34" s="11"/>
      <c r="G34" s="11"/>
      <c r="H34" s="11"/>
      <c r="I34" s="11"/>
    </row>
    <row r="35">
      <c r="A35" s="11"/>
      <c r="B35" s="11"/>
      <c r="C35" s="11"/>
      <c r="D35" s="11"/>
      <c r="E35" s="11"/>
      <c r="F35" s="11"/>
      <c r="G35" s="11"/>
      <c r="H35" s="11"/>
      <c r="I35" s="11"/>
    </row>
    <row r="36">
      <c r="A36" s="11"/>
      <c r="B36" s="11"/>
      <c r="C36" s="11"/>
      <c r="D36" s="11"/>
      <c r="E36" s="11"/>
      <c r="F36" s="11"/>
      <c r="G36" s="11"/>
      <c r="H36" s="11"/>
      <c r="I36" s="11"/>
    </row>
    <row r="37">
      <c r="A37" s="11"/>
      <c r="B37" s="11"/>
      <c r="C37" s="11"/>
      <c r="D37" s="11"/>
      <c r="E37" s="11"/>
      <c r="F37" s="11"/>
      <c r="G37" s="11"/>
      <c r="H37" s="11"/>
      <c r="I37" s="11"/>
    </row>
    <row r="38">
      <c r="A38" s="11"/>
      <c r="B38" s="11"/>
      <c r="C38" s="11"/>
      <c r="D38" s="11"/>
      <c r="E38" s="11"/>
      <c r="F38" s="11"/>
      <c r="G38" s="11"/>
      <c r="H38" s="11"/>
      <c r="I38" s="11"/>
    </row>
    <row r="39">
      <c r="A39" s="11"/>
      <c r="B39" s="11"/>
      <c r="C39" s="11"/>
      <c r="D39" s="11"/>
      <c r="E39" s="11"/>
      <c r="F39" s="11"/>
      <c r="G39" s="11"/>
      <c r="H39" s="11"/>
      <c r="I39" s="11"/>
    </row>
    <row r="40">
      <c r="A40" s="11"/>
      <c r="B40" s="11"/>
      <c r="C40" s="11"/>
      <c r="D40" s="11"/>
      <c r="E40" s="11"/>
      <c r="F40" s="11"/>
      <c r="G40" s="11"/>
      <c r="H40" s="11"/>
      <c r="I40" s="11"/>
    </row>
    <row r="41">
      <c r="A41" s="11"/>
      <c r="B41" s="11"/>
      <c r="C41" s="11"/>
      <c r="D41" s="11"/>
      <c r="E41" s="11"/>
      <c r="F41" s="11"/>
      <c r="G41" s="11"/>
      <c r="H41" s="11"/>
      <c r="I41" s="11"/>
    </row>
    <row r="42">
      <c r="A42" s="11"/>
      <c r="B42" s="11"/>
      <c r="C42" s="11"/>
      <c r="D42" s="11"/>
      <c r="E42" s="11"/>
      <c r="F42" s="11"/>
      <c r="G42" s="11"/>
      <c r="H42" s="11"/>
      <c r="I42" s="11"/>
    </row>
    <row r="43">
      <c r="A43" s="11"/>
      <c r="B43" s="11"/>
      <c r="C43" s="11"/>
      <c r="D43" s="11"/>
      <c r="E43" s="11"/>
      <c r="F43" s="11"/>
      <c r="G43" s="11"/>
      <c r="H43" s="11"/>
      <c r="I43" s="11"/>
    </row>
    <row r="44">
      <c r="A44" s="11"/>
      <c r="B44" s="11"/>
      <c r="C44" s="11"/>
      <c r="D44" s="11"/>
      <c r="E44" s="11"/>
      <c r="F44" s="11"/>
      <c r="G44" s="11"/>
      <c r="H44" s="11"/>
      <c r="I44" s="11"/>
    </row>
    <row r="45">
      <c r="A45" s="11"/>
      <c r="B45" s="11"/>
      <c r="C45" s="11"/>
      <c r="D45" s="11"/>
      <c r="E45" s="11"/>
      <c r="F45" s="11"/>
      <c r="G45" s="11"/>
      <c r="H45" s="11"/>
      <c r="I45" s="11"/>
    </row>
    <row r="46">
      <c r="A46" s="11"/>
      <c r="B46" s="11"/>
      <c r="C46" s="11"/>
      <c r="D46" s="11"/>
      <c r="E46" s="11"/>
      <c r="F46" s="11"/>
      <c r="G46" s="11"/>
      <c r="H46" s="11"/>
      <c r="I46" s="11"/>
    </row>
    <row r="47">
      <c r="A47" s="11"/>
      <c r="B47" s="11"/>
      <c r="C47" s="11"/>
      <c r="D47" s="11"/>
      <c r="E47" s="11"/>
      <c r="F47" s="11"/>
      <c r="G47" s="11"/>
      <c r="H47" s="11"/>
      <c r="I47" s="11"/>
    </row>
    <row r="48">
      <c r="A48" s="11"/>
      <c r="B48" s="11"/>
      <c r="C48" s="11"/>
      <c r="D48" s="11"/>
      <c r="E48" s="11"/>
      <c r="F48" s="11"/>
      <c r="G48" s="11"/>
      <c r="H48" s="11"/>
      <c r="I48" s="11"/>
    </row>
    <row r="49">
      <c r="A49" s="11"/>
      <c r="B49" s="11"/>
      <c r="C49" s="11"/>
      <c r="D49" s="11"/>
      <c r="E49" s="11"/>
      <c r="F49" s="11"/>
      <c r="G49" s="11"/>
      <c r="H49" s="11"/>
      <c r="I49" s="11"/>
    </row>
    <row r="50">
      <c r="A50" s="11"/>
      <c r="B50" s="11"/>
      <c r="C50" s="11"/>
      <c r="D50" s="11"/>
      <c r="E50" s="11"/>
      <c r="F50" s="11"/>
      <c r="G50" s="11"/>
      <c r="H50" s="11"/>
      <c r="I50" s="11"/>
    </row>
    <row r="51">
      <c r="A51" s="11"/>
      <c r="B51" s="11"/>
      <c r="C51" s="11"/>
      <c r="D51" s="11"/>
      <c r="E51" s="11"/>
      <c r="F51" s="11"/>
      <c r="G51" s="11"/>
      <c r="H51" s="11"/>
      <c r="I51" s="11"/>
    </row>
    <row r="52">
      <c r="A52" s="11"/>
      <c r="B52" s="11"/>
      <c r="C52" s="11"/>
      <c r="D52" s="11"/>
      <c r="E52" s="11"/>
      <c r="F52" s="11"/>
      <c r="G52" s="11"/>
      <c r="H52" s="11"/>
      <c r="I52" s="11"/>
    </row>
    <row r="53">
      <c r="A53" s="11"/>
      <c r="B53" s="11"/>
      <c r="C53" s="11"/>
      <c r="D53" s="11"/>
      <c r="E53" s="11"/>
      <c r="F53" s="11"/>
      <c r="G53" s="11"/>
      <c r="H53" s="11"/>
      <c r="I53" s="11"/>
    </row>
    <row r="54">
      <c r="A54" s="11"/>
      <c r="B54" s="11"/>
      <c r="C54" s="11"/>
      <c r="D54" s="11"/>
      <c r="E54" s="11"/>
      <c r="F54" s="11"/>
      <c r="G54" s="11"/>
      <c r="H54" s="11"/>
      <c r="I54" s="11"/>
    </row>
    <row r="55">
      <c r="A55" s="11"/>
      <c r="B55" s="11"/>
      <c r="C55" s="11"/>
      <c r="D55" s="11"/>
      <c r="E55" s="11"/>
      <c r="F55" s="11"/>
      <c r="G55" s="11"/>
      <c r="H55" s="11"/>
      <c r="I55" s="11"/>
    </row>
    <row r="56">
      <c r="A56" s="11"/>
      <c r="B56" s="11"/>
      <c r="C56" s="11"/>
      <c r="D56" s="11"/>
      <c r="E56" s="11"/>
      <c r="F56" s="11"/>
      <c r="G56" s="11"/>
      <c r="H56" s="11"/>
      <c r="I56" s="11"/>
    </row>
    <row r="57">
      <c r="A57" s="11"/>
      <c r="B57" s="11"/>
      <c r="C57" s="11"/>
      <c r="D57" s="11"/>
      <c r="E57" s="11"/>
      <c r="F57" s="11"/>
      <c r="G57" s="11"/>
      <c r="H57" s="11"/>
      <c r="I57" s="11"/>
    </row>
    <row r="58">
      <c r="A58" s="11"/>
      <c r="B58" s="11"/>
      <c r="C58" s="11"/>
      <c r="D58" s="11"/>
      <c r="E58" s="11"/>
      <c r="F58" s="11"/>
      <c r="G58" s="11"/>
      <c r="H58" s="11"/>
      <c r="I58" s="11"/>
    </row>
    <row r="59">
      <c r="A59" s="11"/>
      <c r="B59" s="11"/>
      <c r="C59" s="11"/>
      <c r="D59" s="11"/>
      <c r="E59" s="11"/>
      <c r="F59" s="11"/>
      <c r="G59" s="11"/>
      <c r="H59" s="11"/>
      <c r="I59" s="11"/>
    </row>
    <row r="60">
      <c r="A60" s="11"/>
      <c r="B60" s="11"/>
      <c r="C60" s="11"/>
      <c r="D60" s="11"/>
      <c r="E60" s="11"/>
      <c r="F60" s="11"/>
      <c r="G60" s="11"/>
      <c r="H60" s="11"/>
      <c r="I60" s="11"/>
    </row>
    <row r="61">
      <c r="A61" s="11"/>
      <c r="B61" s="11"/>
      <c r="C61" s="11"/>
      <c r="D61" s="11"/>
      <c r="E61" s="11"/>
      <c r="F61" s="11"/>
      <c r="G61" s="11"/>
      <c r="H61" s="11"/>
      <c r="I61" s="11"/>
    </row>
    <row r="62">
      <c r="A62" s="11"/>
      <c r="B62" s="11"/>
      <c r="C62" s="11"/>
      <c r="D62" s="11"/>
      <c r="E62" s="11"/>
      <c r="F62" s="11"/>
      <c r="G62" s="11"/>
      <c r="H62" s="11"/>
      <c r="I62" s="11"/>
    </row>
    <row r="63">
      <c r="A63" s="11"/>
      <c r="B63" s="11"/>
      <c r="C63" s="11"/>
      <c r="D63" s="11"/>
      <c r="E63" s="11"/>
      <c r="F63" s="11"/>
      <c r="G63" s="11"/>
      <c r="H63" s="11"/>
      <c r="I63" s="11"/>
    </row>
    <row r="64">
      <c r="A64" s="11"/>
      <c r="B64" s="11"/>
      <c r="C64" s="11"/>
      <c r="D64" s="11"/>
      <c r="E64" s="11"/>
      <c r="F64" s="11"/>
      <c r="G64" s="11"/>
      <c r="H64" s="11"/>
      <c r="I64" s="11"/>
    </row>
    <row r="65">
      <c r="A65" s="11"/>
      <c r="B65" s="11"/>
      <c r="C65" s="11"/>
      <c r="D65" s="11"/>
      <c r="E65" s="11"/>
      <c r="F65" s="11"/>
      <c r="G65" s="11"/>
      <c r="H65" s="11"/>
      <c r="I65" s="11"/>
    </row>
    <row r="66">
      <c r="A66" s="11"/>
      <c r="B66" s="11"/>
      <c r="C66" s="11"/>
      <c r="D66" s="11"/>
      <c r="E66" s="11"/>
      <c r="F66" s="11"/>
      <c r="G66" s="11"/>
      <c r="H66" s="11"/>
      <c r="I66" s="11"/>
    </row>
    <row r="67">
      <c r="A67" s="11"/>
      <c r="B67" s="11"/>
      <c r="C67" s="11"/>
      <c r="D67" s="11"/>
      <c r="E67" s="11"/>
      <c r="F67" s="11"/>
      <c r="G67" s="11"/>
      <c r="H67" s="11"/>
      <c r="I67" s="11"/>
    </row>
    <row r="68">
      <c r="A68" s="11"/>
      <c r="B68" s="11"/>
      <c r="C68" s="11"/>
      <c r="D68" s="11"/>
      <c r="E68" s="11"/>
      <c r="F68" s="11"/>
      <c r="G68" s="11"/>
      <c r="H68" s="11"/>
      <c r="I68" s="11"/>
    </row>
    <row r="69">
      <c r="A69" s="11"/>
      <c r="B69" s="11"/>
      <c r="C69" s="11"/>
      <c r="D69" s="11"/>
      <c r="E69" s="11"/>
      <c r="F69" s="11"/>
      <c r="G69" s="11"/>
      <c r="H69" s="11"/>
      <c r="I69" s="11"/>
    </row>
    <row r="70">
      <c r="A70" s="11"/>
      <c r="B70" s="11"/>
      <c r="C70" s="11"/>
      <c r="D70" s="11"/>
      <c r="E70" s="11"/>
      <c r="F70" s="11"/>
      <c r="G70" s="11"/>
      <c r="H70" s="11"/>
      <c r="I70" s="11"/>
    </row>
    <row r="71">
      <c r="A71" s="11"/>
      <c r="B71" s="11"/>
      <c r="C71" s="11"/>
      <c r="D71" s="11"/>
      <c r="E71" s="11"/>
      <c r="F71" s="11"/>
      <c r="G71" s="11"/>
      <c r="H71" s="11"/>
      <c r="I71" s="11"/>
    </row>
    <row r="72">
      <c r="A72" s="11"/>
      <c r="B72" s="11"/>
      <c r="C72" s="11"/>
      <c r="D72" s="11"/>
      <c r="E72" s="11"/>
      <c r="F72" s="11"/>
      <c r="G72" s="11"/>
      <c r="H72" s="11"/>
      <c r="I72" s="11"/>
    </row>
    <row r="73">
      <c r="A73" s="11"/>
      <c r="B73" s="11"/>
      <c r="C73" s="11"/>
      <c r="D73" s="11"/>
      <c r="E73" s="11"/>
      <c r="F73" s="11"/>
      <c r="G73" s="11"/>
      <c r="H73" s="11"/>
      <c r="I73" s="11"/>
    </row>
    <row r="74">
      <c r="A74" s="11"/>
      <c r="B74" s="11"/>
      <c r="C74" s="11"/>
      <c r="D74" s="11"/>
      <c r="E74" s="11"/>
      <c r="F74" s="11"/>
      <c r="G74" s="11"/>
      <c r="H74" s="11"/>
      <c r="I74" s="11"/>
    </row>
    <row r="75">
      <c r="A75" s="11"/>
      <c r="B75" s="11"/>
      <c r="C75" s="11"/>
      <c r="D75" s="11"/>
      <c r="E75" s="11"/>
      <c r="F75" s="11"/>
      <c r="G75" s="11"/>
      <c r="H75" s="11"/>
      <c r="I75" s="11"/>
    </row>
    <row r="76">
      <c r="A76" s="11"/>
      <c r="B76" s="11"/>
      <c r="C76" s="11"/>
      <c r="D76" s="11"/>
      <c r="E76" s="11"/>
      <c r="F76" s="11"/>
      <c r="G76" s="11"/>
      <c r="H76" s="11"/>
      <c r="I76" s="11"/>
    </row>
    <row r="77">
      <c r="A77" s="11"/>
      <c r="B77" s="11"/>
      <c r="C77" s="11"/>
      <c r="D77" s="11"/>
      <c r="E77" s="11"/>
      <c r="F77" s="11"/>
      <c r="G77" s="11"/>
      <c r="H77" s="11"/>
      <c r="I77" s="11"/>
    </row>
    <row r="78">
      <c r="A78" s="11"/>
      <c r="B78" s="11"/>
      <c r="C78" s="11"/>
      <c r="D78" s="11"/>
      <c r="E78" s="11"/>
      <c r="F78" s="11"/>
      <c r="G78" s="11"/>
      <c r="H78" s="11"/>
      <c r="I78" s="11"/>
    </row>
    <row r="79">
      <c r="A79" s="11"/>
      <c r="B79" s="11"/>
      <c r="C79" s="11"/>
      <c r="D79" s="11"/>
      <c r="E79" s="11"/>
      <c r="F79" s="11"/>
      <c r="G79" s="11"/>
      <c r="H79" s="11"/>
      <c r="I79" s="11"/>
    </row>
    <row r="80">
      <c r="A80" s="11"/>
      <c r="B80" s="11"/>
      <c r="C80" s="11"/>
      <c r="D80" s="11"/>
      <c r="E80" s="11"/>
      <c r="F80" s="11"/>
      <c r="G80" s="11"/>
      <c r="H80" s="11"/>
      <c r="I80" s="11"/>
    </row>
    <row r="81">
      <c r="A81" s="11"/>
      <c r="B81" s="11"/>
      <c r="C81" s="11"/>
      <c r="D81" s="11"/>
      <c r="E81" s="11"/>
      <c r="F81" s="11"/>
      <c r="G81" s="11"/>
      <c r="H81" s="11"/>
      <c r="I81" s="11"/>
    </row>
    <row r="82">
      <c r="A82" s="11"/>
      <c r="B82" s="11"/>
      <c r="C82" s="11"/>
      <c r="D82" s="11"/>
      <c r="E82" s="11"/>
      <c r="F82" s="11"/>
      <c r="G82" s="11"/>
      <c r="H82" s="11"/>
      <c r="I82" s="11"/>
    </row>
    <row r="83">
      <c r="A83" s="11"/>
      <c r="B83" s="11"/>
      <c r="C83" s="11"/>
      <c r="D83" s="11"/>
      <c r="E83" s="11"/>
      <c r="F83" s="11"/>
      <c r="G83" s="11"/>
      <c r="H83" s="11"/>
      <c r="I83" s="11"/>
    </row>
    <row r="84">
      <c r="A84" s="11"/>
      <c r="B84" s="11"/>
      <c r="C84" s="11"/>
      <c r="D84" s="11"/>
      <c r="E84" s="11"/>
      <c r="F84" s="11"/>
      <c r="G84" s="11"/>
      <c r="H84" s="11"/>
      <c r="I84" s="11"/>
    </row>
    <row r="85">
      <c r="A85" s="11"/>
      <c r="B85" s="11"/>
      <c r="C85" s="11"/>
      <c r="D85" s="11"/>
      <c r="E85" s="11"/>
      <c r="F85" s="11"/>
      <c r="G85" s="11"/>
      <c r="H85" s="11"/>
      <c r="I85" s="11"/>
    </row>
    <row r="86">
      <c r="A86" s="11"/>
      <c r="B86" s="11"/>
      <c r="C86" s="11"/>
      <c r="D86" s="11"/>
      <c r="E86" s="11"/>
      <c r="F86" s="11"/>
      <c r="G86" s="11"/>
      <c r="H86" s="11"/>
      <c r="I86" s="11"/>
    </row>
    <row r="87">
      <c r="A87" s="11"/>
      <c r="B87" s="11"/>
      <c r="C87" s="11"/>
      <c r="D87" s="11"/>
      <c r="E87" s="11"/>
      <c r="F87" s="11"/>
      <c r="G87" s="11"/>
      <c r="H87" s="11"/>
      <c r="I87" s="11"/>
    </row>
    <row r="88">
      <c r="A88" s="11"/>
      <c r="B88" s="11"/>
      <c r="C88" s="11"/>
      <c r="D88" s="11"/>
      <c r="E88" s="11"/>
      <c r="F88" s="11"/>
      <c r="G88" s="11"/>
      <c r="H88" s="11"/>
      <c r="I88" s="11"/>
    </row>
    <row r="89">
      <c r="A89" s="11"/>
      <c r="B89" s="11"/>
      <c r="C89" s="11"/>
      <c r="D89" s="11"/>
      <c r="E89" s="11"/>
      <c r="F89" s="11"/>
      <c r="G89" s="11"/>
      <c r="H89" s="11"/>
      <c r="I89" s="11"/>
    </row>
    <row r="90">
      <c r="A90" s="11"/>
      <c r="B90" s="11"/>
      <c r="C90" s="11"/>
      <c r="D90" s="11"/>
      <c r="E90" s="11"/>
      <c r="F90" s="11"/>
      <c r="G90" s="11"/>
      <c r="H90" s="11"/>
      <c r="I90" s="11"/>
    </row>
    <row r="91">
      <c r="A91" s="11"/>
      <c r="B91" s="11"/>
      <c r="C91" s="11"/>
      <c r="D91" s="11"/>
      <c r="E91" s="11"/>
      <c r="F91" s="11"/>
      <c r="G91" s="11"/>
      <c r="H91" s="11"/>
      <c r="I91" s="11"/>
    </row>
    <row r="92">
      <c r="A92" s="11"/>
      <c r="B92" s="11"/>
      <c r="C92" s="11"/>
      <c r="D92" s="11"/>
      <c r="E92" s="11"/>
      <c r="F92" s="11"/>
      <c r="G92" s="11"/>
      <c r="H92" s="11"/>
      <c r="I92" s="11"/>
    </row>
    <row r="93">
      <c r="A93" s="11"/>
      <c r="B93" s="11"/>
      <c r="C93" s="11"/>
      <c r="D93" s="11"/>
      <c r="E93" s="11"/>
      <c r="F93" s="11"/>
      <c r="G93" s="11"/>
      <c r="H93" s="11"/>
      <c r="I93" s="11"/>
    </row>
    <row r="94">
      <c r="A94" s="11"/>
      <c r="B94" s="11"/>
      <c r="C94" s="11"/>
      <c r="D94" s="11"/>
      <c r="E94" s="11"/>
      <c r="F94" s="11"/>
      <c r="G94" s="11"/>
      <c r="H94" s="11"/>
      <c r="I94" s="11"/>
    </row>
    <row r="95">
      <c r="A95" s="11"/>
      <c r="B95" s="11"/>
      <c r="C95" s="11"/>
      <c r="D95" s="11"/>
      <c r="E95" s="11"/>
      <c r="F95" s="11"/>
      <c r="G95" s="11"/>
      <c r="H95" s="11"/>
      <c r="I95" s="11"/>
    </row>
    <row r="96">
      <c r="A96" s="11"/>
      <c r="B96" s="11"/>
      <c r="C96" s="11"/>
      <c r="D96" s="11"/>
      <c r="E96" s="11"/>
      <c r="F96" s="11"/>
      <c r="G96" s="11"/>
      <c r="H96" s="11"/>
      <c r="I96" s="11"/>
    </row>
    <row r="97">
      <c r="A97" s="11"/>
      <c r="B97" s="11"/>
      <c r="C97" s="11"/>
      <c r="D97" s="11"/>
      <c r="E97" s="11"/>
      <c r="F97" s="11"/>
      <c r="G97" s="11"/>
      <c r="H97" s="11"/>
      <c r="I97" s="11"/>
    </row>
    <row r="98">
      <c r="A98" s="11"/>
      <c r="B98" s="11"/>
      <c r="C98" s="11"/>
      <c r="D98" s="11"/>
      <c r="E98" s="11"/>
      <c r="F98" s="11"/>
      <c r="G98" s="11"/>
      <c r="H98" s="11"/>
      <c r="I98" s="11"/>
    </row>
    <row r="99">
      <c r="A99" s="11"/>
      <c r="B99" s="11"/>
      <c r="C99" s="11"/>
      <c r="D99" s="11"/>
      <c r="E99" s="11"/>
      <c r="F99" s="11"/>
      <c r="G99" s="11"/>
      <c r="H99" s="11"/>
      <c r="I99" s="11"/>
    </row>
    <row r="100">
      <c r="A100" s="11"/>
      <c r="B100" s="11"/>
      <c r="C100" s="11"/>
      <c r="D100" s="11"/>
      <c r="E100" s="11"/>
      <c r="F100" s="11"/>
      <c r="G100" s="11"/>
      <c r="H100" s="11"/>
      <c r="I100" s="11"/>
    </row>
    <row r="101">
      <c r="A101" s="11"/>
      <c r="B101" s="11"/>
      <c r="C101" s="11"/>
      <c r="D101" s="11"/>
      <c r="E101" s="11"/>
      <c r="F101" s="11"/>
      <c r="G101" s="11"/>
      <c r="H101" s="11"/>
      <c r="I101" s="11"/>
    </row>
    <row r="102">
      <c r="A102" s="11"/>
      <c r="B102" s="11"/>
      <c r="C102" s="11"/>
      <c r="D102" s="11"/>
      <c r="E102" s="11"/>
      <c r="F102" s="11"/>
      <c r="G102" s="11"/>
      <c r="H102" s="11"/>
      <c r="I102" s="11"/>
    </row>
    <row r="103">
      <c r="A103" s="11"/>
      <c r="B103" s="11"/>
      <c r="C103" s="11"/>
      <c r="D103" s="11"/>
      <c r="E103" s="11"/>
      <c r="F103" s="11"/>
      <c r="G103" s="11"/>
      <c r="H103" s="11"/>
      <c r="I103" s="11"/>
    </row>
    <row r="104">
      <c r="A104" s="11"/>
      <c r="B104" s="11"/>
      <c r="C104" s="11"/>
      <c r="D104" s="11"/>
      <c r="E104" s="11"/>
      <c r="F104" s="11"/>
      <c r="G104" s="11"/>
      <c r="H104" s="11"/>
      <c r="I104" s="11"/>
    </row>
    <row r="105">
      <c r="A105" s="11"/>
      <c r="B105" s="11"/>
      <c r="C105" s="11"/>
      <c r="D105" s="11"/>
      <c r="E105" s="11"/>
      <c r="F105" s="11"/>
      <c r="G105" s="11"/>
      <c r="H105" s="11"/>
      <c r="I105" s="11"/>
    </row>
    <row r="106">
      <c r="A106" s="11"/>
      <c r="B106" s="11"/>
      <c r="C106" s="11"/>
      <c r="D106" s="11"/>
      <c r="E106" s="11"/>
      <c r="F106" s="11"/>
      <c r="G106" s="11"/>
      <c r="H106" s="11"/>
      <c r="I106" s="11"/>
    </row>
    <row r="107">
      <c r="A107" s="11"/>
      <c r="B107" s="11"/>
      <c r="C107" s="11"/>
      <c r="D107" s="11"/>
      <c r="E107" s="11"/>
      <c r="F107" s="11"/>
      <c r="G107" s="11"/>
      <c r="H107" s="11"/>
      <c r="I107" s="11"/>
    </row>
    <row r="108">
      <c r="A108" s="11"/>
      <c r="B108" s="11"/>
      <c r="C108" s="11"/>
      <c r="D108" s="11"/>
      <c r="E108" s="11"/>
      <c r="F108" s="11"/>
      <c r="G108" s="11"/>
      <c r="H108" s="11"/>
      <c r="I108" s="11"/>
    </row>
    <row r="109">
      <c r="A109" s="11"/>
      <c r="B109" s="11"/>
      <c r="C109" s="11"/>
      <c r="D109" s="11"/>
      <c r="E109" s="11"/>
      <c r="F109" s="11"/>
      <c r="G109" s="11"/>
      <c r="H109" s="11"/>
      <c r="I109" s="11"/>
    </row>
    <row r="110">
      <c r="A110" s="11"/>
      <c r="B110" s="11"/>
      <c r="C110" s="11"/>
      <c r="D110" s="11"/>
      <c r="E110" s="11"/>
      <c r="F110" s="11"/>
      <c r="G110" s="11"/>
      <c r="H110" s="11"/>
      <c r="I110" s="11"/>
    </row>
    <row r="111">
      <c r="A111" s="11"/>
      <c r="B111" s="11"/>
      <c r="C111" s="11"/>
      <c r="D111" s="11"/>
      <c r="E111" s="11"/>
      <c r="F111" s="11"/>
      <c r="G111" s="11"/>
      <c r="H111" s="11"/>
      <c r="I111" s="11"/>
    </row>
    <row r="112">
      <c r="A112" s="11"/>
      <c r="B112" s="11"/>
      <c r="C112" s="11"/>
      <c r="D112" s="11"/>
      <c r="E112" s="11"/>
      <c r="F112" s="11"/>
      <c r="G112" s="11"/>
      <c r="H112" s="11"/>
      <c r="I112" s="11"/>
    </row>
    <row r="113">
      <c r="A113" s="11"/>
      <c r="B113" s="11"/>
      <c r="C113" s="11"/>
      <c r="D113" s="11"/>
      <c r="E113" s="11"/>
      <c r="F113" s="11"/>
      <c r="G113" s="11"/>
      <c r="H113" s="11"/>
      <c r="I113" s="11"/>
    </row>
    <row r="114">
      <c r="A114" s="11"/>
      <c r="B114" s="11"/>
      <c r="C114" s="11"/>
      <c r="D114" s="11"/>
      <c r="E114" s="11"/>
      <c r="F114" s="11"/>
      <c r="G114" s="11"/>
      <c r="H114" s="11"/>
      <c r="I114" s="11"/>
    </row>
    <row r="115">
      <c r="A115" s="11"/>
      <c r="B115" s="11"/>
      <c r="C115" s="11"/>
      <c r="D115" s="11"/>
      <c r="E115" s="11"/>
      <c r="F115" s="11"/>
      <c r="G115" s="11"/>
      <c r="H115" s="11"/>
      <c r="I115" s="11"/>
    </row>
    <row r="116">
      <c r="A116" s="11"/>
      <c r="B116" s="11"/>
      <c r="C116" s="11"/>
      <c r="D116" s="11"/>
      <c r="E116" s="11"/>
      <c r="F116" s="11"/>
      <c r="G116" s="11"/>
      <c r="H116" s="11"/>
      <c r="I116" s="11"/>
    </row>
    <row r="117">
      <c r="A117" s="11"/>
      <c r="B117" s="11"/>
      <c r="C117" s="11"/>
      <c r="D117" s="11"/>
      <c r="E117" s="11"/>
      <c r="F117" s="11"/>
      <c r="G117" s="11"/>
      <c r="H117" s="11"/>
      <c r="I117" s="11"/>
    </row>
    <row r="118">
      <c r="A118" s="11"/>
      <c r="B118" s="11"/>
      <c r="C118" s="11"/>
      <c r="D118" s="11"/>
      <c r="E118" s="11"/>
      <c r="F118" s="11"/>
      <c r="G118" s="11"/>
      <c r="H118" s="11"/>
      <c r="I118" s="11"/>
    </row>
    <row r="119">
      <c r="A119" s="11"/>
      <c r="B119" s="11"/>
      <c r="C119" s="11"/>
      <c r="D119" s="11"/>
      <c r="E119" s="11"/>
      <c r="F119" s="11"/>
      <c r="G119" s="11"/>
      <c r="H119" s="11"/>
      <c r="I119" s="11"/>
    </row>
    <row r="120">
      <c r="A120" s="11"/>
      <c r="B120" s="11"/>
      <c r="C120" s="11"/>
      <c r="D120" s="11"/>
      <c r="E120" s="11"/>
      <c r="F120" s="11"/>
      <c r="G120" s="11"/>
      <c r="H120" s="11"/>
      <c r="I120" s="11"/>
    </row>
    <row r="121">
      <c r="A121" s="11"/>
      <c r="B121" s="11"/>
      <c r="C121" s="11"/>
      <c r="D121" s="11"/>
      <c r="E121" s="11"/>
      <c r="F121" s="11"/>
      <c r="G121" s="11"/>
      <c r="H121" s="11"/>
      <c r="I121" s="11"/>
    </row>
    <row r="122">
      <c r="A122" s="11"/>
      <c r="B122" s="11"/>
      <c r="C122" s="11"/>
      <c r="D122" s="11"/>
      <c r="E122" s="11"/>
      <c r="F122" s="11"/>
      <c r="G122" s="11"/>
      <c r="H122" s="11"/>
      <c r="I122" s="11"/>
    </row>
    <row r="123">
      <c r="A123" s="11"/>
      <c r="B123" s="11"/>
      <c r="C123" s="11"/>
      <c r="D123" s="11"/>
      <c r="E123" s="11"/>
      <c r="F123" s="11"/>
      <c r="G123" s="11"/>
      <c r="H123" s="11"/>
      <c r="I123" s="11"/>
    </row>
    <row r="124">
      <c r="A124" s="11"/>
      <c r="B124" s="11"/>
      <c r="C124" s="11"/>
      <c r="D124" s="11"/>
      <c r="E124" s="11"/>
      <c r="F124" s="11"/>
      <c r="G124" s="11"/>
      <c r="H124" s="11"/>
      <c r="I124" s="11"/>
    </row>
    <row r="125">
      <c r="A125" s="11"/>
      <c r="B125" s="11"/>
      <c r="C125" s="11"/>
      <c r="D125" s="11"/>
      <c r="E125" s="11"/>
      <c r="F125" s="11"/>
      <c r="G125" s="11"/>
      <c r="H125" s="11"/>
      <c r="I125" s="11"/>
    </row>
    <row r="126">
      <c r="A126" s="11"/>
      <c r="B126" s="11"/>
      <c r="C126" s="11"/>
      <c r="D126" s="11"/>
      <c r="E126" s="11"/>
      <c r="F126" s="11"/>
      <c r="G126" s="11"/>
      <c r="H126" s="11"/>
      <c r="I126" s="11"/>
    </row>
    <row r="127">
      <c r="A127" s="11"/>
      <c r="B127" s="11"/>
      <c r="C127" s="11"/>
      <c r="D127" s="11"/>
      <c r="E127" s="11"/>
      <c r="F127" s="11"/>
      <c r="G127" s="11"/>
      <c r="H127" s="11"/>
      <c r="I127" s="11"/>
    </row>
    <row r="128">
      <c r="A128" s="11"/>
      <c r="B128" s="11"/>
      <c r="C128" s="11"/>
      <c r="D128" s="11"/>
      <c r="E128" s="11"/>
      <c r="F128" s="11"/>
      <c r="G128" s="11"/>
      <c r="H128" s="11"/>
      <c r="I128" s="11"/>
    </row>
    <row r="129">
      <c r="A129" s="11"/>
      <c r="B129" s="11"/>
      <c r="C129" s="11"/>
      <c r="D129" s="11"/>
      <c r="E129" s="11"/>
      <c r="F129" s="11"/>
      <c r="G129" s="11"/>
      <c r="H129" s="11"/>
      <c r="I129" s="11"/>
    </row>
    <row r="130">
      <c r="A130" s="11"/>
      <c r="B130" s="11"/>
      <c r="C130" s="11"/>
      <c r="D130" s="11"/>
      <c r="E130" s="11"/>
      <c r="F130" s="11"/>
      <c r="G130" s="11"/>
      <c r="H130" s="11"/>
      <c r="I130" s="11"/>
    </row>
    <row r="131">
      <c r="A131" s="11"/>
      <c r="B131" s="11"/>
      <c r="C131" s="11"/>
      <c r="D131" s="11"/>
      <c r="E131" s="11"/>
      <c r="F131" s="11"/>
      <c r="G131" s="11"/>
      <c r="H131" s="11"/>
      <c r="I131" s="11"/>
    </row>
    <row r="132">
      <c r="A132" s="11"/>
      <c r="B132" s="11"/>
      <c r="C132" s="11"/>
      <c r="D132" s="11"/>
      <c r="E132" s="11"/>
      <c r="F132" s="11"/>
      <c r="G132" s="11"/>
      <c r="H132" s="11"/>
      <c r="I132" s="11"/>
    </row>
    <row r="133">
      <c r="A133" s="11"/>
      <c r="B133" s="11"/>
      <c r="C133" s="11"/>
      <c r="D133" s="11"/>
      <c r="E133" s="11"/>
      <c r="F133" s="11"/>
      <c r="G133" s="11"/>
      <c r="H133" s="11"/>
      <c r="I133" s="11"/>
    </row>
    <row r="134">
      <c r="A134" s="11"/>
      <c r="B134" s="11"/>
      <c r="C134" s="11"/>
      <c r="D134" s="11"/>
      <c r="E134" s="11"/>
      <c r="F134" s="11"/>
      <c r="G134" s="11"/>
      <c r="H134" s="11"/>
      <c r="I134" s="11"/>
    </row>
    <row r="135">
      <c r="A135" s="11"/>
      <c r="B135" s="11"/>
      <c r="C135" s="11"/>
      <c r="D135" s="11"/>
      <c r="E135" s="11"/>
      <c r="F135" s="11"/>
      <c r="G135" s="11"/>
      <c r="H135" s="11"/>
      <c r="I135" s="11"/>
    </row>
    <row r="136">
      <c r="A136" s="11"/>
      <c r="B136" s="11"/>
      <c r="C136" s="11"/>
      <c r="D136" s="11"/>
      <c r="E136" s="11"/>
      <c r="F136" s="11"/>
      <c r="G136" s="11"/>
      <c r="H136" s="11"/>
      <c r="I136" s="11"/>
    </row>
    <row r="137">
      <c r="A137" s="11"/>
      <c r="B137" s="11"/>
      <c r="C137" s="11"/>
      <c r="D137" s="11"/>
      <c r="E137" s="11"/>
      <c r="F137" s="11"/>
      <c r="G137" s="11"/>
      <c r="H137" s="11"/>
      <c r="I137" s="11"/>
    </row>
    <row r="138">
      <c r="A138" s="11"/>
      <c r="B138" s="11"/>
      <c r="C138" s="11"/>
      <c r="D138" s="11"/>
      <c r="E138" s="11"/>
      <c r="F138" s="11"/>
      <c r="G138" s="11"/>
      <c r="H138" s="11"/>
      <c r="I138" s="11"/>
    </row>
    <row r="139">
      <c r="A139" s="11"/>
      <c r="B139" s="11"/>
      <c r="C139" s="11"/>
      <c r="D139" s="11"/>
      <c r="E139" s="11"/>
      <c r="F139" s="11"/>
      <c r="G139" s="11"/>
      <c r="H139" s="11"/>
      <c r="I139" s="11"/>
    </row>
    <row r="140">
      <c r="A140" s="11"/>
      <c r="B140" s="11"/>
      <c r="C140" s="11"/>
      <c r="D140" s="11"/>
      <c r="E140" s="11"/>
      <c r="F140" s="11"/>
      <c r="G140" s="11"/>
      <c r="H140" s="11"/>
      <c r="I140" s="11"/>
    </row>
    <row r="141">
      <c r="A141" s="11"/>
      <c r="B141" s="11"/>
      <c r="C141" s="11"/>
      <c r="D141" s="11"/>
      <c r="E141" s="11"/>
      <c r="F141" s="11"/>
      <c r="G141" s="11"/>
      <c r="H141" s="11"/>
      <c r="I141" s="11"/>
    </row>
    <row r="142">
      <c r="A142" s="11"/>
      <c r="B142" s="11"/>
      <c r="C142" s="11"/>
      <c r="D142" s="11"/>
      <c r="E142" s="11"/>
      <c r="F142" s="11"/>
      <c r="G142" s="11"/>
      <c r="H142" s="11"/>
      <c r="I142" s="11"/>
    </row>
    <row r="143">
      <c r="A143" s="11"/>
      <c r="B143" s="11"/>
      <c r="C143" s="11"/>
      <c r="D143" s="11"/>
      <c r="E143" s="11"/>
      <c r="F143" s="11"/>
      <c r="G143" s="11"/>
      <c r="H143" s="11"/>
      <c r="I143" s="11"/>
    </row>
    <row r="144">
      <c r="A144" s="11"/>
      <c r="B144" s="11"/>
      <c r="C144" s="11"/>
      <c r="D144" s="11"/>
      <c r="E144" s="11"/>
      <c r="F144" s="11"/>
      <c r="G144" s="11"/>
      <c r="H144" s="11"/>
      <c r="I144" s="11"/>
    </row>
    <row r="145">
      <c r="A145" s="11"/>
      <c r="B145" s="11"/>
      <c r="C145" s="11"/>
      <c r="D145" s="11"/>
      <c r="E145" s="11"/>
      <c r="F145" s="11"/>
      <c r="G145" s="11"/>
      <c r="H145" s="11"/>
      <c r="I145" s="11"/>
    </row>
    <row r="146">
      <c r="A146" s="11"/>
      <c r="B146" s="11"/>
      <c r="C146" s="11"/>
      <c r="D146" s="11"/>
      <c r="E146" s="11"/>
      <c r="F146" s="11"/>
      <c r="G146" s="11"/>
      <c r="H146" s="11"/>
      <c r="I146" s="11"/>
    </row>
    <row r="147">
      <c r="A147" s="11"/>
      <c r="B147" s="11"/>
      <c r="C147" s="11"/>
      <c r="D147" s="11"/>
      <c r="E147" s="11"/>
      <c r="F147" s="11"/>
      <c r="G147" s="11"/>
      <c r="H147" s="11"/>
      <c r="I147" s="11"/>
    </row>
    <row r="148">
      <c r="A148" s="11"/>
      <c r="B148" s="11"/>
      <c r="C148" s="11"/>
      <c r="D148" s="11"/>
      <c r="E148" s="11"/>
      <c r="F148" s="11"/>
      <c r="G148" s="11"/>
      <c r="H148" s="11"/>
      <c r="I148" s="11"/>
    </row>
    <row r="149">
      <c r="A149" s="11"/>
      <c r="B149" s="11"/>
      <c r="C149" s="11"/>
      <c r="D149" s="11"/>
      <c r="E149" s="11"/>
      <c r="F149" s="11"/>
      <c r="G149" s="11"/>
      <c r="H149" s="11"/>
      <c r="I149" s="11"/>
    </row>
    <row r="150">
      <c r="A150" s="11"/>
      <c r="B150" s="11"/>
      <c r="C150" s="11"/>
      <c r="D150" s="11"/>
      <c r="E150" s="11"/>
      <c r="F150" s="11"/>
      <c r="G150" s="11"/>
      <c r="H150" s="11"/>
      <c r="I150" s="11"/>
    </row>
    <row r="151">
      <c r="A151" s="11"/>
      <c r="B151" s="11"/>
      <c r="C151" s="11"/>
      <c r="D151" s="11"/>
      <c r="E151" s="11"/>
      <c r="F151" s="11"/>
      <c r="G151" s="11"/>
      <c r="H151" s="11"/>
      <c r="I151" s="11"/>
    </row>
    <row r="152">
      <c r="A152" s="11"/>
      <c r="B152" s="11"/>
      <c r="C152" s="11"/>
      <c r="D152" s="11"/>
      <c r="E152" s="11"/>
      <c r="F152" s="11"/>
      <c r="G152" s="11"/>
      <c r="H152" s="11"/>
      <c r="I152" s="11"/>
    </row>
    <row r="153">
      <c r="A153" s="11"/>
      <c r="B153" s="11"/>
      <c r="C153" s="11"/>
      <c r="D153" s="11"/>
      <c r="E153" s="11"/>
      <c r="F153" s="11"/>
      <c r="G153" s="11"/>
      <c r="H153" s="11"/>
      <c r="I153" s="11"/>
    </row>
    <row r="154">
      <c r="A154" s="11"/>
      <c r="B154" s="11"/>
      <c r="C154" s="11"/>
      <c r="D154" s="11"/>
      <c r="E154" s="11"/>
      <c r="F154" s="11"/>
      <c r="G154" s="11"/>
      <c r="H154" s="11"/>
      <c r="I154" s="11"/>
    </row>
    <row r="155">
      <c r="A155" s="11"/>
      <c r="B155" s="11"/>
      <c r="C155" s="11"/>
      <c r="D155" s="11"/>
      <c r="E155" s="11"/>
      <c r="F155" s="11"/>
      <c r="G155" s="11"/>
      <c r="H155" s="11"/>
      <c r="I155" s="11"/>
    </row>
    <row r="156">
      <c r="A156" s="11"/>
      <c r="B156" s="11"/>
      <c r="C156" s="11"/>
      <c r="D156" s="11"/>
      <c r="E156" s="11"/>
      <c r="F156" s="11"/>
      <c r="G156" s="11"/>
      <c r="H156" s="11"/>
      <c r="I156" s="11"/>
    </row>
    <row r="157">
      <c r="A157" s="11"/>
      <c r="B157" s="11"/>
      <c r="C157" s="11"/>
      <c r="D157" s="11"/>
      <c r="E157" s="11"/>
      <c r="F157" s="11"/>
      <c r="G157" s="11"/>
      <c r="H157" s="11"/>
      <c r="I157" s="11"/>
    </row>
    <row r="158">
      <c r="A158" s="11"/>
      <c r="B158" s="11"/>
      <c r="C158" s="11"/>
      <c r="D158" s="11"/>
      <c r="E158" s="11"/>
      <c r="F158" s="11"/>
      <c r="G158" s="11"/>
      <c r="H158" s="11"/>
      <c r="I158" s="11"/>
    </row>
    <row r="159">
      <c r="A159" s="11"/>
      <c r="B159" s="11"/>
      <c r="C159" s="11"/>
      <c r="D159" s="11"/>
      <c r="E159" s="11"/>
      <c r="F159" s="11"/>
      <c r="G159" s="11"/>
      <c r="H159" s="11"/>
      <c r="I159" s="11"/>
    </row>
    <row r="160">
      <c r="A160" s="11"/>
      <c r="B160" s="11"/>
      <c r="C160" s="11"/>
      <c r="D160" s="11"/>
      <c r="E160" s="11"/>
      <c r="F160" s="11"/>
      <c r="G160" s="11"/>
      <c r="H160" s="11"/>
      <c r="I160" s="11"/>
    </row>
    <row r="161">
      <c r="A161" s="11"/>
      <c r="B161" s="11"/>
      <c r="C161" s="11"/>
      <c r="D161" s="11"/>
      <c r="E161" s="11"/>
      <c r="F161" s="11"/>
      <c r="G161" s="11"/>
      <c r="H161" s="11"/>
      <c r="I161" s="11"/>
    </row>
    <row r="162">
      <c r="A162" s="11"/>
      <c r="B162" s="11"/>
      <c r="C162" s="11"/>
      <c r="D162" s="11"/>
      <c r="E162" s="11"/>
      <c r="F162" s="11"/>
      <c r="G162" s="11"/>
      <c r="H162" s="11"/>
      <c r="I162" s="11"/>
    </row>
    <row r="163">
      <c r="A163" s="11"/>
      <c r="B163" s="11"/>
      <c r="C163" s="11"/>
      <c r="D163" s="11"/>
      <c r="E163" s="11"/>
      <c r="F163" s="11"/>
      <c r="G163" s="11"/>
      <c r="H163" s="11"/>
      <c r="I163" s="11"/>
    </row>
    <row r="164">
      <c r="A164" s="11"/>
      <c r="B164" s="11"/>
      <c r="C164" s="11"/>
      <c r="D164" s="11"/>
      <c r="E164" s="11"/>
      <c r="F164" s="11"/>
      <c r="G164" s="11"/>
      <c r="H164" s="11"/>
      <c r="I164" s="11"/>
    </row>
    <row r="165">
      <c r="A165" s="11"/>
      <c r="B165" s="11"/>
      <c r="C165" s="11"/>
      <c r="D165" s="11"/>
      <c r="E165" s="11"/>
      <c r="F165" s="11"/>
      <c r="G165" s="11"/>
      <c r="H165" s="11"/>
      <c r="I165" s="11"/>
    </row>
    <row r="166">
      <c r="A166" s="11"/>
      <c r="B166" s="11"/>
      <c r="C166" s="11"/>
      <c r="D166" s="11"/>
      <c r="E166" s="11"/>
      <c r="F166" s="11"/>
      <c r="G166" s="11"/>
      <c r="H166" s="11"/>
      <c r="I166" s="11"/>
    </row>
    <row r="167">
      <c r="A167" s="11"/>
      <c r="B167" s="11"/>
      <c r="C167" s="11"/>
      <c r="D167" s="11"/>
      <c r="E167" s="11"/>
      <c r="F167" s="11"/>
      <c r="G167" s="11"/>
      <c r="H167" s="11"/>
      <c r="I167" s="11"/>
    </row>
    <row r="168">
      <c r="A168" s="11"/>
      <c r="B168" s="11"/>
      <c r="C168" s="11"/>
      <c r="D168" s="11"/>
      <c r="E168" s="11"/>
      <c r="F168" s="11"/>
      <c r="G168" s="11"/>
      <c r="H168" s="11"/>
      <c r="I168" s="11"/>
    </row>
    <row r="169">
      <c r="A169" s="11"/>
      <c r="B169" s="11"/>
      <c r="C169" s="11"/>
      <c r="D169" s="11"/>
      <c r="E169" s="11"/>
      <c r="F169" s="11"/>
      <c r="G169" s="11"/>
      <c r="H169" s="11"/>
      <c r="I169" s="11"/>
    </row>
    <row r="170">
      <c r="A170" s="11"/>
      <c r="B170" s="11"/>
      <c r="C170" s="11"/>
      <c r="D170" s="11"/>
      <c r="E170" s="11"/>
      <c r="F170" s="11"/>
      <c r="G170" s="11"/>
      <c r="H170" s="11"/>
      <c r="I170" s="11"/>
    </row>
    <row r="171">
      <c r="A171" s="11"/>
      <c r="B171" s="11"/>
      <c r="C171" s="11"/>
      <c r="D171" s="11"/>
      <c r="E171" s="11"/>
      <c r="F171" s="11"/>
      <c r="G171" s="11"/>
      <c r="H171" s="11"/>
      <c r="I171" s="11"/>
    </row>
    <row r="172">
      <c r="A172" s="11"/>
      <c r="B172" s="11"/>
      <c r="C172" s="11"/>
      <c r="D172" s="11"/>
      <c r="E172" s="11"/>
      <c r="F172" s="11"/>
      <c r="G172" s="11"/>
      <c r="H172" s="11"/>
      <c r="I172" s="11"/>
    </row>
    <row r="173">
      <c r="A173" s="11"/>
      <c r="B173" s="11"/>
      <c r="C173" s="11"/>
      <c r="D173" s="11"/>
      <c r="E173" s="11"/>
      <c r="F173" s="11"/>
      <c r="G173" s="11"/>
      <c r="H173" s="11"/>
      <c r="I173" s="11"/>
    </row>
    <row r="174">
      <c r="A174" s="11"/>
      <c r="B174" s="11"/>
      <c r="C174" s="11"/>
      <c r="D174" s="11"/>
      <c r="E174" s="11"/>
      <c r="F174" s="11"/>
      <c r="G174" s="11"/>
      <c r="H174" s="11"/>
      <c r="I174" s="11"/>
    </row>
    <row r="175">
      <c r="A175" s="11"/>
      <c r="B175" s="11"/>
      <c r="C175" s="11"/>
      <c r="D175" s="11"/>
      <c r="E175" s="11"/>
      <c r="F175" s="11"/>
      <c r="G175" s="11"/>
      <c r="H175" s="11"/>
      <c r="I175" s="11"/>
    </row>
    <row r="176">
      <c r="A176" s="11"/>
      <c r="B176" s="11"/>
      <c r="C176" s="11"/>
      <c r="D176" s="11"/>
      <c r="E176" s="11"/>
      <c r="F176" s="11"/>
      <c r="G176" s="11"/>
      <c r="H176" s="11"/>
      <c r="I176" s="11"/>
    </row>
    <row r="177">
      <c r="A177" s="11"/>
      <c r="B177" s="11"/>
      <c r="C177" s="11"/>
      <c r="D177" s="11"/>
      <c r="E177" s="11"/>
      <c r="F177" s="11"/>
      <c r="G177" s="11"/>
      <c r="H177" s="11"/>
      <c r="I177" s="11"/>
    </row>
    <row r="178">
      <c r="A178" s="11"/>
      <c r="B178" s="11"/>
      <c r="C178" s="11"/>
      <c r="D178" s="11"/>
      <c r="E178" s="11"/>
      <c r="F178" s="11"/>
      <c r="G178" s="11"/>
      <c r="H178" s="11"/>
      <c r="I178" s="11"/>
    </row>
    <row r="179">
      <c r="A179" s="11"/>
      <c r="B179" s="11"/>
      <c r="C179" s="11"/>
      <c r="D179" s="11"/>
      <c r="E179" s="11"/>
      <c r="F179" s="11"/>
      <c r="G179" s="11"/>
      <c r="H179" s="11"/>
      <c r="I179" s="11"/>
    </row>
    <row r="180">
      <c r="A180" s="11"/>
      <c r="B180" s="11"/>
      <c r="C180" s="11"/>
      <c r="D180" s="11"/>
      <c r="E180" s="11"/>
      <c r="F180" s="11"/>
      <c r="G180" s="11"/>
      <c r="H180" s="11"/>
      <c r="I180" s="11"/>
    </row>
    <row r="181">
      <c r="A181" s="11"/>
      <c r="B181" s="11"/>
      <c r="C181" s="11"/>
      <c r="D181" s="11"/>
      <c r="E181" s="11"/>
      <c r="F181" s="11"/>
      <c r="G181" s="11"/>
      <c r="H181" s="11"/>
      <c r="I181" s="11"/>
    </row>
    <row r="182">
      <c r="A182" s="11"/>
      <c r="B182" s="11"/>
      <c r="C182" s="11"/>
      <c r="D182" s="11"/>
      <c r="E182" s="11"/>
      <c r="F182" s="11"/>
      <c r="G182" s="11"/>
      <c r="H182" s="11"/>
      <c r="I182" s="11"/>
    </row>
    <row r="183">
      <c r="A183" s="11"/>
      <c r="B183" s="11"/>
      <c r="C183" s="11"/>
      <c r="D183" s="11"/>
      <c r="E183" s="11"/>
      <c r="F183" s="11"/>
      <c r="G183" s="11"/>
      <c r="H183" s="11"/>
      <c r="I183" s="11"/>
    </row>
    <row r="184">
      <c r="A184" s="11"/>
      <c r="B184" s="11"/>
      <c r="C184" s="11"/>
      <c r="D184" s="11"/>
      <c r="E184" s="11"/>
      <c r="F184" s="11"/>
      <c r="G184" s="11"/>
      <c r="H184" s="11"/>
      <c r="I184" s="11"/>
    </row>
    <row r="185">
      <c r="A185" s="11"/>
      <c r="B185" s="11"/>
      <c r="C185" s="11"/>
      <c r="D185" s="11"/>
      <c r="E185" s="11"/>
      <c r="F185" s="11"/>
      <c r="G185" s="11"/>
      <c r="H185" s="11"/>
      <c r="I185" s="11"/>
    </row>
    <row r="186">
      <c r="A186" s="11"/>
      <c r="B186" s="11"/>
      <c r="C186" s="11"/>
      <c r="D186" s="11"/>
      <c r="E186" s="11"/>
      <c r="F186" s="11"/>
      <c r="G186" s="11"/>
      <c r="H186" s="11"/>
      <c r="I186" s="11"/>
    </row>
    <row r="187">
      <c r="A187" s="11"/>
      <c r="B187" s="11"/>
      <c r="C187" s="11"/>
      <c r="D187" s="11"/>
      <c r="E187" s="11"/>
      <c r="F187" s="11"/>
      <c r="G187" s="11"/>
      <c r="H187" s="11"/>
      <c r="I187" s="11"/>
    </row>
    <row r="188">
      <c r="A188" s="11"/>
      <c r="B188" s="11"/>
      <c r="C188" s="11"/>
      <c r="D188" s="11"/>
      <c r="E188" s="11"/>
      <c r="F188" s="11"/>
      <c r="G188" s="11"/>
      <c r="H188" s="11"/>
      <c r="I188" s="11"/>
    </row>
    <row r="189">
      <c r="A189" s="11"/>
      <c r="B189" s="11"/>
      <c r="C189" s="11"/>
      <c r="D189" s="11"/>
      <c r="E189" s="11"/>
      <c r="F189" s="11"/>
      <c r="G189" s="11"/>
      <c r="H189" s="11"/>
      <c r="I189" s="11"/>
    </row>
    <row r="190">
      <c r="A190" s="11"/>
      <c r="B190" s="11"/>
      <c r="C190" s="11"/>
      <c r="D190" s="11"/>
      <c r="E190" s="11"/>
      <c r="F190" s="11"/>
      <c r="G190" s="11"/>
      <c r="H190" s="11"/>
      <c r="I190" s="11"/>
    </row>
    <row r="191">
      <c r="A191" s="11"/>
      <c r="B191" s="11"/>
      <c r="C191" s="11"/>
      <c r="D191" s="11"/>
      <c r="E191" s="11"/>
      <c r="F191" s="11"/>
      <c r="G191" s="11"/>
      <c r="H191" s="11"/>
      <c r="I191" s="11"/>
    </row>
    <row r="192">
      <c r="A192" s="11"/>
      <c r="B192" s="11"/>
      <c r="C192" s="11"/>
      <c r="D192" s="11"/>
      <c r="E192" s="11"/>
      <c r="F192" s="11"/>
      <c r="G192" s="11"/>
      <c r="H192" s="11"/>
      <c r="I192" s="11"/>
    </row>
    <row r="193">
      <c r="A193" s="11"/>
      <c r="B193" s="11"/>
      <c r="C193" s="11"/>
      <c r="D193" s="11"/>
      <c r="E193" s="11"/>
      <c r="F193" s="11"/>
      <c r="G193" s="11"/>
      <c r="H193" s="11"/>
      <c r="I193" s="11"/>
    </row>
    <row r="194">
      <c r="A194" s="11"/>
      <c r="B194" s="11"/>
      <c r="C194" s="11"/>
      <c r="D194" s="11"/>
      <c r="E194" s="11"/>
      <c r="F194" s="11"/>
      <c r="G194" s="11"/>
      <c r="H194" s="11"/>
      <c r="I194" s="11"/>
    </row>
    <row r="195">
      <c r="A195" s="11"/>
      <c r="B195" s="11"/>
      <c r="C195" s="11"/>
      <c r="D195" s="11"/>
      <c r="E195" s="11"/>
      <c r="F195" s="11"/>
      <c r="G195" s="11"/>
      <c r="H195" s="11"/>
      <c r="I195" s="11"/>
    </row>
    <row r="196">
      <c r="A196" s="11"/>
      <c r="B196" s="11"/>
      <c r="C196" s="11"/>
      <c r="D196" s="11"/>
      <c r="E196" s="11"/>
      <c r="F196" s="11"/>
      <c r="G196" s="11"/>
      <c r="H196" s="11"/>
      <c r="I196" s="11"/>
    </row>
    <row r="197">
      <c r="A197" s="11"/>
      <c r="B197" s="11"/>
      <c r="C197" s="11"/>
      <c r="D197" s="11"/>
      <c r="E197" s="11"/>
      <c r="F197" s="11"/>
      <c r="G197" s="11"/>
      <c r="H197" s="11"/>
      <c r="I197" s="11"/>
    </row>
    <row r="198">
      <c r="A198" s="11"/>
      <c r="B198" s="11"/>
      <c r="C198" s="11"/>
      <c r="D198" s="11"/>
      <c r="E198" s="11"/>
      <c r="F198" s="11"/>
      <c r="G198" s="11"/>
      <c r="H198" s="11"/>
      <c r="I198" s="11"/>
    </row>
    <row r="199">
      <c r="A199" s="11"/>
      <c r="B199" s="11"/>
      <c r="C199" s="11"/>
      <c r="D199" s="11"/>
      <c r="E199" s="11"/>
      <c r="F199" s="11"/>
      <c r="G199" s="11"/>
      <c r="H199" s="11"/>
      <c r="I199" s="11"/>
    </row>
    <row r="200">
      <c r="A200" s="11"/>
      <c r="B200" s="11"/>
      <c r="C200" s="11"/>
      <c r="D200" s="11"/>
      <c r="E200" s="11"/>
      <c r="F200" s="11"/>
      <c r="G200" s="11"/>
      <c r="H200" s="11"/>
      <c r="I200" s="11"/>
    </row>
    <row r="201">
      <c r="A201" s="11"/>
      <c r="B201" s="11"/>
      <c r="C201" s="11"/>
      <c r="D201" s="11"/>
      <c r="E201" s="11"/>
      <c r="F201" s="11"/>
      <c r="G201" s="11"/>
      <c r="H201" s="11"/>
      <c r="I201" s="11"/>
    </row>
    <row r="202">
      <c r="A202" s="11"/>
      <c r="B202" s="11"/>
      <c r="C202" s="11"/>
      <c r="D202" s="11"/>
      <c r="E202" s="11"/>
      <c r="F202" s="11"/>
      <c r="G202" s="11"/>
      <c r="H202" s="11"/>
      <c r="I202" s="11"/>
    </row>
    <row r="203">
      <c r="A203" s="11"/>
      <c r="B203" s="11"/>
      <c r="C203" s="11"/>
      <c r="D203" s="11"/>
      <c r="E203" s="11"/>
      <c r="F203" s="11"/>
      <c r="G203" s="11"/>
      <c r="H203" s="11"/>
      <c r="I203" s="11"/>
    </row>
    <row r="204">
      <c r="A204" s="11"/>
      <c r="B204" s="11"/>
      <c r="C204" s="11"/>
      <c r="D204" s="11"/>
      <c r="E204" s="11"/>
      <c r="F204" s="11"/>
      <c r="G204" s="11"/>
      <c r="H204" s="11"/>
      <c r="I204" s="11"/>
    </row>
    <row r="205">
      <c r="A205" s="11"/>
      <c r="B205" s="11"/>
      <c r="C205" s="11"/>
      <c r="D205" s="11"/>
      <c r="E205" s="11"/>
      <c r="F205" s="11"/>
      <c r="G205" s="11"/>
      <c r="H205" s="11"/>
      <c r="I205" s="11"/>
    </row>
    <row r="206">
      <c r="A206" s="11"/>
      <c r="B206" s="11"/>
      <c r="C206" s="11"/>
      <c r="D206" s="11"/>
      <c r="E206" s="11"/>
      <c r="F206" s="11"/>
      <c r="G206" s="11"/>
      <c r="H206" s="11"/>
      <c r="I206" s="11"/>
    </row>
    <row r="207">
      <c r="A207" s="11"/>
      <c r="B207" s="11"/>
      <c r="C207" s="11"/>
      <c r="D207" s="11"/>
      <c r="E207" s="11"/>
      <c r="F207" s="11"/>
      <c r="G207" s="11"/>
      <c r="H207" s="11"/>
      <c r="I207" s="11"/>
    </row>
    <row r="208">
      <c r="A208" s="11"/>
      <c r="B208" s="11"/>
      <c r="C208" s="11"/>
      <c r="D208" s="11"/>
      <c r="E208" s="11"/>
      <c r="F208" s="11"/>
      <c r="G208" s="11"/>
      <c r="H208" s="11"/>
      <c r="I208" s="11"/>
    </row>
    <row r="209">
      <c r="A209" s="11"/>
      <c r="B209" s="11"/>
      <c r="C209" s="11"/>
      <c r="D209" s="11"/>
      <c r="E209" s="11"/>
      <c r="F209" s="11"/>
      <c r="G209" s="11"/>
      <c r="H209" s="11"/>
      <c r="I209" s="11"/>
    </row>
    <row r="210">
      <c r="A210" s="11"/>
      <c r="B210" s="11"/>
      <c r="C210" s="11"/>
      <c r="D210" s="11"/>
      <c r="E210" s="11"/>
      <c r="F210" s="11"/>
      <c r="G210" s="11"/>
      <c r="H210" s="11"/>
      <c r="I210" s="11"/>
    </row>
    <row r="211">
      <c r="A211" s="11"/>
      <c r="B211" s="11"/>
      <c r="C211" s="11"/>
      <c r="D211" s="11"/>
      <c r="E211" s="11"/>
      <c r="F211" s="11"/>
      <c r="G211" s="11"/>
      <c r="H211" s="11"/>
      <c r="I211" s="11"/>
    </row>
    <row r="212">
      <c r="A212" s="11"/>
      <c r="B212" s="11"/>
      <c r="C212" s="11"/>
      <c r="D212" s="11"/>
      <c r="E212" s="11"/>
      <c r="F212" s="11"/>
      <c r="G212" s="11"/>
      <c r="H212" s="11"/>
      <c r="I212" s="11"/>
    </row>
    <row r="213">
      <c r="A213" s="11"/>
      <c r="B213" s="11"/>
      <c r="C213" s="11"/>
      <c r="D213" s="11"/>
      <c r="E213" s="11"/>
      <c r="F213" s="11"/>
      <c r="G213" s="11"/>
      <c r="H213" s="11"/>
      <c r="I213" s="11"/>
    </row>
    <row r="214">
      <c r="A214" s="11"/>
      <c r="B214" s="11"/>
      <c r="C214" s="11"/>
      <c r="D214" s="11"/>
      <c r="E214" s="11"/>
      <c r="F214" s="11"/>
      <c r="G214" s="11"/>
      <c r="H214" s="11"/>
      <c r="I214" s="11"/>
    </row>
    <row r="215">
      <c r="A215" s="11"/>
      <c r="B215" s="11"/>
      <c r="C215" s="11"/>
      <c r="D215" s="11"/>
      <c r="E215" s="11"/>
      <c r="F215" s="11"/>
      <c r="G215" s="11"/>
      <c r="H215" s="11"/>
      <c r="I215" s="11"/>
    </row>
    <row r="216">
      <c r="A216" s="11"/>
      <c r="B216" s="11"/>
      <c r="C216" s="11"/>
      <c r="D216" s="11"/>
      <c r="E216" s="11"/>
      <c r="F216" s="11"/>
      <c r="G216" s="11"/>
      <c r="H216" s="11"/>
      <c r="I216" s="11"/>
    </row>
    <row r="217">
      <c r="A217" s="11"/>
      <c r="B217" s="11"/>
      <c r="C217" s="11"/>
      <c r="D217" s="11"/>
      <c r="E217" s="11"/>
      <c r="F217" s="11"/>
      <c r="G217" s="11"/>
      <c r="H217" s="11"/>
      <c r="I217" s="11"/>
    </row>
    <row r="218">
      <c r="A218" s="11"/>
      <c r="B218" s="11"/>
      <c r="C218" s="11"/>
      <c r="D218" s="11"/>
      <c r="E218" s="11"/>
      <c r="F218" s="11"/>
      <c r="G218" s="11"/>
      <c r="H218" s="11"/>
      <c r="I218" s="11"/>
    </row>
    <row r="219">
      <c r="A219" s="11"/>
      <c r="B219" s="11"/>
      <c r="C219" s="11"/>
      <c r="D219" s="11"/>
      <c r="E219" s="11"/>
      <c r="F219" s="11"/>
      <c r="G219" s="11"/>
      <c r="H219" s="11"/>
      <c r="I219" s="11"/>
    </row>
    <row r="220">
      <c r="A220" s="11"/>
      <c r="B220" s="11"/>
      <c r="C220" s="11"/>
      <c r="D220" s="11"/>
      <c r="E220" s="11"/>
      <c r="F220" s="11"/>
      <c r="G220" s="11"/>
      <c r="H220" s="11"/>
      <c r="I220" s="11"/>
    </row>
    <row r="221">
      <c r="A221" s="11"/>
      <c r="B221" s="11"/>
      <c r="C221" s="11"/>
      <c r="D221" s="11"/>
      <c r="E221" s="11"/>
      <c r="F221" s="11"/>
      <c r="G221" s="11"/>
      <c r="H221" s="11"/>
      <c r="I221" s="11"/>
    </row>
    <row r="222">
      <c r="A222" s="11"/>
      <c r="B222" s="11"/>
      <c r="C222" s="11"/>
      <c r="D222" s="11"/>
      <c r="E222" s="11"/>
      <c r="F222" s="11"/>
      <c r="G222" s="11"/>
      <c r="H222" s="11"/>
      <c r="I222" s="11"/>
    </row>
    <row r="223">
      <c r="A223" s="11"/>
      <c r="B223" s="11"/>
      <c r="C223" s="11"/>
      <c r="D223" s="11"/>
      <c r="E223" s="11"/>
      <c r="F223" s="11"/>
      <c r="G223" s="11"/>
      <c r="H223" s="11"/>
      <c r="I223" s="11"/>
    </row>
    <row r="224">
      <c r="A224" s="11"/>
      <c r="B224" s="11"/>
      <c r="C224" s="11"/>
      <c r="D224" s="11"/>
      <c r="E224" s="11"/>
      <c r="F224" s="11"/>
      <c r="G224" s="11"/>
      <c r="H224" s="11"/>
      <c r="I224" s="11"/>
    </row>
    <row r="225">
      <c r="A225" s="11"/>
      <c r="B225" s="11"/>
      <c r="C225" s="11"/>
      <c r="D225" s="11"/>
      <c r="E225" s="11"/>
      <c r="F225" s="11"/>
      <c r="G225" s="11"/>
      <c r="H225" s="11"/>
      <c r="I225" s="11"/>
    </row>
    <row r="226">
      <c r="A226" s="11"/>
      <c r="B226" s="11"/>
      <c r="C226" s="11"/>
      <c r="D226" s="11"/>
      <c r="E226" s="11"/>
      <c r="F226" s="11"/>
      <c r="G226" s="11"/>
      <c r="H226" s="11"/>
      <c r="I226" s="11"/>
    </row>
    <row r="227">
      <c r="A227" s="11"/>
      <c r="B227" s="11"/>
      <c r="C227" s="11"/>
      <c r="D227" s="11"/>
      <c r="E227" s="11"/>
      <c r="F227" s="11"/>
      <c r="G227" s="11"/>
      <c r="H227" s="11"/>
      <c r="I227" s="11"/>
    </row>
    <row r="228">
      <c r="A228" s="11"/>
      <c r="B228" s="11"/>
      <c r="C228" s="11"/>
      <c r="D228" s="11"/>
      <c r="E228" s="11"/>
      <c r="F228" s="11"/>
      <c r="G228" s="11"/>
      <c r="H228" s="11"/>
      <c r="I228" s="11"/>
    </row>
    <row r="229">
      <c r="A229" s="11"/>
      <c r="B229" s="11"/>
      <c r="C229" s="11"/>
      <c r="D229" s="11"/>
      <c r="E229" s="11"/>
      <c r="F229" s="11"/>
      <c r="G229" s="11"/>
      <c r="H229" s="11"/>
      <c r="I229" s="11"/>
    </row>
    <row r="230">
      <c r="A230" s="11"/>
      <c r="B230" s="11"/>
      <c r="C230" s="11"/>
      <c r="D230" s="11"/>
      <c r="E230" s="11"/>
      <c r="F230" s="11"/>
      <c r="G230" s="11"/>
      <c r="H230" s="11"/>
      <c r="I230" s="11"/>
    </row>
    <row r="231">
      <c r="A231" s="11"/>
      <c r="B231" s="11"/>
      <c r="C231" s="11"/>
      <c r="D231" s="11"/>
      <c r="E231" s="11"/>
      <c r="F231" s="11"/>
      <c r="G231" s="11"/>
      <c r="H231" s="11"/>
      <c r="I231" s="11"/>
    </row>
    <row r="232">
      <c r="A232" s="11"/>
      <c r="B232" s="11"/>
      <c r="C232" s="11"/>
      <c r="D232" s="11"/>
      <c r="E232" s="11"/>
      <c r="F232" s="11"/>
      <c r="G232" s="11"/>
      <c r="H232" s="11"/>
      <c r="I232" s="11"/>
    </row>
    <row r="233">
      <c r="A233" s="11"/>
      <c r="B233" s="11"/>
      <c r="C233" s="11"/>
      <c r="D233" s="11"/>
      <c r="E233" s="11"/>
      <c r="F233" s="11"/>
      <c r="G233" s="11"/>
      <c r="H233" s="11"/>
      <c r="I233" s="11"/>
    </row>
    <row r="234">
      <c r="A234" s="11"/>
      <c r="B234" s="11"/>
      <c r="C234" s="11"/>
      <c r="D234" s="11"/>
      <c r="E234" s="11"/>
      <c r="F234" s="11"/>
      <c r="G234" s="11"/>
      <c r="H234" s="11"/>
      <c r="I234" s="11"/>
    </row>
    <row r="235">
      <c r="A235" s="11"/>
      <c r="B235" s="11"/>
      <c r="C235" s="11"/>
      <c r="D235" s="11"/>
      <c r="E235" s="11"/>
      <c r="F235" s="11"/>
      <c r="G235" s="11"/>
      <c r="H235" s="11"/>
      <c r="I235" s="11"/>
    </row>
    <row r="236">
      <c r="A236" s="11"/>
      <c r="B236" s="11"/>
      <c r="C236" s="11"/>
      <c r="D236" s="11"/>
      <c r="E236" s="11"/>
      <c r="F236" s="11"/>
      <c r="G236" s="11"/>
      <c r="H236" s="11"/>
      <c r="I236" s="11"/>
    </row>
    <row r="237">
      <c r="A237" s="11"/>
      <c r="B237" s="11"/>
      <c r="C237" s="11"/>
      <c r="D237" s="11"/>
      <c r="E237" s="11"/>
      <c r="F237" s="11"/>
      <c r="G237" s="11"/>
      <c r="H237" s="11"/>
      <c r="I237" s="11"/>
    </row>
    <row r="238">
      <c r="A238" s="11"/>
      <c r="B238" s="11"/>
      <c r="C238" s="11"/>
      <c r="D238" s="11"/>
      <c r="E238" s="11"/>
      <c r="F238" s="11"/>
      <c r="G238" s="11"/>
      <c r="H238" s="11"/>
      <c r="I238" s="11"/>
    </row>
    <row r="239">
      <c r="A239" s="11"/>
      <c r="B239" s="11"/>
      <c r="C239" s="11"/>
      <c r="D239" s="11"/>
      <c r="E239" s="11"/>
      <c r="F239" s="11"/>
      <c r="G239" s="11"/>
      <c r="H239" s="11"/>
      <c r="I239" s="11"/>
    </row>
    <row r="240">
      <c r="A240" s="11"/>
      <c r="B240" s="11"/>
      <c r="C240" s="11"/>
      <c r="D240" s="11"/>
      <c r="E240" s="11"/>
      <c r="F240" s="11"/>
      <c r="G240" s="11"/>
      <c r="H240" s="11"/>
      <c r="I240" s="11"/>
    </row>
    <row r="241">
      <c r="A241" s="11"/>
      <c r="B241" s="11"/>
      <c r="C241" s="11"/>
      <c r="D241" s="11"/>
      <c r="E241" s="11"/>
      <c r="F241" s="11"/>
      <c r="G241" s="11"/>
      <c r="H241" s="11"/>
      <c r="I241" s="11"/>
    </row>
    <row r="242">
      <c r="A242" s="11"/>
      <c r="B242" s="11"/>
      <c r="C242" s="11"/>
      <c r="D242" s="11"/>
      <c r="E242" s="11"/>
      <c r="F242" s="11"/>
      <c r="G242" s="11"/>
      <c r="H242" s="11"/>
      <c r="I242" s="11"/>
    </row>
    <row r="243">
      <c r="A243" s="11"/>
      <c r="B243" s="11"/>
      <c r="C243" s="11"/>
      <c r="D243" s="11"/>
      <c r="E243" s="11"/>
      <c r="F243" s="11"/>
      <c r="G243" s="11"/>
      <c r="H243" s="11"/>
      <c r="I243" s="11"/>
    </row>
    <row r="244">
      <c r="A244" s="11"/>
      <c r="B244" s="11"/>
      <c r="C244" s="11"/>
      <c r="D244" s="11"/>
      <c r="E244" s="11"/>
      <c r="F244" s="11"/>
      <c r="G244" s="11"/>
      <c r="H244" s="11"/>
      <c r="I244" s="11"/>
    </row>
    <row r="245">
      <c r="A245" s="11"/>
      <c r="B245" s="11"/>
      <c r="C245" s="11"/>
      <c r="D245" s="11"/>
      <c r="E245" s="11"/>
      <c r="F245" s="11"/>
      <c r="G245" s="11"/>
      <c r="H245" s="11"/>
      <c r="I245" s="11"/>
    </row>
    <row r="246">
      <c r="A246" s="11"/>
      <c r="B246" s="11"/>
      <c r="C246" s="11"/>
      <c r="D246" s="11"/>
      <c r="E246" s="11"/>
      <c r="F246" s="11"/>
      <c r="G246" s="11"/>
      <c r="H246" s="11"/>
      <c r="I246" s="11"/>
    </row>
    <row r="247">
      <c r="A247" s="11"/>
      <c r="B247" s="11"/>
      <c r="C247" s="11"/>
      <c r="D247" s="11"/>
      <c r="E247" s="11"/>
      <c r="F247" s="11"/>
      <c r="G247" s="11"/>
      <c r="H247" s="11"/>
      <c r="I247" s="11"/>
    </row>
    <row r="248">
      <c r="A248" s="11"/>
      <c r="B248" s="11"/>
      <c r="C248" s="11"/>
      <c r="D248" s="11"/>
      <c r="E248" s="11"/>
      <c r="F248" s="11"/>
      <c r="G248" s="11"/>
      <c r="H248" s="11"/>
      <c r="I248" s="11"/>
    </row>
    <row r="249">
      <c r="A249" s="11"/>
      <c r="B249" s="11"/>
      <c r="C249" s="11"/>
      <c r="D249" s="11"/>
      <c r="E249" s="11"/>
      <c r="F249" s="11"/>
      <c r="G249" s="11"/>
      <c r="H249" s="11"/>
      <c r="I249" s="11"/>
    </row>
    <row r="250">
      <c r="A250" s="11"/>
      <c r="B250" s="11"/>
      <c r="C250" s="11"/>
      <c r="D250" s="11"/>
      <c r="E250" s="11"/>
      <c r="F250" s="11"/>
      <c r="G250" s="11"/>
      <c r="H250" s="11"/>
      <c r="I250" s="11"/>
    </row>
    <row r="251">
      <c r="A251" s="11"/>
      <c r="B251" s="11"/>
      <c r="C251" s="11"/>
      <c r="D251" s="11"/>
      <c r="E251" s="11"/>
      <c r="F251" s="11"/>
      <c r="G251" s="11"/>
      <c r="H251" s="11"/>
      <c r="I251" s="11"/>
    </row>
    <row r="252">
      <c r="A252" s="11"/>
      <c r="B252" s="11"/>
      <c r="C252" s="11"/>
      <c r="D252" s="11"/>
      <c r="E252" s="11"/>
      <c r="F252" s="11"/>
      <c r="G252" s="11"/>
      <c r="H252" s="11"/>
      <c r="I252" s="11"/>
    </row>
    <row r="253">
      <c r="A253" s="11"/>
      <c r="B253" s="11"/>
      <c r="C253" s="11"/>
      <c r="D253" s="11"/>
      <c r="E253" s="11"/>
      <c r="F253" s="11"/>
      <c r="G253" s="11"/>
      <c r="H253" s="11"/>
      <c r="I253" s="11"/>
    </row>
    <row r="254">
      <c r="A254" s="11"/>
      <c r="B254" s="11"/>
      <c r="C254" s="11"/>
      <c r="D254" s="11"/>
      <c r="E254" s="11"/>
      <c r="F254" s="11"/>
      <c r="G254" s="11"/>
      <c r="H254" s="11"/>
      <c r="I254" s="11"/>
    </row>
    <row r="255">
      <c r="A255" s="11"/>
      <c r="B255" s="11"/>
      <c r="C255" s="11"/>
      <c r="D255" s="11"/>
      <c r="E255" s="11"/>
      <c r="F255" s="11"/>
      <c r="G255" s="11"/>
      <c r="H255" s="11"/>
      <c r="I255" s="11"/>
    </row>
    <row r="256">
      <c r="A256" s="11"/>
      <c r="B256" s="11"/>
      <c r="C256" s="11"/>
      <c r="D256" s="11"/>
      <c r="E256" s="11"/>
      <c r="F256" s="11"/>
      <c r="G256" s="11"/>
      <c r="H256" s="11"/>
      <c r="I256" s="11"/>
    </row>
    <row r="257">
      <c r="A257" s="11"/>
      <c r="B257" s="11"/>
      <c r="C257" s="11"/>
      <c r="D257" s="11"/>
      <c r="E257" s="11"/>
      <c r="F257" s="11"/>
      <c r="G257" s="11"/>
      <c r="H257" s="11"/>
      <c r="I257" s="11"/>
    </row>
    <row r="258">
      <c r="A258" s="11"/>
      <c r="B258" s="11"/>
      <c r="C258" s="11"/>
      <c r="D258" s="11"/>
      <c r="E258" s="11"/>
      <c r="F258" s="11"/>
      <c r="G258" s="11"/>
      <c r="H258" s="11"/>
      <c r="I258" s="11"/>
    </row>
    <row r="259">
      <c r="A259" s="11"/>
      <c r="B259" s="11"/>
      <c r="C259" s="11"/>
      <c r="D259" s="11"/>
      <c r="E259" s="11"/>
      <c r="F259" s="11"/>
      <c r="G259" s="11"/>
      <c r="H259" s="11"/>
      <c r="I259" s="11"/>
    </row>
    <row r="260">
      <c r="A260" s="11"/>
      <c r="B260" s="11"/>
      <c r="C260" s="11"/>
      <c r="D260" s="11"/>
      <c r="E260" s="11"/>
      <c r="F260" s="11"/>
      <c r="G260" s="11"/>
      <c r="H260" s="11"/>
      <c r="I260" s="11"/>
    </row>
    <row r="261">
      <c r="A261" s="11"/>
      <c r="B261" s="11"/>
      <c r="C261" s="11"/>
      <c r="D261" s="11"/>
      <c r="E261" s="11"/>
      <c r="F261" s="11"/>
      <c r="G261" s="11"/>
      <c r="H261" s="11"/>
      <c r="I261" s="11"/>
    </row>
    <row r="262">
      <c r="A262" s="11"/>
      <c r="B262" s="11"/>
      <c r="C262" s="11"/>
      <c r="D262" s="11"/>
      <c r="E262" s="11"/>
      <c r="F262" s="11"/>
      <c r="G262" s="11"/>
      <c r="H262" s="11"/>
      <c r="I262" s="11"/>
    </row>
    <row r="263">
      <c r="A263" s="11"/>
      <c r="B263" s="11"/>
      <c r="C263" s="11"/>
      <c r="D263" s="11"/>
      <c r="E263" s="11"/>
      <c r="F263" s="11"/>
      <c r="G263" s="11"/>
      <c r="H263" s="11"/>
      <c r="I263" s="11"/>
    </row>
    <row r="264">
      <c r="A264" s="11"/>
      <c r="B264" s="11"/>
      <c r="C264" s="11"/>
      <c r="D264" s="11"/>
      <c r="E264" s="11"/>
      <c r="F264" s="11"/>
      <c r="G264" s="11"/>
      <c r="H264" s="11"/>
      <c r="I264" s="11"/>
    </row>
    <row r="265">
      <c r="A265" s="11"/>
      <c r="B265" s="11"/>
      <c r="C265" s="11"/>
      <c r="D265" s="11"/>
      <c r="E265" s="11"/>
      <c r="F265" s="11"/>
      <c r="G265" s="11"/>
      <c r="H265" s="11"/>
      <c r="I265" s="11"/>
    </row>
    <row r="266">
      <c r="A266" s="11"/>
      <c r="B266" s="11"/>
      <c r="C266" s="11"/>
      <c r="D266" s="11"/>
      <c r="E266" s="11"/>
      <c r="F266" s="11"/>
      <c r="G266" s="11"/>
      <c r="H266" s="11"/>
      <c r="I266" s="11"/>
    </row>
    <row r="267">
      <c r="A267" s="11"/>
      <c r="B267" s="11"/>
      <c r="C267" s="11"/>
      <c r="D267" s="11"/>
      <c r="E267" s="11"/>
      <c r="F267" s="11"/>
      <c r="G267" s="11"/>
      <c r="H267" s="11"/>
      <c r="I267" s="11"/>
    </row>
    <row r="268">
      <c r="A268" s="11"/>
      <c r="B268" s="11"/>
      <c r="C268" s="11"/>
      <c r="D268" s="11"/>
      <c r="E268" s="11"/>
      <c r="F268" s="11"/>
      <c r="G268" s="11"/>
      <c r="H268" s="11"/>
      <c r="I268" s="11"/>
    </row>
    <row r="269">
      <c r="A269" s="11"/>
      <c r="B269" s="11"/>
      <c r="C269" s="11"/>
      <c r="D269" s="11"/>
      <c r="E269" s="11"/>
      <c r="F269" s="11"/>
      <c r="G269" s="11"/>
      <c r="H269" s="11"/>
      <c r="I269" s="11"/>
    </row>
    <row r="270">
      <c r="A270" s="11"/>
      <c r="B270" s="11"/>
      <c r="C270" s="11"/>
      <c r="D270" s="11"/>
      <c r="E270" s="11"/>
      <c r="F270" s="11"/>
      <c r="G270" s="11"/>
      <c r="H270" s="11"/>
      <c r="I270" s="11"/>
    </row>
    <row r="271">
      <c r="A271" s="11"/>
      <c r="B271" s="11"/>
      <c r="C271" s="11"/>
      <c r="D271" s="11"/>
      <c r="E271" s="11"/>
      <c r="F271" s="11"/>
      <c r="G271" s="11"/>
      <c r="H271" s="11"/>
      <c r="I271" s="11"/>
    </row>
    <row r="272">
      <c r="A272" s="11"/>
      <c r="B272" s="11"/>
      <c r="C272" s="11"/>
      <c r="D272" s="11"/>
      <c r="E272" s="11"/>
      <c r="F272" s="11"/>
      <c r="G272" s="11"/>
      <c r="H272" s="11"/>
      <c r="I272" s="11"/>
    </row>
    <row r="273">
      <c r="A273" s="11"/>
      <c r="B273" s="11"/>
      <c r="C273" s="11"/>
      <c r="D273" s="11"/>
      <c r="E273" s="11"/>
      <c r="F273" s="11"/>
      <c r="G273" s="11"/>
      <c r="H273" s="11"/>
      <c r="I273" s="11"/>
    </row>
    <row r="274">
      <c r="A274" s="11"/>
      <c r="B274" s="11"/>
      <c r="C274" s="11"/>
      <c r="D274" s="11"/>
      <c r="E274" s="11"/>
      <c r="F274" s="11"/>
      <c r="G274" s="11"/>
      <c r="H274" s="11"/>
      <c r="I274" s="11"/>
    </row>
    <row r="275">
      <c r="A275" s="11"/>
      <c r="B275" s="11"/>
      <c r="C275" s="11"/>
      <c r="D275" s="11"/>
      <c r="E275" s="11"/>
      <c r="F275" s="11"/>
      <c r="G275" s="11"/>
      <c r="H275" s="11"/>
      <c r="I275" s="11"/>
    </row>
    <row r="276">
      <c r="A276" s="11"/>
      <c r="B276" s="11"/>
      <c r="C276" s="11"/>
      <c r="D276" s="11"/>
      <c r="E276" s="11"/>
      <c r="F276" s="11"/>
      <c r="G276" s="11"/>
      <c r="H276" s="11"/>
      <c r="I276" s="11"/>
    </row>
    <row r="277">
      <c r="A277" s="11"/>
      <c r="B277" s="11"/>
      <c r="C277" s="11"/>
      <c r="D277" s="11"/>
      <c r="E277" s="11"/>
      <c r="F277" s="11"/>
      <c r="G277" s="11"/>
      <c r="H277" s="11"/>
      <c r="I277" s="11"/>
    </row>
    <row r="278">
      <c r="A278" s="11"/>
      <c r="B278" s="11"/>
      <c r="C278" s="11"/>
      <c r="D278" s="11"/>
      <c r="E278" s="11"/>
      <c r="F278" s="11"/>
      <c r="G278" s="11"/>
      <c r="H278" s="11"/>
      <c r="I278" s="11"/>
    </row>
    <row r="279">
      <c r="A279" s="11"/>
      <c r="B279" s="11"/>
      <c r="C279" s="11"/>
      <c r="D279" s="11"/>
      <c r="E279" s="11"/>
      <c r="F279" s="11"/>
      <c r="G279" s="11"/>
      <c r="H279" s="11"/>
      <c r="I279" s="11"/>
    </row>
    <row r="280">
      <c r="A280" s="11"/>
      <c r="B280" s="11"/>
      <c r="C280" s="11"/>
      <c r="D280" s="11"/>
      <c r="E280" s="11"/>
      <c r="F280" s="11"/>
      <c r="G280" s="11"/>
      <c r="H280" s="11"/>
      <c r="I280" s="11"/>
    </row>
    <row r="281">
      <c r="A281" s="11"/>
      <c r="B281" s="11"/>
      <c r="C281" s="11"/>
      <c r="D281" s="11"/>
      <c r="E281" s="11"/>
      <c r="F281" s="11"/>
      <c r="G281" s="11"/>
      <c r="H281" s="11"/>
      <c r="I281" s="11"/>
    </row>
    <row r="282">
      <c r="A282" s="11"/>
      <c r="B282" s="11"/>
      <c r="C282" s="11"/>
      <c r="D282" s="11"/>
      <c r="E282" s="11"/>
      <c r="F282" s="11"/>
      <c r="G282" s="11"/>
      <c r="H282" s="11"/>
      <c r="I282" s="11"/>
    </row>
    <row r="283">
      <c r="A283" s="11"/>
      <c r="B283" s="11"/>
      <c r="C283" s="11"/>
      <c r="D283" s="11"/>
      <c r="E283" s="11"/>
      <c r="F283" s="11"/>
      <c r="G283" s="11"/>
      <c r="H283" s="11"/>
      <c r="I283" s="11"/>
    </row>
    <row r="284">
      <c r="A284" s="11"/>
      <c r="B284" s="11"/>
      <c r="C284" s="11"/>
      <c r="D284" s="11"/>
      <c r="E284" s="11"/>
      <c r="F284" s="11"/>
      <c r="G284" s="11"/>
      <c r="H284" s="11"/>
      <c r="I284" s="11"/>
    </row>
    <row r="285">
      <c r="A285" s="11"/>
      <c r="B285" s="11"/>
      <c r="C285" s="11"/>
      <c r="D285" s="11"/>
      <c r="E285" s="11"/>
      <c r="F285" s="11"/>
      <c r="G285" s="11"/>
      <c r="H285" s="11"/>
      <c r="I285" s="11"/>
    </row>
    <row r="286">
      <c r="A286" s="11"/>
      <c r="B286" s="11"/>
      <c r="C286" s="11"/>
      <c r="D286" s="11"/>
      <c r="E286" s="11"/>
      <c r="F286" s="11"/>
      <c r="G286" s="11"/>
      <c r="H286" s="11"/>
      <c r="I286" s="11"/>
    </row>
    <row r="287">
      <c r="A287" s="11"/>
      <c r="B287" s="11"/>
      <c r="C287" s="11"/>
      <c r="D287" s="11"/>
      <c r="E287" s="11"/>
      <c r="F287" s="11"/>
      <c r="G287" s="11"/>
      <c r="H287" s="11"/>
      <c r="I287" s="11"/>
    </row>
    <row r="288">
      <c r="A288" s="11"/>
      <c r="B288" s="11"/>
      <c r="C288" s="11"/>
      <c r="D288" s="11"/>
      <c r="E288" s="11"/>
      <c r="F288" s="11"/>
      <c r="G288" s="11"/>
      <c r="H288" s="11"/>
      <c r="I288" s="11"/>
    </row>
    <row r="289">
      <c r="A289" s="11"/>
      <c r="B289" s="11"/>
      <c r="C289" s="11"/>
      <c r="D289" s="11"/>
      <c r="E289" s="11"/>
      <c r="F289" s="11"/>
      <c r="G289" s="11"/>
      <c r="H289" s="11"/>
      <c r="I289" s="11"/>
    </row>
    <row r="290">
      <c r="A290" s="11"/>
      <c r="B290" s="11"/>
      <c r="C290" s="11"/>
      <c r="D290" s="11"/>
      <c r="E290" s="11"/>
      <c r="F290" s="11"/>
      <c r="G290" s="11"/>
      <c r="H290" s="11"/>
      <c r="I290" s="11"/>
    </row>
    <row r="291">
      <c r="A291" s="11"/>
      <c r="B291" s="11"/>
      <c r="C291" s="11"/>
      <c r="D291" s="11"/>
      <c r="E291" s="11"/>
      <c r="F291" s="11"/>
      <c r="G291" s="11"/>
      <c r="H291" s="11"/>
      <c r="I291" s="11"/>
    </row>
    <row r="292">
      <c r="A292" s="11"/>
      <c r="B292" s="11"/>
      <c r="C292" s="11"/>
      <c r="D292" s="11"/>
      <c r="E292" s="11"/>
      <c r="F292" s="11"/>
      <c r="G292" s="11"/>
      <c r="H292" s="11"/>
      <c r="I292" s="11"/>
    </row>
    <row r="293">
      <c r="A293" s="11"/>
      <c r="B293" s="11"/>
      <c r="C293" s="11"/>
      <c r="D293" s="11"/>
      <c r="E293" s="11"/>
      <c r="F293" s="11"/>
      <c r="G293" s="11"/>
      <c r="H293" s="11"/>
      <c r="I293" s="11"/>
    </row>
    <row r="294">
      <c r="A294" s="11"/>
      <c r="B294" s="11"/>
      <c r="C294" s="11"/>
      <c r="D294" s="11"/>
      <c r="E294" s="11"/>
      <c r="F294" s="11"/>
      <c r="G294" s="11"/>
      <c r="H294" s="11"/>
      <c r="I294" s="11"/>
    </row>
    <row r="295">
      <c r="A295" s="11"/>
      <c r="B295" s="11"/>
      <c r="C295" s="11"/>
      <c r="D295" s="11"/>
      <c r="E295" s="11"/>
      <c r="F295" s="11"/>
      <c r="G295" s="11"/>
      <c r="H295" s="11"/>
      <c r="I295" s="11"/>
    </row>
    <row r="296">
      <c r="A296" s="11"/>
      <c r="B296" s="11"/>
      <c r="C296" s="11"/>
      <c r="D296" s="11"/>
      <c r="E296" s="11"/>
      <c r="F296" s="11"/>
      <c r="G296" s="11"/>
      <c r="H296" s="11"/>
      <c r="I296" s="11"/>
    </row>
    <row r="297">
      <c r="A297" s="11"/>
      <c r="B297" s="11"/>
      <c r="C297" s="11"/>
      <c r="D297" s="11"/>
      <c r="E297" s="11"/>
      <c r="F297" s="11"/>
      <c r="G297" s="11"/>
      <c r="H297" s="11"/>
      <c r="I297" s="11"/>
    </row>
    <row r="298">
      <c r="A298" s="11"/>
      <c r="B298" s="11"/>
      <c r="C298" s="11"/>
      <c r="D298" s="11"/>
      <c r="E298" s="11"/>
      <c r="F298" s="11"/>
      <c r="G298" s="11"/>
      <c r="H298" s="11"/>
      <c r="I298" s="11"/>
    </row>
    <row r="299">
      <c r="A299" s="11"/>
      <c r="B299" s="11"/>
      <c r="C299" s="11"/>
      <c r="D299" s="11"/>
      <c r="E299" s="11"/>
      <c r="F299" s="11"/>
      <c r="G299" s="11"/>
      <c r="H299" s="11"/>
      <c r="I299" s="11"/>
    </row>
    <row r="300">
      <c r="A300" s="11"/>
      <c r="B300" s="11"/>
      <c r="C300" s="11"/>
      <c r="D300" s="11"/>
      <c r="E300" s="11"/>
      <c r="F300" s="11"/>
      <c r="G300" s="11"/>
      <c r="H300" s="11"/>
      <c r="I300" s="11"/>
    </row>
    <row r="301">
      <c r="A301" s="11"/>
      <c r="B301" s="11"/>
      <c r="C301" s="11"/>
      <c r="D301" s="11"/>
      <c r="E301" s="11"/>
      <c r="F301" s="11"/>
      <c r="G301" s="11"/>
      <c r="H301" s="11"/>
      <c r="I301" s="11"/>
    </row>
    <row r="302">
      <c r="A302" s="11"/>
      <c r="B302" s="11"/>
      <c r="C302" s="11"/>
      <c r="D302" s="11"/>
      <c r="E302" s="11"/>
      <c r="F302" s="11"/>
      <c r="G302" s="11"/>
      <c r="H302" s="11"/>
      <c r="I302" s="11"/>
    </row>
    <row r="303">
      <c r="A303" s="11"/>
      <c r="B303" s="11"/>
      <c r="C303" s="11"/>
      <c r="D303" s="11"/>
      <c r="E303" s="11"/>
      <c r="F303" s="11"/>
      <c r="G303" s="11"/>
      <c r="H303" s="11"/>
      <c r="I303" s="11"/>
    </row>
    <row r="304">
      <c r="A304" s="11"/>
      <c r="B304" s="11"/>
      <c r="C304" s="11"/>
      <c r="D304" s="11"/>
      <c r="E304" s="11"/>
      <c r="F304" s="11"/>
      <c r="G304" s="11"/>
      <c r="H304" s="11"/>
      <c r="I304" s="11"/>
    </row>
    <row r="305">
      <c r="A305" s="11"/>
      <c r="B305" s="11"/>
      <c r="C305" s="11"/>
      <c r="D305" s="11"/>
      <c r="E305" s="11"/>
      <c r="F305" s="11"/>
      <c r="G305" s="11"/>
      <c r="H305" s="11"/>
      <c r="I305" s="11"/>
    </row>
    <row r="306">
      <c r="A306" s="11"/>
      <c r="B306" s="11"/>
      <c r="C306" s="11"/>
      <c r="D306" s="11"/>
      <c r="E306" s="11"/>
      <c r="F306" s="11"/>
      <c r="G306" s="11"/>
      <c r="H306" s="11"/>
      <c r="I306" s="11"/>
    </row>
    <row r="307">
      <c r="A307" s="11"/>
      <c r="B307" s="11"/>
      <c r="C307" s="11"/>
      <c r="D307" s="11"/>
      <c r="E307" s="11"/>
      <c r="F307" s="11"/>
      <c r="G307" s="11"/>
      <c r="H307" s="11"/>
      <c r="I307" s="11"/>
    </row>
    <row r="308">
      <c r="A308" s="11"/>
      <c r="B308" s="11"/>
      <c r="C308" s="11"/>
      <c r="D308" s="11"/>
      <c r="E308" s="11"/>
      <c r="F308" s="11"/>
      <c r="G308" s="11"/>
      <c r="H308" s="11"/>
      <c r="I308" s="11"/>
    </row>
    <row r="309">
      <c r="A309" s="11"/>
      <c r="B309" s="11"/>
      <c r="C309" s="11"/>
      <c r="D309" s="11"/>
      <c r="E309" s="11"/>
      <c r="F309" s="11"/>
      <c r="G309" s="11"/>
      <c r="H309" s="11"/>
      <c r="I309" s="11"/>
    </row>
    <row r="310">
      <c r="A310" s="11"/>
      <c r="B310" s="11"/>
      <c r="C310" s="11"/>
      <c r="D310" s="11"/>
      <c r="E310" s="11"/>
      <c r="F310" s="11"/>
      <c r="G310" s="11"/>
      <c r="H310" s="11"/>
      <c r="I310" s="11"/>
    </row>
    <row r="311">
      <c r="A311" s="11"/>
      <c r="B311" s="11"/>
      <c r="C311" s="11"/>
      <c r="D311" s="11"/>
      <c r="E311" s="11"/>
      <c r="F311" s="11"/>
      <c r="G311" s="11"/>
      <c r="H311" s="11"/>
      <c r="I311" s="11"/>
    </row>
    <row r="312">
      <c r="A312" s="11"/>
      <c r="B312" s="11"/>
      <c r="C312" s="11"/>
      <c r="D312" s="11"/>
      <c r="E312" s="11"/>
      <c r="F312" s="11"/>
      <c r="G312" s="11"/>
      <c r="H312" s="11"/>
      <c r="I312" s="11"/>
    </row>
    <row r="313">
      <c r="A313" s="11"/>
      <c r="B313" s="11"/>
      <c r="C313" s="11"/>
      <c r="D313" s="11"/>
      <c r="E313" s="11"/>
      <c r="F313" s="11"/>
      <c r="G313" s="11"/>
      <c r="H313" s="11"/>
      <c r="I313" s="11"/>
    </row>
    <row r="314">
      <c r="A314" s="11"/>
      <c r="B314" s="11"/>
      <c r="C314" s="11"/>
      <c r="D314" s="11"/>
      <c r="E314" s="11"/>
      <c r="F314" s="11"/>
      <c r="G314" s="11"/>
      <c r="H314" s="11"/>
      <c r="I314" s="11"/>
    </row>
    <row r="315">
      <c r="A315" s="11"/>
      <c r="B315" s="11"/>
      <c r="C315" s="11"/>
      <c r="D315" s="11"/>
      <c r="E315" s="11"/>
      <c r="F315" s="11"/>
      <c r="G315" s="11"/>
      <c r="H315" s="11"/>
      <c r="I315" s="11"/>
    </row>
    <row r="316">
      <c r="A316" s="11"/>
      <c r="B316" s="11"/>
      <c r="C316" s="11"/>
      <c r="D316" s="11"/>
      <c r="E316" s="11"/>
      <c r="F316" s="11"/>
      <c r="G316" s="11"/>
      <c r="H316" s="11"/>
      <c r="I316" s="11"/>
    </row>
    <row r="317">
      <c r="A317" s="11"/>
      <c r="B317" s="11"/>
      <c r="C317" s="11"/>
      <c r="D317" s="11"/>
      <c r="E317" s="11"/>
      <c r="F317" s="11"/>
      <c r="G317" s="11"/>
      <c r="H317" s="11"/>
      <c r="I317" s="11"/>
    </row>
    <row r="318">
      <c r="A318" s="11"/>
      <c r="B318" s="11"/>
      <c r="C318" s="11"/>
      <c r="D318" s="11"/>
      <c r="E318" s="11"/>
      <c r="F318" s="11"/>
      <c r="G318" s="11"/>
      <c r="H318" s="11"/>
      <c r="I318" s="11"/>
    </row>
    <row r="319">
      <c r="A319" s="11"/>
      <c r="B319" s="11"/>
      <c r="C319" s="11"/>
      <c r="D319" s="11"/>
      <c r="E319" s="11"/>
      <c r="F319" s="11"/>
      <c r="G319" s="11"/>
      <c r="H319" s="11"/>
      <c r="I319" s="11"/>
    </row>
    <row r="320">
      <c r="A320" s="11"/>
      <c r="B320" s="11"/>
      <c r="C320" s="11"/>
      <c r="D320" s="11"/>
      <c r="E320" s="11"/>
      <c r="F320" s="11"/>
      <c r="G320" s="11"/>
      <c r="H320" s="11"/>
      <c r="I320" s="11"/>
    </row>
    <row r="321">
      <c r="A321" s="11"/>
      <c r="B321" s="11"/>
      <c r="C321" s="11"/>
      <c r="D321" s="11"/>
      <c r="E321" s="11"/>
      <c r="F321" s="11"/>
      <c r="G321" s="11"/>
      <c r="H321" s="11"/>
      <c r="I321" s="11"/>
    </row>
    <row r="322">
      <c r="A322" s="11"/>
      <c r="B322" s="11"/>
      <c r="C322" s="11"/>
      <c r="D322" s="11"/>
      <c r="E322" s="11"/>
      <c r="F322" s="11"/>
      <c r="G322" s="11"/>
      <c r="H322" s="11"/>
      <c r="I322" s="11"/>
    </row>
    <row r="323">
      <c r="A323" s="11"/>
      <c r="B323" s="11"/>
      <c r="C323" s="11"/>
      <c r="D323" s="11"/>
      <c r="E323" s="11"/>
      <c r="F323" s="11"/>
      <c r="G323" s="11"/>
      <c r="H323" s="11"/>
      <c r="I323" s="11"/>
    </row>
    <row r="324">
      <c r="A324" s="11"/>
      <c r="B324" s="11"/>
      <c r="C324" s="11"/>
      <c r="D324" s="11"/>
      <c r="E324" s="11"/>
      <c r="F324" s="11"/>
      <c r="G324" s="11"/>
      <c r="H324" s="11"/>
      <c r="I324" s="11"/>
    </row>
    <row r="325">
      <c r="A325" s="11"/>
      <c r="B325" s="11"/>
      <c r="C325" s="11"/>
      <c r="D325" s="11"/>
      <c r="E325" s="11"/>
      <c r="F325" s="11"/>
      <c r="G325" s="11"/>
      <c r="H325" s="11"/>
      <c r="I325" s="11"/>
    </row>
    <row r="326">
      <c r="A326" s="11"/>
      <c r="B326" s="11"/>
      <c r="C326" s="11"/>
      <c r="D326" s="11"/>
      <c r="E326" s="11"/>
      <c r="F326" s="11"/>
      <c r="G326" s="11"/>
      <c r="H326" s="11"/>
      <c r="I326" s="11"/>
    </row>
    <row r="327">
      <c r="A327" s="11"/>
      <c r="B327" s="11"/>
      <c r="C327" s="11"/>
      <c r="D327" s="11"/>
      <c r="E327" s="11"/>
      <c r="F327" s="11"/>
      <c r="G327" s="11"/>
      <c r="H327" s="11"/>
      <c r="I327" s="11"/>
    </row>
    <row r="328">
      <c r="A328" s="11"/>
      <c r="B328" s="11"/>
      <c r="C328" s="11"/>
      <c r="D328" s="11"/>
      <c r="E328" s="11"/>
      <c r="F328" s="11"/>
      <c r="G328" s="11"/>
      <c r="H328" s="11"/>
      <c r="I328" s="11"/>
    </row>
    <row r="329">
      <c r="A329" s="11"/>
      <c r="B329" s="11"/>
      <c r="C329" s="11"/>
      <c r="D329" s="11"/>
      <c r="E329" s="11"/>
      <c r="F329" s="11"/>
      <c r="G329" s="11"/>
      <c r="H329" s="11"/>
      <c r="I329" s="11"/>
    </row>
    <row r="330">
      <c r="A330" s="11"/>
      <c r="B330" s="11"/>
      <c r="C330" s="11"/>
      <c r="D330" s="11"/>
      <c r="E330" s="11"/>
      <c r="F330" s="11"/>
      <c r="G330" s="11"/>
      <c r="H330" s="11"/>
      <c r="I330" s="11"/>
    </row>
    <row r="331">
      <c r="A331" s="11"/>
      <c r="B331" s="11"/>
      <c r="C331" s="11"/>
      <c r="D331" s="11"/>
      <c r="E331" s="11"/>
      <c r="F331" s="11"/>
      <c r="G331" s="11"/>
      <c r="H331" s="11"/>
      <c r="I331" s="11"/>
    </row>
    <row r="332">
      <c r="A332" s="11"/>
      <c r="B332" s="11"/>
      <c r="C332" s="11"/>
      <c r="D332" s="11"/>
      <c r="E332" s="11"/>
      <c r="F332" s="11"/>
      <c r="G332" s="11"/>
      <c r="H332" s="11"/>
      <c r="I332" s="11"/>
    </row>
    <row r="333">
      <c r="A333" s="11"/>
      <c r="B333" s="11"/>
      <c r="C333" s="11"/>
      <c r="D333" s="11"/>
      <c r="E333" s="11"/>
      <c r="F333" s="11"/>
      <c r="G333" s="11"/>
      <c r="H333" s="11"/>
      <c r="I333" s="11"/>
    </row>
    <row r="334">
      <c r="A334" s="11"/>
      <c r="B334" s="11"/>
      <c r="C334" s="11"/>
      <c r="D334" s="11"/>
      <c r="E334" s="11"/>
      <c r="F334" s="11"/>
      <c r="G334" s="11"/>
      <c r="H334" s="11"/>
      <c r="I334" s="11"/>
    </row>
    <row r="335">
      <c r="A335" s="11"/>
      <c r="B335" s="11"/>
      <c r="C335" s="11"/>
      <c r="D335" s="11"/>
      <c r="E335" s="11"/>
      <c r="F335" s="11"/>
      <c r="G335" s="11"/>
      <c r="H335" s="11"/>
      <c r="I335" s="11"/>
    </row>
    <row r="336">
      <c r="A336" s="11"/>
      <c r="B336" s="11"/>
      <c r="C336" s="11"/>
      <c r="D336" s="11"/>
      <c r="E336" s="11"/>
      <c r="F336" s="11"/>
      <c r="G336" s="11"/>
      <c r="H336" s="11"/>
      <c r="I336" s="11"/>
    </row>
    <row r="337">
      <c r="A337" s="11"/>
      <c r="B337" s="11"/>
      <c r="C337" s="11"/>
      <c r="D337" s="11"/>
      <c r="E337" s="11"/>
      <c r="F337" s="11"/>
      <c r="G337" s="11"/>
      <c r="H337" s="11"/>
      <c r="I337" s="11"/>
    </row>
    <row r="338">
      <c r="A338" s="11"/>
      <c r="B338" s="11"/>
      <c r="C338" s="11"/>
      <c r="D338" s="11"/>
      <c r="E338" s="11"/>
      <c r="F338" s="11"/>
      <c r="G338" s="11"/>
      <c r="H338" s="11"/>
      <c r="I338" s="11"/>
    </row>
    <row r="339">
      <c r="A339" s="11"/>
      <c r="B339" s="11"/>
      <c r="C339" s="11"/>
      <c r="D339" s="11"/>
      <c r="E339" s="11"/>
      <c r="F339" s="11"/>
      <c r="G339" s="11"/>
      <c r="H339" s="11"/>
      <c r="I339" s="11"/>
    </row>
    <row r="340">
      <c r="A340" s="11"/>
      <c r="B340" s="11"/>
      <c r="C340" s="11"/>
      <c r="D340" s="11"/>
      <c r="E340" s="11"/>
      <c r="F340" s="11"/>
      <c r="G340" s="11"/>
      <c r="H340" s="11"/>
      <c r="I340" s="11"/>
    </row>
    <row r="341">
      <c r="A341" s="11"/>
      <c r="B341" s="11"/>
      <c r="C341" s="11"/>
      <c r="D341" s="11"/>
      <c r="E341" s="11"/>
      <c r="F341" s="11"/>
      <c r="G341" s="11"/>
      <c r="H341" s="11"/>
      <c r="I341" s="11"/>
    </row>
    <row r="342">
      <c r="A342" s="11"/>
      <c r="B342" s="11"/>
      <c r="C342" s="11"/>
      <c r="D342" s="11"/>
      <c r="E342" s="11"/>
      <c r="F342" s="11"/>
      <c r="G342" s="11"/>
      <c r="H342" s="11"/>
      <c r="I342" s="11"/>
    </row>
    <row r="343">
      <c r="A343" s="11"/>
      <c r="B343" s="11"/>
      <c r="C343" s="11"/>
      <c r="D343" s="11"/>
      <c r="E343" s="11"/>
      <c r="F343" s="11"/>
      <c r="G343" s="11"/>
      <c r="H343" s="11"/>
      <c r="I343" s="11"/>
    </row>
    <row r="344">
      <c r="A344" s="11"/>
      <c r="B344" s="11"/>
      <c r="C344" s="11"/>
      <c r="D344" s="11"/>
      <c r="E344" s="11"/>
      <c r="F344" s="11"/>
      <c r="G344" s="11"/>
      <c r="H344" s="11"/>
      <c r="I344" s="11"/>
    </row>
    <row r="345">
      <c r="A345" s="11"/>
      <c r="B345" s="11"/>
      <c r="C345" s="11"/>
      <c r="D345" s="11"/>
      <c r="E345" s="11"/>
      <c r="F345" s="11"/>
      <c r="G345" s="11"/>
      <c r="H345" s="11"/>
      <c r="I345" s="11"/>
    </row>
    <row r="346">
      <c r="A346" s="11"/>
      <c r="B346" s="11"/>
      <c r="C346" s="11"/>
      <c r="D346" s="11"/>
      <c r="E346" s="11"/>
      <c r="F346" s="11"/>
      <c r="G346" s="11"/>
      <c r="H346" s="11"/>
      <c r="I346" s="11"/>
    </row>
    <row r="347">
      <c r="A347" s="11"/>
      <c r="B347" s="11"/>
      <c r="C347" s="11"/>
      <c r="D347" s="11"/>
      <c r="E347" s="11"/>
      <c r="F347" s="11"/>
      <c r="G347" s="11"/>
      <c r="H347" s="11"/>
      <c r="I347" s="11"/>
    </row>
    <row r="348">
      <c r="A348" s="11"/>
      <c r="B348" s="11"/>
      <c r="C348" s="11"/>
      <c r="D348" s="11"/>
      <c r="E348" s="11"/>
      <c r="F348" s="11"/>
      <c r="G348" s="11"/>
      <c r="H348" s="11"/>
      <c r="I348" s="11"/>
    </row>
    <row r="349">
      <c r="A349" s="11"/>
      <c r="B349" s="11"/>
      <c r="C349" s="11"/>
      <c r="D349" s="11"/>
      <c r="E349" s="11"/>
      <c r="F349" s="11"/>
      <c r="G349" s="11"/>
      <c r="H349" s="11"/>
      <c r="I349" s="11"/>
    </row>
    <row r="350">
      <c r="A350" s="11"/>
      <c r="B350" s="11"/>
      <c r="C350" s="11"/>
      <c r="D350" s="11"/>
      <c r="E350" s="11"/>
      <c r="F350" s="11"/>
      <c r="G350" s="11"/>
      <c r="H350" s="11"/>
      <c r="I350" s="11"/>
    </row>
    <row r="351">
      <c r="A351" s="11"/>
      <c r="B351" s="11"/>
      <c r="C351" s="11"/>
      <c r="D351" s="11"/>
      <c r="E351" s="11"/>
      <c r="F351" s="11"/>
      <c r="G351" s="11"/>
      <c r="H351" s="11"/>
      <c r="I351" s="11"/>
    </row>
    <row r="352">
      <c r="A352" s="11"/>
      <c r="B352" s="11"/>
      <c r="C352" s="11"/>
      <c r="D352" s="11"/>
      <c r="E352" s="11"/>
      <c r="F352" s="11"/>
      <c r="G352" s="11"/>
      <c r="H352" s="11"/>
      <c r="I352" s="11"/>
    </row>
    <row r="353">
      <c r="A353" s="11"/>
      <c r="B353" s="11"/>
      <c r="C353" s="11"/>
      <c r="D353" s="11"/>
      <c r="E353" s="11"/>
      <c r="F353" s="11"/>
      <c r="G353" s="11"/>
      <c r="H353" s="11"/>
      <c r="I353" s="11"/>
    </row>
    <row r="354">
      <c r="A354" s="11"/>
      <c r="B354" s="11"/>
      <c r="C354" s="11"/>
      <c r="D354" s="11"/>
      <c r="E354" s="11"/>
      <c r="F354" s="11"/>
      <c r="G354" s="11"/>
      <c r="H354" s="11"/>
      <c r="I354" s="11"/>
    </row>
    <row r="355">
      <c r="A355" s="11"/>
      <c r="B355" s="11"/>
      <c r="C355" s="11"/>
      <c r="D355" s="11"/>
      <c r="E355" s="11"/>
      <c r="F355" s="11"/>
      <c r="G355" s="11"/>
      <c r="H355" s="11"/>
      <c r="I355" s="11"/>
    </row>
    <row r="356">
      <c r="A356" s="11"/>
      <c r="B356" s="11"/>
      <c r="C356" s="11"/>
      <c r="D356" s="11"/>
      <c r="E356" s="11"/>
      <c r="F356" s="11"/>
      <c r="G356" s="11"/>
      <c r="H356" s="11"/>
      <c r="I356" s="11"/>
    </row>
    <row r="357">
      <c r="A357" s="11"/>
      <c r="B357" s="11"/>
      <c r="C357" s="11"/>
      <c r="D357" s="11"/>
      <c r="E357" s="11"/>
      <c r="F357" s="11"/>
      <c r="G357" s="11"/>
      <c r="H357" s="11"/>
      <c r="I357" s="11"/>
    </row>
    <row r="358">
      <c r="A358" s="11"/>
      <c r="B358" s="11"/>
      <c r="C358" s="11"/>
      <c r="D358" s="11"/>
      <c r="E358" s="11"/>
      <c r="F358" s="11"/>
      <c r="G358" s="11"/>
      <c r="H358" s="11"/>
      <c r="I358" s="11"/>
    </row>
    <row r="359">
      <c r="A359" s="11"/>
      <c r="B359" s="11"/>
      <c r="C359" s="11"/>
      <c r="D359" s="11"/>
      <c r="E359" s="11"/>
      <c r="F359" s="11"/>
      <c r="G359" s="11"/>
      <c r="H359" s="11"/>
      <c r="I359" s="11"/>
    </row>
    <row r="360">
      <c r="A360" s="11"/>
      <c r="B360" s="11"/>
      <c r="C360" s="11"/>
      <c r="D360" s="11"/>
      <c r="E360" s="11"/>
      <c r="F360" s="11"/>
      <c r="G360" s="11"/>
      <c r="H360" s="11"/>
      <c r="I360" s="11"/>
    </row>
    <row r="361">
      <c r="A361" s="11"/>
      <c r="B361" s="11"/>
      <c r="C361" s="11"/>
      <c r="D361" s="11"/>
      <c r="E361" s="11"/>
      <c r="F361" s="11"/>
      <c r="G361" s="11"/>
      <c r="H361" s="11"/>
      <c r="I361" s="11"/>
    </row>
    <row r="362">
      <c r="A362" s="11"/>
      <c r="B362" s="11"/>
      <c r="C362" s="11"/>
      <c r="D362" s="11"/>
      <c r="E362" s="11"/>
      <c r="F362" s="11"/>
      <c r="G362" s="11"/>
      <c r="H362" s="11"/>
      <c r="I362" s="11"/>
    </row>
    <row r="363">
      <c r="A363" s="11"/>
      <c r="B363" s="11"/>
      <c r="C363" s="11"/>
      <c r="D363" s="11"/>
      <c r="E363" s="11"/>
      <c r="F363" s="11"/>
      <c r="G363" s="11"/>
      <c r="H363" s="11"/>
      <c r="I363" s="11"/>
    </row>
    <row r="364">
      <c r="A364" s="11"/>
      <c r="B364" s="11"/>
      <c r="C364" s="11"/>
      <c r="D364" s="11"/>
      <c r="E364" s="11"/>
      <c r="F364" s="11"/>
      <c r="G364" s="11"/>
      <c r="H364" s="11"/>
      <c r="I364" s="11"/>
    </row>
    <row r="365">
      <c r="A365" s="11"/>
      <c r="B365" s="11"/>
      <c r="C365" s="11"/>
      <c r="D365" s="11"/>
      <c r="E365" s="11"/>
      <c r="F365" s="11"/>
      <c r="G365" s="11"/>
      <c r="H365" s="11"/>
      <c r="I365" s="11"/>
    </row>
    <row r="366">
      <c r="A366" s="11"/>
      <c r="B366" s="11"/>
      <c r="C366" s="11"/>
      <c r="D366" s="11"/>
      <c r="E366" s="11"/>
      <c r="F366" s="11"/>
      <c r="G366" s="11"/>
      <c r="H366" s="11"/>
      <c r="I366" s="11"/>
    </row>
    <row r="367">
      <c r="A367" s="11"/>
      <c r="B367" s="11"/>
      <c r="C367" s="11"/>
      <c r="D367" s="11"/>
      <c r="E367" s="11"/>
      <c r="F367" s="11"/>
      <c r="G367" s="11"/>
      <c r="H367" s="11"/>
      <c r="I367" s="11"/>
    </row>
    <row r="368">
      <c r="A368" s="11"/>
      <c r="B368" s="11"/>
      <c r="C368" s="11"/>
      <c r="D368" s="11"/>
      <c r="E368" s="11"/>
      <c r="F368" s="11"/>
      <c r="G368" s="11"/>
      <c r="H368" s="11"/>
      <c r="I368" s="11"/>
    </row>
    <row r="369">
      <c r="A369" s="11"/>
      <c r="B369" s="11"/>
      <c r="C369" s="11"/>
      <c r="D369" s="11"/>
      <c r="E369" s="11"/>
      <c r="F369" s="11"/>
      <c r="G369" s="11"/>
      <c r="H369" s="11"/>
      <c r="I369" s="11"/>
    </row>
    <row r="370">
      <c r="A370" s="11"/>
      <c r="B370" s="11"/>
      <c r="C370" s="11"/>
      <c r="D370" s="11"/>
      <c r="E370" s="11"/>
      <c r="F370" s="11"/>
      <c r="G370" s="11"/>
      <c r="H370" s="11"/>
      <c r="I370" s="11"/>
    </row>
    <row r="371">
      <c r="A371" s="11"/>
      <c r="B371" s="11"/>
      <c r="C371" s="11"/>
      <c r="D371" s="11"/>
      <c r="E371" s="11"/>
      <c r="F371" s="11"/>
      <c r="G371" s="11"/>
      <c r="H371" s="11"/>
      <c r="I371" s="11"/>
    </row>
    <row r="372">
      <c r="A372" s="11"/>
      <c r="B372" s="11"/>
      <c r="C372" s="11"/>
      <c r="D372" s="11"/>
      <c r="E372" s="11"/>
      <c r="F372" s="11"/>
      <c r="G372" s="11"/>
      <c r="H372" s="11"/>
      <c r="I372" s="11"/>
    </row>
    <row r="373">
      <c r="A373" s="11"/>
      <c r="B373" s="11"/>
      <c r="C373" s="11"/>
      <c r="D373" s="11"/>
      <c r="E373" s="11"/>
      <c r="F373" s="11"/>
      <c r="G373" s="11"/>
      <c r="H373" s="11"/>
      <c r="I373" s="11"/>
    </row>
    <row r="374">
      <c r="A374" s="11"/>
      <c r="B374" s="11"/>
      <c r="C374" s="11"/>
      <c r="D374" s="11"/>
      <c r="E374" s="11"/>
      <c r="F374" s="11"/>
      <c r="G374" s="11"/>
      <c r="H374" s="11"/>
      <c r="I374" s="11"/>
    </row>
    <row r="375">
      <c r="A375" s="11"/>
      <c r="B375" s="11"/>
      <c r="C375" s="11"/>
      <c r="D375" s="11"/>
      <c r="E375" s="11"/>
      <c r="F375" s="11"/>
      <c r="G375" s="11"/>
      <c r="H375" s="11"/>
      <c r="I375" s="11"/>
    </row>
    <row r="376">
      <c r="A376" s="11"/>
      <c r="B376" s="11"/>
      <c r="C376" s="11"/>
      <c r="D376" s="11"/>
      <c r="E376" s="11"/>
      <c r="F376" s="11"/>
      <c r="G376" s="11"/>
      <c r="H376" s="11"/>
      <c r="I376" s="11"/>
    </row>
    <row r="377">
      <c r="A377" s="11"/>
      <c r="B377" s="11"/>
      <c r="C377" s="11"/>
      <c r="D377" s="11"/>
      <c r="E377" s="11"/>
      <c r="F377" s="11"/>
      <c r="G377" s="11"/>
      <c r="H377" s="11"/>
      <c r="I377" s="11"/>
    </row>
    <row r="378">
      <c r="A378" s="11"/>
      <c r="B378" s="11"/>
      <c r="C378" s="11"/>
      <c r="D378" s="11"/>
      <c r="E378" s="11"/>
      <c r="F378" s="11"/>
      <c r="G378" s="11"/>
      <c r="H378" s="11"/>
      <c r="I378" s="11"/>
    </row>
    <row r="379">
      <c r="A379" s="11"/>
      <c r="B379" s="11"/>
      <c r="C379" s="11"/>
      <c r="D379" s="11"/>
      <c r="E379" s="11"/>
      <c r="F379" s="11"/>
      <c r="G379" s="11"/>
      <c r="H379" s="11"/>
      <c r="I379" s="11"/>
    </row>
    <row r="380">
      <c r="A380" s="11"/>
      <c r="B380" s="11"/>
      <c r="C380" s="11"/>
      <c r="D380" s="11"/>
      <c r="E380" s="11"/>
      <c r="F380" s="11"/>
      <c r="G380" s="11"/>
      <c r="H380" s="11"/>
      <c r="I380" s="11"/>
    </row>
    <row r="381">
      <c r="A381" s="11"/>
      <c r="B381" s="11"/>
      <c r="C381" s="11"/>
      <c r="D381" s="11"/>
      <c r="E381" s="11"/>
      <c r="F381" s="11"/>
      <c r="G381" s="11"/>
      <c r="H381" s="11"/>
      <c r="I381" s="11"/>
    </row>
    <row r="382">
      <c r="A382" s="11"/>
      <c r="B382" s="11"/>
      <c r="C382" s="11"/>
      <c r="D382" s="11"/>
      <c r="E382" s="11"/>
      <c r="F382" s="11"/>
      <c r="G382" s="11"/>
      <c r="H382" s="11"/>
      <c r="I382" s="11"/>
    </row>
    <row r="383">
      <c r="A383" s="11"/>
      <c r="B383" s="11"/>
      <c r="C383" s="11"/>
      <c r="D383" s="11"/>
      <c r="E383" s="11"/>
      <c r="F383" s="11"/>
      <c r="G383" s="11"/>
      <c r="H383" s="11"/>
      <c r="I383" s="11"/>
    </row>
    <row r="384">
      <c r="A384" s="11"/>
      <c r="B384" s="11"/>
      <c r="C384" s="11"/>
      <c r="D384" s="11"/>
      <c r="E384" s="11"/>
      <c r="F384" s="11"/>
      <c r="G384" s="11"/>
      <c r="H384" s="11"/>
      <c r="I384" s="11"/>
    </row>
    <row r="385">
      <c r="A385" s="11"/>
      <c r="B385" s="11"/>
      <c r="C385" s="11"/>
      <c r="D385" s="11"/>
      <c r="E385" s="11"/>
      <c r="F385" s="11"/>
      <c r="G385" s="11"/>
      <c r="H385" s="11"/>
      <c r="I385" s="11"/>
    </row>
    <row r="386">
      <c r="A386" s="11"/>
      <c r="B386" s="11"/>
      <c r="C386" s="11"/>
      <c r="D386" s="11"/>
      <c r="E386" s="11"/>
      <c r="F386" s="11"/>
      <c r="G386" s="11"/>
      <c r="H386" s="11"/>
      <c r="I386" s="11"/>
    </row>
    <row r="387">
      <c r="A387" s="11"/>
      <c r="B387" s="11"/>
      <c r="C387" s="11"/>
      <c r="D387" s="11"/>
      <c r="E387" s="11"/>
      <c r="F387" s="11"/>
      <c r="G387" s="11"/>
      <c r="H387" s="11"/>
      <c r="I387" s="11"/>
    </row>
    <row r="388">
      <c r="A388" s="11"/>
      <c r="B388" s="11"/>
      <c r="C388" s="11"/>
      <c r="D388" s="11"/>
      <c r="E388" s="11"/>
      <c r="F388" s="11"/>
      <c r="G388" s="11"/>
      <c r="H388" s="11"/>
      <c r="I388" s="11"/>
    </row>
    <row r="389">
      <c r="A389" s="11"/>
      <c r="B389" s="11"/>
      <c r="C389" s="11"/>
      <c r="D389" s="11"/>
      <c r="E389" s="11"/>
      <c r="F389" s="11"/>
      <c r="G389" s="11"/>
      <c r="H389" s="11"/>
      <c r="I389" s="11"/>
    </row>
    <row r="390">
      <c r="A390" s="11"/>
      <c r="B390" s="11"/>
      <c r="C390" s="11"/>
      <c r="D390" s="11"/>
      <c r="E390" s="11"/>
      <c r="F390" s="11"/>
      <c r="G390" s="11"/>
      <c r="H390" s="11"/>
      <c r="I390" s="11"/>
    </row>
    <row r="391">
      <c r="A391" s="11"/>
      <c r="B391" s="11"/>
      <c r="C391" s="11"/>
      <c r="D391" s="11"/>
      <c r="E391" s="11"/>
      <c r="F391" s="11"/>
      <c r="G391" s="11"/>
      <c r="H391" s="11"/>
      <c r="I391" s="11"/>
    </row>
    <row r="392">
      <c r="A392" s="11"/>
      <c r="B392" s="11"/>
      <c r="C392" s="11"/>
      <c r="D392" s="11"/>
      <c r="E392" s="11"/>
      <c r="F392" s="11"/>
      <c r="G392" s="11"/>
      <c r="H392" s="11"/>
      <c r="I392" s="11"/>
    </row>
    <row r="393">
      <c r="A393" s="11"/>
      <c r="B393" s="11"/>
      <c r="C393" s="11"/>
      <c r="D393" s="11"/>
      <c r="E393" s="11"/>
      <c r="F393" s="11"/>
      <c r="G393" s="11"/>
      <c r="H393" s="11"/>
      <c r="I393" s="11"/>
    </row>
    <row r="394">
      <c r="A394" s="11"/>
      <c r="B394" s="11"/>
      <c r="C394" s="11"/>
      <c r="D394" s="11"/>
      <c r="E394" s="11"/>
      <c r="F394" s="11"/>
      <c r="G394" s="11"/>
      <c r="H394" s="11"/>
      <c r="I394" s="11"/>
    </row>
    <row r="395">
      <c r="A395" s="11"/>
      <c r="B395" s="11"/>
      <c r="C395" s="11"/>
      <c r="D395" s="11"/>
      <c r="E395" s="11"/>
      <c r="F395" s="11"/>
      <c r="G395" s="11"/>
      <c r="H395" s="11"/>
      <c r="I395" s="11"/>
    </row>
    <row r="396">
      <c r="A396" s="11"/>
      <c r="B396" s="11"/>
      <c r="C396" s="11"/>
      <c r="D396" s="11"/>
      <c r="E396" s="11"/>
      <c r="F396" s="11"/>
      <c r="G396" s="11"/>
      <c r="H396" s="11"/>
      <c r="I396" s="11"/>
    </row>
    <row r="397">
      <c r="A397" s="11"/>
      <c r="B397" s="11"/>
      <c r="C397" s="11"/>
      <c r="D397" s="11"/>
      <c r="E397" s="11"/>
      <c r="F397" s="11"/>
      <c r="G397" s="11"/>
      <c r="H397" s="11"/>
      <c r="I397" s="11"/>
    </row>
    <row r="398">
      <c r="A398" s="11"/>
      <c r="B398" s="11"/>
      <c r="C398" s="11"/>
      <c r="D398" s="11"/>
      <c r="E398" s="11"/>
      <c r="F398" s="11"/>
      <c r="G398" s="11"/>
      <c r="H398" s="11"/>
      <c r="I398" s="11"/>
    </row>
    <row r="399">
      <c r="A399" s="11"/>
      <c r="B399" s="11"/>
      <c r="C399" s="11"/>
      <c r="D399" s="11"/>
      <c r="E399" s="11"/>
      <c r="F399" s="11"/>
      <c r="G399" s="11"/>
      <c r="H399" s="11"/>
      <c r="I399" s="11"/>
    </row>
    <row r="400">
      <c r="A400" s="11"/>
      <c r="B400" s="11"/>
      <c r="C400" s="11"/>
      <c r="D400" s="11"/>
      <c r="E400" s="11"/>
      <c r="F400" s="11"/>
      <c r="G400" s="11"/>
      <c r="H400" s="11"/>
      <c r="I400" s="11"/>
    </row>
    <row r="401">
      <c r="A401" s="11"/>
      <c r="B401" s="11"/>
      <c r="C401" s="11"/>
      <c r="D401" s="11"/>
      <c r="E401" s="11"/>
      <c r="F401" s="11"/>
      <c r="G401" s="11"/>
      <c r="H401" s="11"/>
      <c r="I401" s="11"/>
    </row>
    <row r="402">
      <c r="A402" s="11"/>
      <c r="B402" s="11"/>
      <c r="C402" s="11"/>
      <c r="D402" s="11"/>
      <c r="E402" s="11"/>
      <c r="F402" s="11"/>
      <c r="G402" s="11"/>
      <c r="H402" s="11"/>
      <c r="I402" s="11"/>
    </row>
    <row r="403">
      <c r="A403" s="11"/>
      <c r="B403" s="11"/>
      <c r="C403" s="11"/>
      <c r="D403" s="11"/>
      <c r="E403" s="11"/>
      <c r="F403" s="11"/>
      <c r="G403" s="11"/>
      <c r="H403" s="11"/>
      <c r="I403" s="11"/>
    </row>
    <row r="404">
      <c r="A404" s="11"/>
      <c r="B404" s="11"/>
      <c r="C404" s="11"/>
      <c r="D404" s="11"/>
      <c r="E404" s="11"/>
      <c r="F404" s="11"/>
      <c r="G404" s="11"/>
      <c r="H404" s="11"/>
      <c r="I404" s="11"/>
    </row>
    <row r="405">
      <c r="A405" s="11"/>
      <c r="B405" s="11"/>
      <c r="C405" s="11"/>
      <c r="D405" s="11"/>
      <c r="E405" s="11"/>
      <c r="F405" s="11"/>
      <c r="G405" s="11"/>
      <c r="H405" s="11"/>
      <c r="I405" s="11"/>
    </row>
    <row r="406">
      <c r="A406" s="11"/>
      <c r="B406" s="11"/>
      <c r="C406" s="11"/>
      <c r="D406" s="11"/>
      <c r="E406" s="11"/>
      <c r="F406" s="11"/>
      <c r="G406" s="11"/>
      <c r="H406" s="11"/>
      <c r="I406" s="11"/>
    </row>
    <row r="407">
      <c r="A407" s="11"/>
      <c r="B407" s="11"/>
      <c r="C407" s="11"/>
      <c r="D407" s="11"/>
      <c r="E407" s="11"/>
      <c r="F407" s="11"/>
      <c r="G407" s="11"/>
      <c r="H407" s="11"/>
      <c r="I407" s="11"/>
    </row>
    <row r="408">
      <c r="A408" s="11"/>
      <c r="B408" s="11"/>
      <c r="C408" s="11"/>
      <c r="D408" s="11"/>
      <c r="E408" s="11"/>
      <c r="F408" s="11"/>
      <c r="G408" s="11"/>
      <c r="H408" s="11"/>
      <c r="I408" s="11"/>
    </row>
    <row r="409">
      <c r="A409" s="11"/>
      <c r="B409" s="11"/>
      <c r="C409" s="11"/>
      <c r="D409" s="11"/>
      <c r="E409" s="11"/>
      <c r="F409" s="11"/>
      <c r="G409" s="11"/>
      <c r="H409" s="11"/>
      <c r="I409" s="11"/>
    </row>
    <row r="410">
      <c r="A410" s="11"/>
      <c r="B410" s="11"/>
      <c r="C410" s="11"/>
      <c r="D410" s="11"/>
      <c r="E410" s="11"/>
      <c r="F410" s="11"/>
      <c r="G410" s="11"/>
      <c r="H410" s="11"/>
      <c r="I410" s="11"/>
    </row>
    <row r="411">
      <c r="A411" s="11"/>
      <c r="B411" s="11"/>
      <c r="C411" s="11"/>
      <c r="D411" s="11"/>
      <c r="E411" s="11"/>
      <c r="F411" s="11"/>
      <c r="G411" s="11"/>
      <c r="H411" s="11"/>
      <c r="I411" s="11"/>
    </row>
    <row r="412">
      <c r="A412" s="11"/>
      <c r="B412" s="11"/>
      <c r="C412" s="11"/>
      <c r="D412" s="11"/>
      <c r="E412" s="11"/>
      <c r="F412" s="11"/>
      <c r="G412" s="11"/>
      <c r="H412" s="11"/>
      <c r="I412" s="11"/>
    </row>
    <row r="413">
      <c r="A413" s="11"/>
      <c r="B413" s="11"/>
      <c r="C413" s="11"/>
      <c r="D413" s="11"/>
      <c r="E413" s="11"/>
      <c r="F413" s="11"/>
      <c r="G413" s="11"/>
      <c r="H413" s="11"/>
      <c r="I413" s="11"/>
    </row>
    <row r="414">
      <c r="A414" s="11"/>
      <c r="B414" s="11"/>
      <c r="C414" s="11"/>
      <c r="D414" s="11"/>
      <c r="E414" s="11"/>
      <c r="F414" s="11"/>
      <c r="G414" s="11"/>
      <c r="H414" s="11"/>
      <c r="I414" s="11"/>
    </row>
    <row r="415">
      <c r="A415" s="11"/>
      <c r="B415" s="11"/>
      <c r="C415" s="11"/>
      <c r="D415" s="11"/>
      <c r="E415" s="11"/>
      <c r="F415" s="11"/>
      <c r="G415" s="11"/>
      <c r="H415" s="11"/>
      <c r="I415" s="11"/>
    </row>
    <row r="416">
      <c r="A416" s="11"/>
      <c r="B416" s="11"/>
      <c r="C416" s="11"/>
      <c r="D416" s="11"/>
      <c r="E416" s="11"/>
      <c r="F416" s="11"/>
      <c r="G416" s="11"/>
      <c r="H416" s="11"/>
      <c r="I416" s="11"/>
    </row>
    <row r="417">
      <c r="A417" s="11"/>
      <c r="B417" s="11"/>
      <c r="C417" s="11"/>
      <c r="D417" s="11"/>
      <c r="E417" s="11"/>
      <c r="F417" s="11"/>
      <c r="G417" s="11"/>
      <c r="H417" s="11"/>
      <c r="I417" s="11"/>
    </row>
    <row r="418">
      <c r="A418" s="11"/>
      <c r="B418" s="11"/>
      <c r="C418" s="11"/>
      <c r="D418" s="11"/>
      <c r="E418" s="11"/>
      <c r="F418" s="11"/>
      <c r="G418" s="11"/>
      <c r="H418" s="11"/>
      <c r="I418" s="11"/>
    </row>
    <row r="419">
      <c r="A419" s="11"/>
      <c r="B419" s="11"/>
      <c r="C419" s="11"/>
      <c r="D419" s="11"/>
      <c r="E419" s="11"/>
      <c r="F419" s="11"/>
      <c r="G419" s="11"/>
      <c r="H419" s="11"/>
      <c r="I419" s="11"/>
    </row>
    <row r="420">
      <c r="A420" s="11"/>
      <c r="B420" s="11"/>
      <c r="C420" s="11"/>
      <c r="D420" s="11"/>
      <c r="E420" s="11"/>
      <c r="F420" s="11"/>
      <c r="G420" s="11"/>
      <c r="H420" s="11"/>
      <c r="I420" s="11"/>
    </row>
    <row r="421">
      <c r="A421" s="11"/>
      <c r="B421" s="11"/>
      <c r="C421" s="11"/>
      <c r="D421" s="11"/>
      <c r="E421" s="11"/>
      <c r="F421" s="11"/>
      <c r="G421" s="11"/>
      <c r="H421" s="11"/>
      <c r="I421" s="11"/>
    </row>
    <row r="422">
      <c r="A422" s="11"/>
      <c r="B422" s="11"/>
      <c r="C422" s="11"/>
      <c r="D422" s="11"/>
      <c r="E422" s="11"/>
      <c r="F422" s="11"/>
      <c r="G422" s="11"/>
      <c r="H422" s="11"/>
      <c r="I422" s="11"/>
    </row>
    <row r="423">
      <c r="A423" s="11"/>
      <c r="B423" s="11"/>
      <c r="C423" s="11"/>
      <c r="D423" s="11"/>
      <c r="E423" s="11"/>
      <c r="F423" s="11"/>
      <c r="G423" s="11"/>
      <c r="H423" s="11"/>
      <c r="I423" s="11"/>
    </row>
    <row r="424">
      <c r="A424" s="11"/>
      <c r="B424" s="11"/>
      <c r="C424" s="11"/>
      <c r="D424" s="11"/>
      <c r="E424" s="11"/>
      <c r="F424" s="11"/>
      <c r="G424" s="11"/>
      <c r="H424" s="11"/>
      <c r="I424" s="11"/>
    </row>
    <row r="425">
      <c r="A425" s="11"/>
      <c r="B425" s="11"/>
      <c r="C425" s="11"/>
      <c r="D425" s="11"/>
      <c r="E425" s="11"/>
      <c r="F425" s="11"/>
      <c r="G425" s="11"/>
      <c r="H425" s="11"/>
      <c r="I425" s="11"/>
    </row>
    <row r="426">
      <c r="A426" s="11"/>
      <c r="B426" s="11"/>
      <c r="C426" s="11"/>
      <c r="D426" s="11"/>
      <c r="E426" s="11"/>
      <c r="F426" s="11"/>
      <c r="G426" s="11"/>
      <c r="H426" s="11"/>
      <c r="I426" s="11"/>
    </row>
    <row r="427">
      <c r="A427" s="11"/>
      <c r="B427" s="11"/>
      <c r="C427" s="11"/>
      <c r="D427" s="11"/>
      <c r="E427" s="11"/>
      <c r="F427" s="11"/>
      <c r="G427" s="11"/>
      <c r="H427" s="11"/>
      <c r="I427" s="11"/>
    </row>
    <row r="428">
      <c r="A428" s="11"/>
      <c r="B428" s="11"/>
      <c r="C428" s="11"/>
      <c r="D428" s="11"/>
      <c r="E428" s="11"/>
      <c r="F428" s="11"/>
      <c r="G428" s="11"/>
      <c r="H428" s="11"/>
      <c r="I428" s="11"/>
    </row>
    <row r="429">
      <c r="A429" s="11"/>
      <c r="B429" s="11"/>
      <c r="C429" s="11"/>
      <c r="D429" s="11"/>
      <c r="E429" s="11"/>
      <c r="F429" s="11"/>
      <c r="G429" s="11"/>
      <c r="H429" s="11"/>
      <c r="I429" s="11"/>
    </row>
    <row r="430">
      <c r="A430" s="11"/>
      <c r="B430" s="11"/>
      <c r="C430" s="11"/>
      <c r="D430" s="11"/>
      <c r="E430" s="11"/>
      <c r="F430" s="11"/>
      <c r="G430" s="11"/>
      <c r="H430" s="11"/>
      <c r="I430" s="11"/>
    </row>
    <row r="431">
      <c r="A431" s="11"/>
      <c r="B431" s="11"/>
      <c r="C431" s="11"/>
      <c r="D431" s="11"/>
      <c r="E431" s="11"/>
      <c r="F431" s="11"/>
      <c r="G431" s="11"/>
      <c r="H431" s="11"/>
      <c r="I431" s="11"/>
    </row>
    <row r="432">
      <c r="A432" s="11"/>
      <c r="B432" s="11"/>
      <c r="C432" s="11"/>
      <c r="D432" s="11"/>
      <c r="E432" s="11"/>
      <c r="F432" s="11"/>
      <c r="G432" s="11"/>
      <c r="H432" s="11"/>
      <c r="I432" s="11"/>
    </row>
    <row r="433">
      <c r="A433" s="11"/>
      <c r="B433" s="11"/>
      <c r="C433" s="11"/>
      <c r="D433" s="11"/>
      <c r="E433" s="11"/>
      <c r="F433" s="11"/>
      <c r="G433" s="11"/>
      <c r="H433" s="11"/>
      <c r="I433" s="11"/>
    </row>
    <row r="434">
      <c r="A434" s="11"/>
      <c r="B434" s="11"/>
      <c r="C434" s="11"/>
      <c r="D434" s="11"/>
      <c r="E434" s="11"/>
      <c r="F434" s="11"/>
      <c r="G434" s="11"/>
      <c r="H434" s="11"/>
      <c r="I434" s="11"/>
    </row>
    <row r="435">
      <c r="A435" s="11"/>
      <c r="B435" s="11"/>
      <c r="C435" s="11"/>
      <c r="D435" s="11"/>
      <c r="E435" s="11"/>
      <c r="F435" s="11"/>
      <c r="G435" s="11"/>
      <c r="H435" s="11"/>
      <c r="I435" s="11"/>
    </row>
    <row r="436">
      <c r="A436" s="11"/>
      <c r="B436" s="11"/>
      <c r="C436" s="11"/>
      <c r="D436" s="11"/>
      <c r="E436" s="11"/>
      <c r="F436" s="11"/>
      <c r="G436" s="11"/>
      <c r="H436" s="11"/>
      <c r="I436" s="11"/>
    </row>
    <row r="437">
      <c r="A437" s="11"/>
      <c r="B437" s="11"/>
      <c r="C437" s="11"/>
      <c r="D437" s="11"/>
      <c r="E437" s="11"/>
      <c r="F437" s="11"/>
      <c r="G437" s="11"/>
      <c r="H437" s="11"/>
      <c r="I437" s="11"/>
    </row>
    <row r="438">
      <c r="A438" s="11"/>
      <c r="B438" s="11"/>
      <c r="C438" s="11"/>
      <c r="D438" s="11"/>
      <c r="E438" s="11"/>
      <c r="F438" s="11"/>
      <c r="G438" s="11"/>
      <c r="H438" s="11"/>
      <c r="I438" s="11"/>
    </row>
    <row r="439">
      <c r="A439" s="11"/>
      <c r="B439" s="11"/>
      <c r="C439" s="11"/>
      <c r="D439" s="11"/>
      <c r="E439" s="11"/>
      <c r="F439" s="11"/>
      <c r="G439" s="11"/>
      <c r="H439" s="11"/>
      <c r="I439" s="11"/>
    </row>
    <row r="440">
      <c r="A440" s="11"/>
      <c r="B440" s="11"/>
      <c r="C440" s="11"/>
      <c r="D440" s="11"/>
      <c r="E440" s="11"/>
      <c r="F440" s="11"/>
      <c r="G440" s="11"/>
      <c r="H440" s="11"/>
      <c r="I440" s="11"/>
    </row>
    <row r="441">
      <c r="A441" s="11"/>
      <c r="B441" s="11"/>
      <c r="C441" s="11"/>
      <c r="D441" s="11"/>
      <c r="E441" s="11"/>
      <c r="F441" s="11"/>
      <c r="G441" s="11"/>
      <c r="H441" s="11"/>
      <c r="I441" s="11"/>
    </row>
    <row r="442">
      <c r="A442" s="11"/>
      <c r="B442" s="11"/>
      <c r="C442" s="11"/>
      <c r="D442" s="11"/>
      <c r="E442" s="11"/>
      <c r="F442" s="11"/>
      <c r="G442" s="11"/>
      <c r="H442" s="11"/>
      <c r="I442" s="11"/>
    </row>
    <row r="443">
      <c r="A443" s="11"/>
      <c r="B443" s="11"/>
      <c r="C443" s="11"/>
      <c r="D443" s="11"/>
      <c r="E443" s="11"/>
      <c r="F443" s="11"/>
      <c r="G443" s="11"/>
      <c r="H443" s="11"/>
      <c r="I443" s="11"/>
    </row>
    <row r="444">
      <c r="A444" s="11"/>
      <c r="B444" s="11"/>
      <c r="C444" s="11"/>
      <c r="D444" s="11"/>
      <c r="E444" s="11"/>
      <c r="F444" s="11"/>
      <c r="G444" s="11"/>
      <c r="H444" s="11"/>
      <c r="I444" s="11"/>
    </row>
    <row r="445">
      <c r="A445" s="11"/>
      <c r="B445" s="11"/>
      <c r="C445" s="11"/>
      <c r="D445" s="11"/>
      <c r="E445" s="11"/>
      <c r="F445" s="11"/>
      <c r="G445" s="11"/>
      <c r="H445" s="11"/>
      <c r="I445" s="11"/>
    </row>
    <row r="446">
      <c r="A446" s="11"/>
      <c r="B446" s="11"/>
      <c r="C446" s="11"/>
      <c r="D446" s="11"/>
      <c r="E446" s="11"/>
      <c r="F446" s="11"/>
      <c r="G446" s="11"/>
      <c r="H446" s="11"/>
      <c r="I446" s="11"/>
    </row>
    <row r="447">
      <c r="A447" s="11"/>
      <c r="B447" s="11"/>
      <c r="C447" s="11"/>
      <c r="D447" s="11"/>
      <c r="E447" s="11"/>
      <c r="F447" s="11"/>
      <c r="G447" s="11"/>
      <c r="H447" s="11"/>
      <c r="I447" s="11"/>
    </row>
    <row r="448">
      <c r="A448" s="11"/>
      <c r="B448" s="11"/>
      <c r="C448" s="11"/>
      <c r="D448" s="11"/>
      <c r="E448" s="11"/>
      <c r="F448" s="11"/>
      <c r="G448" s="11"/>
      <c r="H448" s="11"/>
      <c r="I448" s="11"/>
    </row>
    <row r="449">
      <c r="A449" s="11"/>
      <c r="B449" s="11"/>
      <c r="C449" s="11"/>
      <c r="D449" s="11"/>
      <c r="E449" s="11"/>
      <c r="F449" s="11"/>
      <c r="G449" s="11"/>
      <c r="H449" s="11"/>
      <c r="I449" s="11"/>
    </row>
    <row r="450">
      <c r="A450" s="11"/>
      <c r="B450" s="11"/>
      <c r="C450" s="11"/>
      <c r="D450" s="11"/>
      <c r="E450" s="11"/>
      <c r="F450" s="11"/>
      <c r="G450" s="11"/>
      <c r="H450" s="11"/>
      <c r="I450" s="11"/>
    </row>
    <row r="451">
      <c r="A451" s="11"/>
      <c r="B451" s="11"/>
      <c r="C451" s="11"/>
      <c r="D451" s="11"/>
      <c r="E451" s="11"/>
      <c r="F451" s="11"/>
      <c r="G451" s="11"/>
      <c r="H451" s="11"/>
      <c r="I451" s="11"/>
    </row>
    <row r="452">
      <c r="A452" s="11"/>
      <c r="B452" s="11"/>
      <c r="C452" s="11"/>
      <c r="D452" s="11"/>
      <c r="E452" s="11"/>
      <c r="F452" s="11"/>
      <c r="G452" s="11"/>
      <c r="H452" s="11"/>
      <c r="I452" s="11"/>
    </row>
    <row r="453">
      <c r="A453" s="11"/>
      <c r="B453" s="11"/>
      <c r="C453" s="11"/>
      <c r="D453" s="11"/>
      <c r="E453" s="11"/>
      <c r="F453" s="11"/>
      <c r="G453" s="11"/>
      <c r="H453" s="11"/>
      <c r="I453" s="11"/>
    </row>
    <row r="454">
      <c r="A454" s="11"/>
      <c r="B454" s="11"/>
      <c r="C454" s="11"/>
      <c r="D454" s="11"/>
      <c r="E454" s="11"/>
      <c r="F454" s="11"/>
      <c r="G454" s="11"/>
      <c r="H454" s="11"/>
      <c r="I454" s="11"/>
    </row>
    <row r="455">
      <c r="A455" s="11"/>
      <c r="B455" s="11"/>
      <c r="C455" s="11"/>
      <c r="D455" s="11"/>
      <c r="E455" s="11"/>
      <c r="F455" s="11"/>
      <c r="G455" s="11"/>
      <c r="H455" s="11"/>
      <c r="I455" s="11"/>
    </row>
    <row r="456">
      <c r="A456" s="11"/>
      <c r="B456" s="11"/>
      <c r="C456" s="11"/>
      <c r="D456" s="11"/>
      <c r="E456" s="11"/>
      <c r="F456" s="11"/>
      <c r="G456" s="11"/>
      <c r="H456" s="11"/>
      <c r="I456" s="11"/>
    </row>
    <row r="457">
      <c r="A457" s="11"/>
      <c r="B457" s="11"/>
      <c r="C457" s="11"/>
      <c r="D457" s="11"/>
      <c r="E457" s="11"/>
      <c r="F457" s="11"/>
      <c r="G457" s="11"/>
      <c r="H457" s="11"/>
      <c r="I457" s="11"/>
    </row>
    <row r="458">
      <c r="A458" s="11"/>
      <c r="B458" s="11"/>
      <c r="C458" s="11"/>
      <c r="D458" s="11"/>
      <c r="E458" s="11"/>
      <c r="F458" s="11"/>
      <c r="G458" s="11"/>
      <c r="H458" s="11"/>
      <c r="I458" s="11"/>
    </row>
    <row r="459">
      <c r="A459" s="11"/>
      <c r="B459" s="11"/>
      <c r="C459" s="11"/>
      <c r="D459" s="11"/>
      <c r="E459" s="11"/>
      <c r="F459" s="11"/>
      <c r="G459" s="11"/>
      <c r="H459" s="11"/>
      <c r="I459" s="11"/>
    </row>
    <row r="460">
      <c r="A460" s="11"/>
      <c r="B460" s="11"/>
      <c r="C460" s="11"/>
      <c r="D460" s="11"/>
      <c r="E460" s="11"/>
      <c r="F460" s="11"/>
      <c r="G460" s="11"/>
      <c r="H460" s="11"/>
      <c r="I460" s="11"/>
    </row>
    <row r="461">
      <c r="A461" s="11"/>
      <c r="B461" s="11"/>
      <c r="C461" s="11"/>
      <c r="D461" s="11"/>
      <c r="E461" s="11"/>
      <c r="F461" s="11"/>
      <c r="G461" s="11"/>
      <c r="H461" s="11"/>
      <c r="I461" s="11"/>
    </row>
    <row r="462">
      <c r="A462" s="11"/>
      <c r="B462" s="11"/>
      <c r="C462" s="11"/>
      <c r="D462" s="11"/>
      <c r="E462" s="11"/>
      <c r="F462" s="11"/>
      <c r="G462" s="11"/>
      <c r="H462" s="11"/>
      <c r="I462" s="11"/>
    </row>
    <row r="463">
      <c r="A463" s="11"/>
      <c r="B463" s="11"/>
      <c r="C463" s="11"/>
      <c r="D463" s="11"/>
      <c r="E463" s="11"/>
      <c r="F463" s="11"/>
      <c r="G463" s="11"/>
      <c r="H463" s="11"/>
      <c r="I463" s="11"/>
    </row>
    <row r="464">
      <c r="A464" s="11"/>
      <c r="B464" s="11"/>
      <c r="C464" s="11"/>
      <c r="D464" s="11"/>
      <c r="E464" s="11"/>
      <c r="F464" s="11"/>
      <c r="G464" s="11"/>
      <c r="H464" s="11"/>
      <c r="I464" s="11"/>
    </row>
    <row r="465">
      <c r="A465" s="11"/>
      <c r="B465" s="11"/>
      <c r="C465" s="11"/>
      <c r="D465" s="11"/>
      <c r="E465" s="11"/>
      <c r="F465" s="11"/>
      <c r="G465" s="11"/>
      <c r="H465" s="11"/>
      <c r="I465" s="11"/>
    </row>
    <row r="466">
      <c r="A466" s="11"/>
      <c r="B466" s="11"/>
      <c r="C466" s="11"/>
      <c r="D466" s="11"/>
      <c r="E466" s="11"/>
      <c r="F466" s="11"/>
      <c r="G466" s="11"/>
      <c r="H466" s="11"/>
      <c r="I466" s="11"/>
    </row>
    <row r="467">
      <c r="A467" s="11"/>
      <c r="B467" s="11"/>
      <c r="C467" s="11"/>
      <c r="D467" s="11"/>
      <c r="E467" s="11"/>
      <c r="F467" s="11"/>
      <c r="G467" s="11"/>
      <c r="H467" s="11"/>
      <c r="I467" s="11"/>
    </row>
    <row r="468">
      <c r="A468" s="11"/>
      <c r="B468" s="11"/>
      <c r="C468" s="11"/>
      <c r="D468" s="11"/>
      <c r="E468" s="11"/>
      <c r="F468" s="11"/>
      <c r="G468" s="11"/>
      <c r="H468" s="11"/>
      <c r="I468" s="11"/>
    </row>
    <row r="469">
      <c r="A469" s="11"/>
      <c r="B469" s="11"/>
      <c r="C469" s="11"/>
      <c r="D469" s="11"/>
      <c r="E469" s="11"/>
      <c r="F469" s="11"/>
      <c r="G469" s="11"/>
      <c r="H469" s="11"/>
      <c r="I469" s="11"/>
    </row>
    <row r="470">
      <c r="A470" s="11"/>
      <c r="B470" s="11"/>
      <c r="C470" s="11"/>
      <c r="D470" s="11"/>
      <c r="E470" s="11"/>
      <c r="F470" s="11"/>
      <c r="G470" s="11"/>
      <c r="H470" s="11"/>
      <c r="I470" s="11"/>
    </row>
    <row r="471">
      <c r="A471" s="11"/>
      <c r="B471" s="11"/>
      <c r="C471" s="11"/>
      <c r="D471" s="11"/>
      <c r="E471" s="11"/>
      <c r="F471" s="11"/>
      <c r="G471" s="11"/>
      <c r="H471" s="11"/>
      <c r="I471" s="11"/>
    </row>
    <row r="472">
      <c r="A472" s="11"/>
      <c r="B472" s="11"/>
      <c r="C472" s="11"/>
      <c r="D472" s="11"/>
      <c r="E472" s="11"/>
      <c r="F472" s="11"/>
      <c r="G472" s="11"/>
      <c r="H472" s="11"/>
      <c r="I472" s="11"/>
    </row>
    <row r="473">
      <c r="A473" s="11"/>
      <c r="B473" s="11"/>
      <c r="C473" s="11"/>
      <c r="D473" s="11"/>
      <c r="E473" s="11"/>
      <c r="F473" s="11"/>
      <c r="G473" s="11"/>
      <c r="H473" s="11"/>
      <c r="I473" s="11"/>
    </row>
    <row r="474">
      <c r="A474" s="11"/>
      <c r="B474" s="11"/>
      <c r="C474" s="11"/>
      <c r="D474" s="11"/>
      <c r="E474" s="11"/>
      <c r="F474" s="11"/>
      <c r="G474" s="11"/>
      <c r="H474" s="11"/>
      <c r="I474" s="11"/>
    </row>
    <row r="475">
      <c r="A475" s="11"/>
      <c r="B475" s="11"/>
      <c r="C475" s="11"/>
      <c r="D475" s="11"/>
      <c r="E475" s="11"/>
      <c r="F475" s="11"/>
      <c r="G475" s="11"/>
      <c r="H475" s="11"/>
      <c r="I475" s="11"/>
    </row>
    <row r="476">
      <c r="A476" s="11"/>
      <c r="B476" s="11"/>
      <c r="C476" s="11"/>
      <c r="D476" s="11"/>
      <c r="E476" s="11"/>
      <c r="F476" s="11"/>
      <c r="G476" s="11"/>
      <c r="H476" s="11"/>
      <c r="I476" s="11"/>
    </row>
    <row r="477">
      <c r="A477" s="11"/>
      <c r="B477" s="11"/>
      <c r="C477" s="11"/>
      <c r="D477" s="11"/>
      <c r="E477" s="11"/>
      <c r="F477" s="11"/>
      <c r="G477" s="11"/>
      <c r="H477" s="11"/>
      <c r="I477" s="11"/>
    </row>
    <row r="478">
      <c r="A478" s="11"/>
      <c r="B478" s="11"/>
      <c r="C478" s="11"/>
      <c r="D478" s="11"/>
      <c r="E478" s="11"/>
      <c r="F478" s="11"/>
      <c r="G478" s="11"/>
      <c r="H478" s="11"/>
      <c r="I478" s="11"/>
    </row>
    <row r="479">
      <c r="A479" s="11"/>
      <c r="B479" s="11"/>
      <c r="C479" s="11"/>
      <c r="D479" s="11"/>
      <c r="E479" s="11"/>
      <c r="F479" s="11"/>
      <c r="G479" s="11"/>
      <c r="H479" s="11"/>
      <c r="I479" s="11"/>
    </row>
    <row r="480">
      <c r="A480" s="11"/>
      <c r="B480" s="11"/>
      <c r="C480" s="11"/>
      <c r="D480" s="11"/>
      <c r="E480" s="11"/>
      <c r="F480" s="11"/>
      <c r="G480" s="11"/>
      <c r="H480" s="11"/>
      <c r="I480" s="11"/>
    </row>
    <row r="481">
      <c r="A481" s="11"/>
      <c r="B481" s="11"/>
      <c r="C481" s="11"/>
      <c r="D481" s="11"/>
      <c r="E481" s="11"/>
      <c r="F481" s="11"/>
      <c r="G481" s="11"/>
      <c r="H481" s="11"/>
      <c r="I481" s="11"/>
    </row>
    <row r="482">
      <c r="A482" s="11"/>
      <c r="B482" s="11"/>
      <c r="C482" s="11"/>
      <c r="D482" s="11"/>
      <c r="E482" s="11"/>
      <c r="F482" s="11"/>
      <c r="G482" s="11"/>
      <c r="H482" s="11"/>
      <c r="I482" s="11"/>
    </row>
    <row r="483">
      <c r="A483" s="11"/>
      <c r="B483" s="11"/>
      <c r="C483" s="11"/>
      <c r="D483" s="11"/>
      <c r="E483" s="11"/>
      <c r="F483" s="11"/>
      <c r="G483" s="11"/>
      <c r="H483" s="11"/>
      <c r="I483" s="11"/>
    </row>
    <row r="484">
      <c r="A484" s="11"/>
      <c r="B484" s="11"/>
      <c r="C484" s="11"/>
      <c r="D484" s="11"/>
      <c r="E484" s="11"/>
      <c r="F484" s="11"/>
      <c r="G484" s="11"/>
      <c r="H484" s="11"/>
      <c r="I484" s="11"/>
    </row>
    <row r="485">
      <c r="A485" s="11"/>
      <c r="B485" s="11"/>
      <c r="C485" s="11"/>
      <c r="D485" s="11"/>
      <c r="E485" s="11"/>
      <c r="F485" s="11"/>
      <c r="G485" s="11"/>
      <c r="H485" s="11"/>
      <c r="I485" s="11"/>
    </row>
    <row r="486">
      <c r="A486" s="11"/>
      <c r="B486" s="11"/>
      <c r="C486" s="11"/>
      <c r="D486" s="11"/>
      <c r="E486" s="11"/>
      <c r="F486" s="11"/>
      <c r="G486" s="11"/>
      <c r="H486" s="11"/>
      <c r="I486" s="11"/>
    </row>
    <row r="487">
      <c r="A487" s="11"/>
      <c r="B487" s="11"/>
      <c r="C487" s="11"/>
      <c r="D487" s="11"/>
      <c r="E487" s="11"/>
      <c r="F487" s="11"/>
      <c r="G487" s="11"/>
      <c r="H487" s="11"/>
      <c r="I487" s="11"/>
    </row>
    <row r="488">
      <c r="A488" s="11"/>
      <c r="B488" s="11"/>
      <c r="C488" s="11"/>
      <c r="D488" s="11"/>
      <c r="E488" s="11"/>
      <c r="F488" s="11"/>
      <c r="G488" s="11"/>
      <c r="H488" s="11"/>
      <c r="I488" s="11"/>
    </row>
    <row r="489">
      <c r="A489" s="11"/>
      <c r="B489" s="11"/>
      <c r="C489" s="11"/>
      <c r="D489" s="11"/>
      <c r="E489" s="11"/>
      <c r="F489" s="11"/>
      <c r="G489" s="11"/>
      <c r="H489" s="11"/>
      <c r="I489" s="11"/>
    </row>
    <row r="490">
      <c r="A490" s="11"/>
      <c r="B490" s="11"/>
      <c r="C490" s="11"/>
      <c r="D490" s="11"/>
      <c r="E490" s="11"/>
      <c r="F490" s="11"/>
      <c r="G490" s="11"/>
      <c r="H490" s="11"/>
      <c r="I490" s="11"/>
    </row>
    <row r="491">
      <c r="A491" s="11"/>
      <c r="B491" s="11"/>
      <c r="C491" s="11"/>
      <c r="D491" s="11"/>
      <c r="E491" s="11"/>
      <c r="F491" s="11"/>
      <c r="G491" s="11"/>
      <c r="H491" s="11"/>
      <c r="I491" s="11"/>
    </row>
    <row r="492">
      <c r="A492" s="11"/>
      <c r="B492" s="11"/>
      <c r="C492" s="11"/>
      <c r="D492" s="11"/>
      <c r="E492" s="11"/>
      <c r="F492" s="11"/>
      <c r="G492" s="11"/>
      <c r="H492" s="11"/>
      <c r="I492" s="11"/>
    </row>
    <row r="493">
      <c r="A493" s="11"/>
      <c r="B493" s="11"/>
      <c r="C493" s="11"/>
      <c r="D493" s="11"/>
      <c r="E493" s="11"/>
      <c r="F493" s="11"/>
      <c r="G493" s="11"/>
      <c r="H493" s="11"/>
      <c r="I493" s="11"/>
    </row>
    <row r="494">
      <c r="A494" s="11"/>
      <c r="B494" s="11"/>
      <c r="C494" s="11"/>
      <c r="D494" s="11"/>
      <c r="E494" s="11"/>
      <c r="F494" s="11"/>
      <c r="G494" s="11"/>
      <c r="H494" s="11"/>
      <c r="I494" s="11"/>
    </row>
    <row r="495">
      <c r="A495" s="11"/>
      <c r="B495" s="11"/>
      <c r="C495" s="11"/>
      <c r="D495" s="11"/>
      <c r="E495" s="11"/>
      <c r="F495" s="11"/>
      <c r="G495" s="11"/>
      <c r="H495" s="11"/>
      <c r="I495" s="11"/>
    </row>
    <row r="496">
      <c r="A496" s="11"/>
      <c r="B496" s="11"/>
      <c r="C496" s="11"/>
      <c r="D496" s="11"/>
      <c r="E496" s="11"/>
      <c r="F496" s="11"/>
      <c r="G496" s="11"/>
      <c r="H496" s="11"/>
      <c r="I496" s="11"/>
    </row>
    <row r="497">
      <c r="A497" s="11"/>
      <c r="B497" s="11"/>
      <c r="C497" s="11"/>
      <c r="D497" s="11"/>
      <c r="E497" s="11"/>
      <c r="F497" s="11"/>
      <c r="G497" s="11"/>
      <c r="H497" s="11"/>
      <c r="I497" s="11"/>
    </row>
    <row r="498">
      <c r="A498" s="11"/>
      <c r="B498" s="11"/>
      <c r="C498" s="11"/>
      <c r="D498" s="11"/>
      <c r="E498" s="11"/>
      <c r="F498" s="11"/>
      <c r="G498" s="11"/>
      <c r="H498" s="11"/>
      <c r="I498" s="11"/>
    </row>
    <row r="499">
      <c r="A499" s="11"/>
      <c r="B499" s="11"/>
      <c r="C499" s="11"/>
      <c r="D499" s="11"/>
      <c r="E499" s="11"/>
      <c r="F499" s="11"/>
      <c r="G499" s="11"/>
      <c r="H499" s="11"/>
      <c r="I499" s="11"/>
    </row>
    <row r="500">
      <c r="A500" s="11"/>
      <c r="B500" s="11"/>
      <c r="C500" s="11"/>
      <c r="D500" s="11"/>
      <c r="E500" s="11"/>
      <c r="F500" s="11"/>
      <c r="G500" s="11"/>
      <c r="H500" s="11"/>
      <c r="I500" s="11"/>
    </row>
    <row r="501">
      <c r="A501" s="11"/>
      <c r="B501" s="11"/>
      <c r="C501" s="11"/>
      <c r="D501" s="11"/>
      <c r="E501" s="11"/>
      <c r="F501" s="11"/>
      <c r="G501" s="11"/>
      <c r="H501" s="11"/>
      <c r="I501" s="11"/>
    </row>
    <row r="502">
      <c r="A502" s="11"/>
      <c r="B502" s="11"/>
      <c r="C502" s="11"/>
      <c r="D502" s="11"/>
      <c r="E502" s="11"/>
      <c r="F502" s="11"/>
      <c r="G502" s="11"/>
      <c r="H502" s="11"/>
      <c r="I502" s="11"/>
    </row>
    <row r="503">
      <c r="A503" s="11"/>
      <c r="B503" s="11"/>
      <c r="C503" s="11"/>
      <c r="D503" s="11"/>
      <c r="E503" s="11"/>
      <c r="F503" s="11"/>
      <c r="G503" s="11"/>
      <c r="H503" s="11"/>
      <c r="I503" s="11"/>
    </row>
    <row r="504">
      <c r="A504" s="11"/>
      <c r="B504" s="11"/>
      <c r="C504" s="11"/>
      <c r="D504" s="11"/>
      <c r="E504" s="11"/>
      <c r="F504" s="11"/>
      <c r="G504" s="11"/>
      <c r="H504" s="11"/>
      <c r="I504" s="11"/>
    </row>
    <row r="505">
      <c r="A505" s="11"/>
      <c r="B505" s="11"/>
      <c r="C505" s="11"/>
      <c r="D505" s="11"/>
      <c r="E505" s="11"/>
      <c r="F505" s="11"/>
      <c r="G505" s="11"/>
      <c r="H505" s="11"/>
      <c r="I505" s="11"/>
    </row>
    <row r="506">
      <c r="A506" s="11"/>
      <c r="B506" s="11"/>
      <c r="C506" s="11"/>
      <c r="D506" s="11"/>
      <c r="E506" s="11"/>
      <c r="F506" s="11"/>
      <c r="G506" s="11"/>
      <c r="H506" s="11"/>
      <c r="I506" s="11"/>
    </row>
    <row r="507">
      <c r="A507" s="11"/>
      <c r="B507" s="11"/>
      <c r="C507" s="11"/>
      <c r="D507" s="11"/>
      <c r="E507" s="11"/>
      <c r="F507" s="11"/>
      <c r="G507" s="11"/>
      <c r="H507" s="11"/>
      <c r="I507" s="11"/>
    </row>
    <row r="508">
      <c r="A508" s="11"/>
      <c r="B508" s="11"/>
      <c r="C508" s="11"/>
      <c r="D508" s="11"/>
      <c r="E508" s="11"/>
      <c r="F508" s="11"/>
      <c r="G508" s="11"/>
      <c r="H508" s="11"/>
      <c r="I508" s="11"/>
    </row>
    <row r="509">
      <c r="A509" s="11"/>
      <c r="B509" s="11"/>
      <c r="C509" s="11"/>
      <c r="D509" s="11"/>
      <c r="E509" s="11"/>
      <c r="F509" s="11"/>
      <c r="G509" s="11"/>
      <c r="H509" s="11"/>
      <c r="I509" s="11"/>
    </row>
    <row r="510">
      <c r="A510" s="11"/>
      <c r="B510" s="11"/>
      <c r="C510" s="11"/>
      <c r="D510" s="11"/>
      <c r="E510" s="11"/>
      <c r="F510" s="11"/>
      <c r="G510" s="11"/>
      <c r="H510" s="11"/>
      <c r="I510" s="11"/>
    </row>
    <row r="511">
      <c r="A511" s="11"/>
      <c r="B511" s="11"/>
      <c r="C511" s="11"/>
      <c r="D511" s="11"/>
      <c r="E511" s="11"/>
      <c r="F511" s="11"/>
      <c r="G511" s="11"/>
      <c r="H511" s="11"/>
      <c r="I511" s="11"/>
    </row>
    <row r="512">
      <c r="A512" s="11"/>
      <c r="B512" s="11"/>
      <c r="C512" s="11"/>
      <c r="D512" s="11"/>
      <c r="E512" s="11"/>
      <c r="F512" s="11"/>
      <c r="G512" s="11"/>
      <c r="H512" s="11"/>
      <c r="I512" s="11"/>
    </row>
    <row r="513">
      <c r="A513" s="11"/>
      <c r="B513" s="11"/>
      <c r="C513" s="11"/>
      <c r="D513" s="11"/>
      <c r="E513" s="11"/>
      <c r="F513" s="11"/>
      <c r="G513" s="11"/>
      <c r="H513" s="11"/>
      <c r="I513" s="11"/>
    </row>
    <row r="514">
      <c r="A514" s="11"/>
      <c r="B514" s="11"/>
      <c r="C514" s="11"/>
      <c r="D514" s="11"/>
      <c r="E514" s="11"/>
      <c r="F514" s="11"/>
      <c r="G514" s="11"/>
      <c r="H514" s="11"/>
      <c r="I514" s="11"/>
    </row>
    <row r="515">
      <c r="A515" s="11"/>
      <c r="B515" s="11"/>
      <c r="C515" s="11"/>
      <c r="D515" s="11"/>
      <c r="E515" s="11"/>
      <c r="F515" s="11"/>
      <c r="G515" s="11"/>
      <c r="H515" s="11"/>
      <c r="I515" s="11"/>
    </row>
    <row r="516">
      <c r="A516" s="11"/>
      <c r="B516" s="11"/>
      <c r="C516" s="11"/>
      <c r="D516" s="11"/>
      <c r="E516" s="11"/>
      <c r="F516" s="11"/>
      <c r="G516" s="11"/>
      <c r="H516" s="11"/>
      <c r="I516" s="11"/>
    </row>
    <row r="517">
      <c r="A517" s="11"/>
      <c r="B517" s="11"/>
      <c r="C517" s="11"/>
      <c r="D517" s="11"/>
      <c r="E517" s="11"/>
      <c r="F517" s="11"/>
      <c r="G517" s="11"/>
      <c r="H517" s="11"/>
      <c r="I517" s="11"/>
    </row>
    <row r="518">
      <c r="A518" s="11"/>
      <c r="B518" s="11"/>
      <c r="C518" s="11"/>
      <c r="D518" s="11"/>
      <c r="E518" s="11"/>
      <c r="F518" s="11"/>
      <c r="G518" s="11"/>
      <c r="H518" s="11"/>
      <c r="I518" s="11"/>
    </row>
    <row r="519">
      <c r="A519" s="11"/>
      <c r="B519" s="11"/>
      <c r="C519" s="11"/>
      <c r="D519" s="11"/>
      <c r="E519" s="11"/>
      <c r="F519" s="11"/>
      <c r="G519" s="11"/>
      <c r="H519" s="11"/>
      <c r="I519" s="11"/>
    </row>
    <row r="520">
      <c r="A520" s="11"/>
      <c r="B520" s="11"/>
      <c r="C520" s="11"/>
      <c r="D520" s="11"/>
      <c r="E520" s="11"/>
      <c r="F520" s="11"/>
      <c r="G520" s="11"/>
      <c r="H520" s="11"/>
      <c r="I520" s="11"/>
    </row>
    <row r="521">
      <c r="A521" s="11"/>
      <c r="B521" s="11"/>
      <c r="C521" s="11"/>
      <c r="D521" s="11"/>
      <c r="E521" s="11"/>
      <c r="F521" s="11"/>
      <c r="G521" s="11"/>
      <c r="H521" s="11"/>
      <c r="I521" s="11"/>
    </row>
    <row r="522">
      <c r="A522" s="11"/>
      <c r="B522" s="11"/>
      <c r="C522" s="11"/>
      <c r="D522" s="11"/>
      <c r="E522" s="11"/>
      <c r="F522" s="11"/>
      <c r="G522" s="11"/>
      <c r="H522" s="11"/>
      <c r="I522" s="11"/>
    </row>
    <row r="523">
      <c r="A523" s="11"/>
      <c r="B523" s="11"/>
      <c r="C523" s="11"/>
      <c r="D523" s="11"/>
      <c r="E523" s="11"/>
      <c r="F523" s="11"/>
      <c r="G523" s="11"/>
      <c r="H523" s="11"/>
      <c r="I523" s="11"/>
    </row>
    <row r="524">
      <c r="A524" s="11"/>
      <c r="B524" s="11"/>
      <c r="C524" s="11"/>
      <c r="D524" s="11"/>
      <c r="E524" s="11"/>
      <c r="F524" s="11"/>
      <c r="G524" s="11"/>
      <c r="H524" s="11"/>
      <c r="I524" s="11"/>
    </row>
    <row r="525">
      <c r="A525" s="11"/>
      <c r="B525" s="11"/>
      <c r="C525" s="11"/>
      <c r="D525" s="11"/>
      <c r="E525" s="11"/>
      <c r="F525" s="11"/>
      <c r="G525" s="11"/>
      <c r="H525" s="11"/>
      <c r="I525" s="11"/>
    </row>
    <row r="526">
      <c r="A526" s="11"/>
      <c r="B526" s="11"/>
      <c r="C526" s="11"/>
      <c r="D526" s="11"/>
      <c r="E526" s="11"/>
      <c r="F526" s="11"/>
      <c r="G526" s="11"/>
      <c r="H526" s="11"/>
      <c r="I526" s="11"/>
    </row>
    <row r="527">
      <c r="A527" s="11"/>
      <c r="B527" s="11"/>
      <c r="C527" s="11"/>
      <c r="D527" s="11"/>
      <c r="E527" s="11"/>
      <c r="F527" s="11"/>
      <c r="G527" s="11"/>
      <c r="H527" s="11"/>
      <c r="I527" s="11"/>
    </row>
    <row r="528">
      <c r="A528" s="11"/>
      <c r="B528" s="11"/>
      <c r="C528" s="11"/>
      <c r="D528" s="11"/>
      <c r="E528" s="11"/>
      <c r="F528" s="11"/>
      <c r="G528" s="11"/>
      <c r="H528" s="11"/>
      <c r="I528" s="11"/>
    </row>
    <row r="529">
      <c r="A529" s="11"/>
      <c r="B529" s="11"/>
      <c r="C529" s="11"/>
      <c r="D529" s="11"/>
      <c r="E529" s="11"/>
      <c r="F529" s="11"/>
      <c r="G529" s="11"/>
      <c r="H529" s="11"/>
      <c r="I529" s="11"/>
    </row>
    <row r="530">
      <c r="A530" s="11"/>
      <c r="B530" s="11"/>
      <c r="C530" s="11"/>
      <c r="D530" s="11"/>
      <c r="E530" s="11"/>
      <c r="F530" s="11"/>
      <c r="G530" s="11"/>
      <c r="H530" s="11"/>
      <c r="I530" s="11"/>
    </row>
    <row r="531">
      <c r="A531" s="11"/>
      <c r="B531" s="11"/>
      <c r="C531" s="11"/>
      <c r="D531" s="11"/>
      <c r="E531" s="11"/>
      <c r="F531" s="11"/>
      <c r="G531" s="11"/>
      <c r="H531" s="11"/>
      <c r="I531" s="11"/>
    </row>
    <row r="532">
      <c r="A532" s="11"/>
      <c r="B532" s="11"/>
      <c r="C532" s="11"/>
      <c r="D532" s="11"/>
      <c r="E532" s="11"/>
      <c r="F532" s="11"/>
      <c r="G532" s="11"/>
      <c r="H532" s="11"/>
      <c r="I532" s="11"/>
    </row>
    <row r="533">
      <c r="A533" s="11"/>
      <c r="B533" s="11"/>
      <c r="C533" s="11"/>
      <c r="D533" s="11"/>
      <c r="E533" s="11"/>
      <c r="F533" s="11"/>
      <c r="G533" s="11"/>
      <c r="H533" s="11"/>
      <c r="I533" s="11"/>
    </row>
    <row r="534">
      <c r="A534" s="11"/>
      <c r="B534" s="11"/>
      <c r="C534" s="11"/>
      <c r="D534" s="11"/>
      <c r="E534" s="11"/>
      <c r="F534" s="11"/>
      <c r="G534" s="11"/>
      <c r="H534" s="11"/>
      <c r="I534" s="11"/>
    </row>
    <row r="535">
      <c r="A535" s="11"/>
      <c r="B535" s="11"/>
      <c r="C535" s="11"/>
      <c r="D535" s="11"/>
      <c r="E535" s="11"/>
      <c r="F535" s="11"/>
      <c r="G535" s="11"/>
      <c r="H535" s="11"/>
      <c r="I535" s="11"/>
    </row>
    <row r="536">
      <c r="A536" s="11"/>
      <c r="B536" s="11"/>
      <c r="C536" s="11"/>
      <c r="D536" s="11"/>
      <c r="E536" s="11"/>
      <c r="F536" s="11"/>
      <c r="G536" s="11"/>
      <c r="H536" s="11"/>
      <c r="I536" s="11"/>
    </row>
    <row r="537">
      <c r="A537" s="11"/>
      <c r="B537" s="11"/>
      <c r="C537" s="11"/>
      <c r="D537" s="11"/>
      <c r="E537" s="11"/>
      <c r="F537" s="11"/>
      <c r="G537" s="11"/>
      <c r="H537" s="11"/>
      <c r="I537" s="11"/>
    </row>
    <row r="538">
      <c r="A538" s="11"/>
      <c r="B538" s="11"/>
      <c r="C538" s="11"/>
      <c r="D538" s="11"/>
      <c r="E538" s="11"/>
      <c r="F538" s="11"/>
      <c r="G538" s="11"/>
      <c r="H538" s="11"/>
      <c r="I538" s="11"/>
    </row>
    <row r="539">
      <c r="A539" s="11"/>
      <c r="B539" s="11"/>
      <c r="C539" s="11"/>
      <c r="D539" s="11"/>
      <c r="E539" s="11"/>
      <c r="F539" s="11"/>
      <c r="G539" s="11"/>
      <c r="H539" s="11"/>
      <c r="I539" s="11"/>
    </row>
    <row r="540">
      <c r="A540" s="11"/>
      <c r="B540" s="11"/>
      <c r="C540" s="11"/>
      <c r="D540" s="11"/>
      <c r="E540" s="11"/>
      <c r="F540" s="11"/>
      <c r="G540" s="11"/>
      <c r="H540" s="11"/>
      <c r="I540" s="11"/>
    </row>
    <row r="541">
      <c r="A541" s="11"/>
      <c r="B541" s="11"/>
      <c r="C541" s="11"/>
      <c r="D541" s="11"/>
      <c r="E541" s="11"/>
      <c r="F541" s="11"/>
      <c r="G541" s="11"/>
      <c r="H541" s="11"/>
      <c r="I541" s="11"/>
    </row>
    <row r="542">
      <c r="A542" s="11"/>
      <c r="B542" s="11"/>
      <c r="C542" s="11"/>
      <c r="D542" s="11"/>
      <c r="E542" s="11"/>
      <c r="F542" s="11"/>
      <c r="G542" s="11"/>
      <c r="H542" s="11"/>
      <c r="I542" s="11"/>
    </row>
    <row r="543">
      <c r="A543" s="11"/>
      <c r="B543" s="11"/>
      <c r="C543" s="11"/>
      <c r="D543" s="11"/>
      <c r="E543" s="11"/>
      <c r="F543" s="11"/>
      <c r="G543" s="11"/>
      <c r="H543" s="11"/>
      <c r="I543" s="11"/>
    </row>
    <row r="544">
      <c r="A544" s="11"/>
      <c r="B544" s="11"/>
      <c r="C544" s="11"/>
      <c r="D544" s="11"/>
      <c r="E544" s="11"/>
      <c r="F544" s="11"/>
      <c r="G544" s="11"/>
      <c r="H544" s="11"/>
      <c r="I544" s="11"/>
    </row>
    <row r="545">
      <c r="A545" s="11"/>
      <c r="B545" s="11"/>
      <c r="C545" s="11"/>
      <c r="D545" s="11"/>
      <c r="E545" s="11"/>
      <c r="F545" s="11"/>
      <c r="G545" s="11"/>
      <c r="H545" s="11"/>
      <c r="I545" s="11"/>
    </row>
    <row r="546">
      <c r="A546" s="11"/>
      <c r="B546" s="11"/>
      <c r="C546" s="11"/>
      <c r="D546" s="11"/>
      <c r="E546" s="11"/>
      <c r="F546" s="11"/>
      <c r="G546" s="11"/>
      <c r="H546" s="11"/>
      <c r="I546" s="11"/>
    </row>
    <row r="547">
      <c r="A547" s="11"/>
      <c r="B547" s="11"/>
      <c r="C547" s="11"/>
      <c r="D547" s="11"/>
      <c r="E547" s="11"/>
      <c r="F547" s="11"/>
      <c r="G547" s="11"/>
      <c r="H547" s="11"/>
      <c r="I547" s="11"/>
    </row>
    <row r="548">
      <c r="A548" s="11"/>
      <c r="B548" s="11"/>
      <c r="C548" s="11"/>
      <c r="D548" s="11"/>
      <c r="E548" s="11"/>
      <c r="F548" s="11"/>
      <c r="G548" s="11"/>
      <c r="H548" s="11"/>
      <c r="I548" s="11"/>
    </row>
    <row r="549">
      <c r="A549" s="11"/>
      <c r="B549" s="11"/>
      <c r="C549" s="11"/>
      <c r="D549" s="11"/>
      <c r="E549" s="11"/>
      <c r="F549" s="11"/>
      <c r="G549" s="11"/>
      <c r="H549" s="11"/>
      <c r="I549" s="11"/>
    </row>
    <row r="550">
      <c r="A550" s="11"/>
      <c r="B550" s="11"/>
      <c r="C550" s="11"/>
      <c r="D550" s="11"/>
      <c r="E550" s="11"/>
      <c r="F550" s="11"/>
      <c r="G550" s="11"/>
      <c r="H550" s="11"/>
      <c r="I550" s="11"/>
    </row>
    <row r="551">
      <c r="A551" s="11"/>
      <c r="B551" s="11"/>
      <c r="C551" s="11"/>
      <c r="D551" s="11"/>
      <c r="E551" s="11"/>
      <c r="F551" s="11"/>
      <c r="G551" s="11"/>
      <c r="H551" s="11"/>
      <c r="I551" s="11"/>
    </row>
    <row r="552">
      <c r="A552" s="11"/>
      <c r="B552" s="11"/>
      <c r="C552" s="11"/>
      <c r="D552" s="11"/>
      <c r="E552" s="11"/>
      <c r="F552" s="11"/>
      <c r="G552" s="11"/>
      <c r="H552" s="11"/>
      <c r="I552" s="11"/>
    </row>
    <row r="553">
      <c r="A553" s="11"/>
      <c r="B553" s="11"/>
      <c r="C553" s="11"/>
      <c r="D553" s="11"/>
      <c r="E553" s="11"/>
      <c r="F553" s="11"/>
      <c r="G553" s="11"/>
      <c r="H553" s="11"/>
      <c r="I553" s="11"/>
    </row>
    <row r="554">
      <c r="A554" s="11"/>
      <c r="B554" s="11"/>
      <c r="C554" s="11"/>
      <c r="D554" s="11"/>
      <c r="E554" s="11"/>
      <c r="F554" s="11"/>
      <c r="G554" s="11"/>
      <c r="H554" s="11"/>
      <c r="I554" s="11"/>
    </row>
    <row r="555">
      <c r="A555" s="11"/>
      <c r="B555" s="11"/>
      <c r="C555" s="11"/>
      <c r="D555" s="11"/>
      <c r="E555" s="11"/>
      <c r="F555" s="11"/>
      <c r="G555" s="11"/>
      <c r="H555" s="11"/>
      <c r="I555" s="11"/>
    </row>
    <row r="556">
      <c r="A556" s="11"/>
      <c r="B556" s="11"/>
      <c r="C556" s="11"/>
      <c r="D556" s="11"/>
      <c r="E556" s="11"/>
      <c r="F556" s="11"/>
      <c r="G556" s="11"/>
      <c r="H556" s="11"/>
      <c r="I556" s="11"/>
    </row>
    <row r="557">
      <c r="A557" s="11"/>
      <c r="B557" s="11"/>
      <c r="C557" s="11"/>
      <c r="D557" s="11"/>
      <c r="E557" s="11"/>
      <c r="F557" s="11"/>
      <c r="G557" s="11"/>
      <c r="H557" s="11"/>
      <c r="I557" s="11"/>
    </row>
    <row r="558">
      <c r="A558" s="11"/>
      <c r="B558" s="11"/>
      <c r="C558" s="11"/>
      <c r="D558" s="11"/>
      <c r="E558" s="11"/>
      <c r="F558" s="11"/>
      <c r="G558" s="11"/>
      <c r="H558" s="11"/>
      <c r="I558" s="11"/>
    </row>
    <row r="559">
      <c r="A559" s="11"/>
      <c r="B559" s="11"/>
      <c r="C559" s="11"/>
      <c r="D559" s="11"/>
      <c r="E559" s="11"/>
      <c r="F559" s="11"/>
      <c r="G559" s="11"/>
      <c r="H559" s="11"/>
      <c r="I559" s="11"/>
    </row>
    <row r="560">
      <c r="A560" s="11"/>
      <c r="B560" s="11"/>
      <c r="C560" s="11"/>
      <c r="D560" s="11"/>
      <c r="E560" s="11"/>
      <c r="F560" s="11"/>
      <c r="G560" s="11"/>
      <c r="H560" s="11"/>
      <c r="I560" s="11"/>
    </row>
    <row r="561">
      <c r="A561" s="11"/>
      <c r="B561" s="11"/>
      <c r="C561" s="11"/>
      <c r="D561" s="11"/>
      <c r="E561" s="11"/>
      <c r="F561" s="11"/>
      <c r="G561" s="11"/>
      <c r="H561" s="11"/>
      <c r="I561" s="11"/>
    </row>
    <row r="562">
      <c r="A562" s="11"/>
      <c r="B562" s="11"/>
      <c r="C562" s="11"/>
      <c r="D562" s="11"/>
      <c r="E562" s="11"/>
      <c r="F562" s="11"/>
      <c r="G562" s="11"/>
      <c r="H562" s="11"/>
      <c r="I562" s="11"/>
    </row>
    <row r="563">
      <c r="A563" s="11"/>
      <c r="B563" s="11"/>
      <c r="C563" s="11"/>
      <c r="D563" s="11"/>
      <c r="E563" s="11"/>
      <c r="F563" s="11"/>
      <c r="G563" s="11"/>
      <c r="H563" s="11"/>
      <c r="I563" s="11"/>
    </row>
    <row r="564">
      <c r="A564" s="11"/>
      <c r="B564" s="11"/>
      <c r="C564" s="11"/>
      <c r="D564" s="11"/>
      <c r="E564" s="11"/>
      <c r="F564" s="11"/>
      <c r="G564" s="11"/>
      <c r="H564" s="11"/>
      <c r="I564" s="11"/>
    </row>
    <row r="565">
      <c r="A565" s="11"/>
      <c r="B565" s="11"/>
      <c r="C565" s="11"/>
      <c r="D565" s="11"/>
      <c r="E565" s="11"/>
      <c r="F565" s="11"/>
      <c r="G565" s="11"/>
      <c r="H565" s="11"/>
      <c r="I565" s="11"/>
    </row>
    <row r="566">
      <c r="A566" s="11"/>
      <c r="B566" s="11"/>
      <c r="C566" s="11"/>
      <c r="D566" s="11"/>
      <c r="E566" s="11"/>
      <c r="F566" s="11"/>
      <c r="G566" s="11"/>
      <c r="H566" s="11"/>
      <c r="I566" s="11"/>
    </row>
    <row r="567">
      <c r="A567" s="11"/>
      <c r="B567" s="11"/>
      <c r="C567" s="11"/>
      <c r="D567" s="11"/>
      <c r="E567" s="11"/>
      <c r="F567" s="11"/>
      <c r="G567" s="11"/>
      <c r="H567" s="11"/>
      <c r="I567" s="11"/>
    </row>
    <row r="568">
      <c r="A568" s="11"/>
      <c r="B568" s="11"/>
      <c r="C568" s="11"/>
      <c r="D568" s="11"/>
      <c r="E568" s="11"/>
      <c r="F568" s="11"/>
      <c r="G568" s="11"/>
      <c r="H568" s="11"/>
      <c r="I568" s="11"/>
    </row>
    <row r="569">
      <c r="A569" s="11"/>
      <c r="B569" s="11"/>
      <c r="C569" s="11"/>
      <c r="D569" s="11"/>
      <c r="E569" s="11"/>
      <c r="F569" s="11"/>
      <c r="G569" s="11"/>
      <c r="H569" s="11"/>
      <c r="I569" s="11"/>
    </row>
    <row r="570">
      <c r="A570" s="11"/>
      <c r="B570" s="11"/>
      <c r="C570" s="11"/>
      <c r="D570" s="11"/>
      <c r="E570" s="11"/>
      <c r="F570" s="11"/>
      <c r="G570" s="11"/>
      <c r="H570" s="11"/>
      <c r="I570" s="11"/>
    </row>
    <row r="571">
      <c r="A571" s="11"/>
      <c r="B571" s="11"/>
      <c r="C571" s="11"/>
      <c r="D571" s="11"/>
      <c r="E571" s="11"/>
      <c r="F571" s="11"/>
      <c r="G571" s="11"/>
      <c r="H571" s="11"/>
      <c r="I571" s="11"/>
    </row>
    <row r="572">
      <c r="A572" s="11"/>
      <c r="B572" s="11"/>
      <c r="C572" s="11"/>
      <c r="D572" s="11"/>
      <c r="E572" s="11"/>
      <c r="F572" s="11"/>
      <c r="G572" s="11"/>
      <c r="H572" s="11"/>
      <c r="I572" s="11"/>
    </row>
    <row r="573">
      <c r="A573" s="11"/>
      <c r="B573" s="11"/>
      <c r="C573" s="11"/>
      <c r="D573" s="11"/>
      <c r="E573" s="11"/>
      <c r="F573" s="11"/>
      <c r="G573" s="11"/>
      <c r="H573" s="11"/>
      <c r="I573" s="11"/>
    </row>
    <row r="574">
      <c r="A574" s="11"/>
      <c r="B574" s="11"/>
      <c r="C574" s="11"/>
      <c r="D574" s="11"/>
      <c r="E574" s="11"/>
      <c r="F574" s="11"/>
      <c r="G574" s="11"/>
      <c r="H574" s="11"/>
      <c r="I574" s="11"/>
    </row>
    <row r="575">
      <c r="A575" s="11"/>
      <c r="B575" s="11"/>
      <c r="C575" s="11"/>
      <c r="D575" s="11"/>
      <c r="E575" s="11"/>
      <c r="F575" s="11"/>
      <c r="G575" s="11"/>
      <c r="H575" s="11"/>
      <c r="I575" s="11"/>
    </row>
    <row r="576">
      <c r="A576" s="11"/>
      <c r="B576" s="11"/>
      <c r="C576" s="11"/>
      <c r="D576" s="11"/>
      <c r="E576" s="11"/>
      <c r="F576" s="11"/>
      <c r="G576" s="11"/>
      <c r="H576" s="11"/>
      <c r="I576" s="11"/>
    </row>
    <row r="577">
      <c r="A577" s="11"/>
      <c r="B577" s="11"/>
      <c r="C577" s="11"/>
      <c r="D577" s="11"/>
      <c r="E577" s="11"/>
      <c r="F577" s="11"/>
      <c r="G577" s="11"/>
      <c r="H577" s="11"/>
      <c r="I577" s="11"/>
    </row>
    <row r="578">
      <c r="A578" s="11"/>
      <c r="B578" s="11"/>
      <c r="C578" s="11"/>
      <c r="D578" s="11"/>
      <c r="E578" s="11"/>
      <c r="F578" s="11"/>
      <c r="G578" s="11"/>
      <c r="H578" s="11"/>
      <c r="I578" s="11"/>
    </row>
    <row r="579">
      <c r="A579" s="11"/>
      <c r="B579" s="11"/>
      <c r="C579" s="11"/>
      <c r="D579" s="11"/>
      <c r="E579" s="11"/>
      <c r="F579" s="11"/>
      <c r="G579" s="11"/>
      <c r="H579" s="11"/>
      <c r="I579" s="11"/>
    </row>
    <row r="580">
      <c r="A580" s="11"/>
      <c r="B580" s="11"/>
      <c r="C580" s="11"/>
      <c r="D580" s="11"/>
      <c r="E580" s="11"/>
      <c r="F580" s="11"/>
      <c r="G580" s="11"/>
      <c r="H580" s="11"/>
      <c r="I580" s="11"/>
    </row>
    <row r="581">
      <c r="A581" s="11"/>
      <c r="B581" s="11"/>
      <c r="C581" s="11"/>
      <c r="D581" s="11"/>
      <c r="E581" s="11"/>
      <c r="F581" s="11"/>
      <c r="G581" s="11"/>
      <c r="H581" s="11"/>
      <c r="I581" s="11"/>
    </row>
    <row r="582">
      <c r="A582" s="11"/>
      <c r="B582" s="11"/>
      <c r="C582" s="11"/>
      <c r="D582" s="11"/>
      <c r="E582" s="11"/>
      <c r="F582" s="11"/>
      <c r="G582" s="11"/>
      <c r="H582" s="11"/>
      <c r="I582" s="11"/>
    </row>
    <row r="583">
      <c r="A583" s="11"/>
      <c r="B583" s="11"/>
      <c r="C583" s="11"/>
      <c r="D583" s="11"/>
      <c r="E583" s="11"/>
      <c r="F583" s="11"/>
      <c r="G583" s="11"/>
      <c r="H583" s="11"/>
      <c r="I583" s="11"/>
    </row>
    <row r="584">
      <c r="A584" s="11"/>
      <c r="B584" s="11"/>
      <c r="C584" s="11"/>
      <c r="D584" s="11"/>
      <c r="E584" s="11"/>
      <c r="F584" s="11"/>
      <c r="G584" s="11"/>
      <c r="H584" s="11"/>
      <c r="I584" s="11"/>
    </row>
    <row r="585">
      <c r="A585" s="11"/>
      <c r="B585" s="11"/>
      <c r="C585" s="11"/>
      <c r="D585" s="11"/>
      <c r="E585" s="11"/>
      <c r="F585" s="11"/>
      <c r="G585" s="11"/>
      <c r="H585" s="11"/>
      <c r="I585" s="11"/>
    </row>
    <row r="586">
      <c r="A586" s="11"/>
      <c r="B586" s="11"/>
      <c r="C586" s="11"/>
      <c r="D586" s="11"/>
      <c r="E586" s="11"/>
      <c r="F586" s="11"/>
      <c r="G586" s="11"/>
      <c r="H586" s="11"/>
      <c r="I586" s="11"/>
    </row>
    <row r="587">
      <c r="A587" s="11"/>
      <c r="B587" s="11"/>
      <c r="C587" s="11"/>
      <c r="D587" s="11"/>
      <c r="E587" s="11"/>
      <c r="F587" s="11"/>
      <c r="G587" s="11"/>
      <c r="H587" s="11"/>
      <c r="I587" s="11"/>
    </row>
    <row r="588">
      <c r="A588" s="11"/>
      <c r="B588" s="11"/>
      <c r="C588" s="11"/>
      <c r="D588" s="11"/>
      <c r="E588" s="11"/>
      <c r="F588" s="11"/>
      <c r="G588" s="11"/>
      <c r="H588" s="11"/>
      <c r="I588" s="11"/>
    </row>
    <row r="589">
      <c r="A589" s="11"/>
      <c r="B589" s="11"/>
      <c r="C589" s="11"/>
      <c r="D589" s="11"/>
      <c r="E589" s="11"/>
      <c r="F589" s="11"/>
      <c r="G589" s="11"/>
      <c r="H589" s="11"/>
      <c r="I589" s="11"/>
    </row>
    <row r="590">
      <c r="A590" s="11"/>
      <c r="B590" s="11"/>
      <c r="C590" s="11"/>
      <c r="D590" s="11"/>
      <c r="E590" s="11"/>
      <c r="F590" s="11"/>
      <c r="G590" s="11"/>
      <c r="H590" s="11"/>
      <c r="I590" s="11"/>
    </row>
    <row r="591">
      <c r="A591" s="11"/>
      <c r="B591" s="11"/>
      <c r="C591" s="11"/>
      <c r="D591" s="11"/>
      <c r="E591" s="11"/>
      <c r="F591" s="11"/>
      <c r="G591" s="11"/>
      <c r="H591" s="11"/>
      <c r="I591" s="11"/>
    </row>
    <row r="592">
      <c r="A592" s="11"/>
      <c r="B592" s="11"/>
      <c r="C592" s="11"/>
      <c r="D592" s="11"/>
      <c r="E592" s="11"/>
      <c r="F592" s="11"/>
      <c r="G592" s="11"/>
      <c r="H592" s="11"/>
      <c r="I592" s="11"/>
    </row>
    <row r="593">
      <c r="A593" s="11"/>
      <c r="B593" s="11"/>
      <c r="C593" s="11"/>
      <c r="D593" s="11"/>
      <c r="E593" s="11"/>
      <c r="F593" s="11"/>
      <c r="G593" s="11"/>
      <c r="H593" s="11"/>
      <c r="I593" s="11"/>
    </row>
    <row r="594">
      <c r="A594" s="11"/>
      <c r="B594" s="11"/>
      <c r="C594" s="11"/>
      <c r="D594" s="11"/>
      <c r="E594" s="11"/>
      <c r="F594" s="11"/>
      <c r="G594" s="11"/>
      <c r="H594" s="11"/>
      <c r="I594" s="11"/>
    </row>
    <row r="595">
      <c r="A595" s="11"/>
      <c r="B595" s="11"/>
      <c r="C595" s="11"/>
      <c r="D595" s="11"/>
      <c r="E595" s="11"/>
      <c r="F595" s="11"/>
      <c r="G595" s="11"/>
      <c r="H595" s="11"/>
      <c r="I595" s="11"/>
    </row>
    <row r="596">
      <c r="A596" s="11"/>
      <c r="B596" s="11"/>
      <c r="C596" s="11"/>
      <c r="D596" s="11"/>
      <c r="E596" s="11"/>
      <c r="F596" s="11"/>
      <c r="G596" s="11"/>
      <c r="H596" s="11"/>
      <c r="I596" s="11"/>
    </row>
    <row r="597">
      <c r="A597" s="11"/>
      <c r="B597" s="11"/>
      <c r="C597" s="11"/>
      <c r="D597" s="11"/>
      <c r="E597" s="11"/>
      <c r="F597" s="11"/>
      <c r="G597" s="11"/>
      <c r="H597" s="11"/>
      <c r="I597" s="11"/>
    </row>
    <row r="598">
      <c r="A598" s="11"/>
      <c r="B598" s="11"/>
      <c r="C598" s="11"/>
      <c r="D598" s="11"/>
      <c r="E598" s="11"/>
      <c r="F598" s="11"/>
      <c r="G598" s="11"/>
      <c r="H598" s="11"/>
      <c r="I598" s="11"/>
    </row>
    <row r="599">
      <c r="A599" s="11"/>
      <c r="B599" s="11"/>
      <c r="C599" s="11"/>
      <c r="D599" s="11"/>
      <c r="E599" s="11"/>
      <c r="F599" s="11"/>
      <c r="G599" s="11"/>
      <c r="H599" s="11"/>
      <c r="I599" s="11"/>
    </row>
    <row r="600">
      <c r="A600" s="11"/>
      <c r="B600" s="11"/>
      <c r="C600" s="11"/>
      <c r="D600" s="11"/>
      <c r="E600" s="11"/>
      <c r="F600" s="11"/>
      <c r="G600" s="11"/>
      <c r="H600" s="11"/>
      <c r="I600" s="11"/>
    </row>
    <row r="601">
      <c r="A601" s="11"/>
      <c r="B601" s="11"/>
      <c r="C601" s="11"/>
      <c r="D601" s="11"/>
      <c r="E601" s="11"/>
      <c r="F601" s="11"/>
      <c r="G601" s="11"/>
      <c r="H601" s="11"/>
      <c r="I601" s="11"/>
    </row>
    <row r="602">
      <c r="A602" s="11"/>
      <c r="B602" s="11"/>
      <c r="C602" s="11"/>
      <c r="D602" s="11"/>
      <c r="E602" s="11"/>
      <c r="F602" s="11"/>
      <c r="G602" s="11"/>
      <c r="H602" s="11"/>
      <c r="I602" s="11"/>
    </row>
    <row r="603">
      <c r="A603" s="11"/>
      <c r="B603" s="11"/>
      <c r="C603" s="11"/>
      <c r="D603" s="11"/>
      <c r="E603" s="11"/>
      <c r="F603" s="11"/>
      <c r="G603" s="11"/>
      <c r="H603" s="11"/>
      <c r="I603" s="11"/>
    </row>
    <row r="604">
      <c r="A604" s="11"/>
      <c r="B604" s="11"/>
      <c r="C604" s="11"/>
      <c r="D604" s="11"/>
      <c r="E604" s="11"/>
      <c r="F604" s="11"/>
      <c r="G604" s="11"/>
      <c r="H604" s="11"/>
      <c r="I604" s="11"/>
    </row>
    <row r="605">
      <c r="A605" s="11"/>
      <c r="B605" s="11"/>
      <c r="C605" s="11"/>
      <c r="D605" s="11"/>
      <c r="E605" s="11"/>
      <c r="F605" s="11"/>
      <c r="G605" s="11"/>
      <c r="H605" s="11"/>
      <c r="I605" s="11"/>
    </row>
    <row r="606">
      <c r="A606" s="11"/>
      <c r="B606" s="11"/>
      <c r="C606" s="11"/>
      <c r="D606" s="11"/>
      <c r="E606" s="11"/>
      <c r="F606" s="11"/>
      <c r="G606" s="11"/>
      <c r="H606" s="11"/>
      <c r="I606" s="11"/>
    </row>
    <row r="607">
      <c r="A607" s="11"/>
      <c r="B607" s="11"/>
      <c r="C607" s="11"/>
      <c r="D607" s="11"/>
      <c r="E607" s="11"/>
      <c r="F607" s="11"/>
      <c r="G607" s="11"/>
      <c r="H607" s="11"/>
      <c r="I607" s="11"/>
    </row>
    <row r="608">
      <c r="A608" s="11"/>
      <c r="B608" s="11"/>
      <c r="C608" s="11"/>
      <c r="D608" s="11"/>
      <c r="E608" s="11"/>
      <c r="F608" s="11"/>
      <c r="G608" s="11"/>
      <c r="H608" s="11"/>
      <c r="I608" s="11"/>
    </row>
    <row r="609">
      <c r="A609" s="11"/>
      <c r="B609" s="11"/>
      <c r="C609" s="11"/>
      <c r="D609" s="11"/>
      <c r="E609" s="11"/>
      <c r="F609" s="11"/>
      <c r="G609" s="11"/>
      <c r="H609" s="11"/>
      <c r="I609" s="11"/>
    </row>
    <row r="610">
      <c r="A610" s="11"/>
      <c r="B610" s="11"/>
      <c r="C610" s="11"/>
      <c r="D610" s="11"/>
      <c r="E610" s="11"/>
      <c r="F610" s="11"/>
      <c r="G610" s="11"/>
      <c r="H610" s="11"/>
      <c r="I610" s="11"/>
    </row>
    <row r="611">
      <c r="A611" s="11"/>
      <c r="B611" s="11"/>
      <c r="C611" s="11"/>
      <c r="D611" s="11"/>
      <c r="E611" s="11"/>
      <c r="F611" s="11"/>
      <c r="G611" s="11"/>
      <c r="H611" s="11"/>
      <c r="I611" s="11"/>
    </row>
    <row r="612">
      <c r="A612" s="11"/>
      <c r="B612" s="11"/>
      <c r="C612" s="11"/>
      <c r="D612" s="11"/>
      <c r="E612" s="11"/>
      <c r="F612" s="11"/>
      <c r="G612" s="11"/>
      <c r="H612" s="11"/>
      <c r="I612" s="11"/>
    </row>
    <row r="613">
      <c r="A613" s="11"/>
      <c r="B613" s="11"/>
      <c r="C613" s="11"/>
      <c r="D613" s="11"/>
      <c r="E613" s="11"/>
      <c r="F613" s="11"/>
      <c r="G613" s="11"/>
      <c r="H613" s="11"/>
      <c r="I613" s="11"/>
    </row>
    <row r="614">
      <c r="A614" s="11"/>
      <c r="B614" s="11"/>
      <c r="C614" s="11"/>
      <c r="D614" s="11"/>
      <c r="E614" s="11"/>
      <c r="F614" s="11"/>
      <c r="G614" s="11"/>
      <c r="H614" s="11"/>
      <c r="I614" s="11"/>
    </row>
    <row r="615">
      <c r="A615" s="11"/>
      <c r="B615" s="11"/>
      <c r="C615" s="11"/>
      <c r="D615" s="11"/>
      <c r="E615" s="11"/>
      <c r="F615" s="11"/>
      <c r="G615" s="11"/>
      <c r="H615" s="11"/>
      <c r="I615" s="11"/>
    </row>
    <row r="616">
      <c r="A616" s="11"/>
      <c r="B616" s="11"/>
      <c r="C616" s="11"/>
      <c r="D616" s="11"/>
      <c r="E616" s="11"/>
      <c r="F616" s="11"/>
      <c r="G616" s="11"/>
      <c r="H616" s="11"/>
      <c r="I616" s="11"/>
    </row>
    <row r="617">
      <c r="A617" s="11"/>
      <c r="B617" s="11"/>
      <c r="C617" s="11"/>
      <c r="D617" s="11"/>
      <c r="E617" s="11"/>
      <c r="F617" s="11"/>
      <c r="G617" s="11"/>
      <c r="H617" s="11"/>
      <c r="I617" s="11"/>
    </row>
    <row r="618">
      <c r="A618" s="11"/>
      <c r="B618" s="11"/>
      <c r="C618" s="11"/>
      <c r="D618" s="11"/>
      <c r="E618" s="11"/>
      <c r="F618" s="11"/>
      <c r="G618" s="11"/>
      <c r="H618" s="11"/>
      <c r="I618" s="11"/>
    </row>
    <row r="619">
      <c r="A619" s="11"/>
      <c r="B619" s="11"/>
      <c r="C619" s="11"/>
      <c r="D619" s="11"/>
      <c r="E619" s="11"/>
      <c r="F619" s="11"/>
      <c r="G619" s="11"/>
      <c r="H619" s="11"/>
      <c r="I619" s="11"/>
    </row>
    <row r="620">
      <c r="A620" s="11"/>
      <c r="B620" s="11"/>
      <c r="C620" s="11"/>
      <c r="D620" s="11"/>
      <c r="E620" s="11"/>
      <c r="F620" s="11"/>
      <c r="G620" s="11"/>
      <c r="H620" s="11"/>
      <c r="I620" s="11"/>
    </row>
    <row r="621">
      <c r="A621" s="11"/>
      <c r="B621" s="11"/>
      <c r="C621" s="11"/>
      <c r="D621" s="11"/>
      <c r="E621" s="11"/>
      <c r="F621" s="11"/>
      <c r="G621" s="11"/>
      <c r="H621" s="11"/>
      <c r="I621" s="11"/>
    </row>
    <row r="622">
      <c r="A622" s="11"/>
      <c r="B622" s="11"/>
      <c r="C622" s="11"/>
      <c r="D622" s="11"/>
      <c r="E622" s="11"/>
      <c r="F622" s="11"/>
      <c r="G622" s="11"/>
      <c r="H622" s="11"/>
      <c r="I622" s="11"/>
    </row>
    <row r="623">
      <c r="A623" s="11"/>
      <c r="B623" s="11"/>
      <c r="C623" s="11"/>
      <c r="D623" s="11"/>
      <c r="E623" s="11"/>
      <c r="F623" s="11"/>
      <c r="G623" s="11"/>
      <c r="H623" s="11"/>
      <c r="I623" s="11"/>
    </row>
    <row r="624">
      <c r="A624" s="11"/>
      <c r="B624" s="11"/>
      <c r="C624" s="11"/>
      <c r="D624" s="11"/>
      <c r="E624" s="11"/>
      <c r="F624" s="11"/>
      <c r="G624" s="11"/>
      <c r="H624" s="11"/>
      <c r="I624" s="11"/>
    </row>
    <row r="625">
      <c r="A625" s="11"/>
      <c r="B625" s="11"/>
      <c r="C625" s="11"/>
      <c r="D625" s="11"/>
      <c r="E625" s="11"/>
      <c r="F625" s="11"/>
      <c r="G625" s="11"/>
      <c r="H625" s="11"/>
      <c r="I625" s="11"/>
    </row>
    <row r="626">
      <c r="A626" s="11"/>
      <c r="B626" s="11"/>
      <c r="C626" s="11"/>
      <c r="D626" s="11"/>
      <c r="E626" s="11"/>
      <c r="F626" s="11"/>
      <c r="G626" s="11"/>
      <c r="H626" s="11"/>
      <c r="I626" s="11"/>
    </row>
    <row r="627">
      <c r="A627" s="11"/>
      <c r="B627" s="11"/>
      <c r="C627" s="11"/>
      <c r="D627" s="11"/>
      <c r="E627" s="11"/>
      <c r="F627" s="11"/>
      <c r="G627" s="11"/>
      <c r="H627" s="11"/>
      <c r="I627" s="11"/>
    </row>
    <row r="628">
      <c r="A628" s="11"/>
      <c r="B628" s="11"/>
      <c r="C628" s="11"/>
      <c r="D628" s="11"/>
      <c r="E628" s="11"/>
      <c r="F628" s="11"/>
      <c r="G628" s="11"/>
      <c r="H628" s="11"/>
      <c r="I628" s="11"/>
    </row>
    <row r="629">
      <c r="A629" s="11"/>
      <c r="B629" s="11"/>
      <c r="C629" s="11"/>
      <c r="D629" s="11"/>
      <c r="E629" s="11"/>
      <c r="F629" s="11"/>
      <c r="G629" s="11"/>
      <c r="H629" s="11"/>
      <c r="I629" s="11"/>
    </row>
    <row r="630">
      <c r="A630" s="11"/>
      <c r="B630" s="11"/>
      <c r="C630" s="11"/>
      <c r="D630" s="11"/>
      <c r="E630" s="11"/>
      <c r="F630" s="11"/>
      <c r="G630" s="11"/>
      <c r="H630" s="11"/>
      <c r="I630" s="11"/>
    </row>
    <row r="631">
      <c r="A631" s="11"/>
      <c r="B631" s="11"/>
      <c r="C631" s="11"/>
      <c r="D631" s="11"/>
      <c r="E631" s="11"/>
      <c r="F631" s="11"/>
      <c r="G631" s="11"/>
      <c r="H631" s="11"/>
      <c r="I631" s="11"/>
    </row>
    <row r="632">
      <c r="A632" s="11"/>
      <c r="B632" s="11"/>
      <c r="C632" s="11"/>
      <c r="D632" s="11"/>
      <c r="E632" s="11"/>
      <c r="F632" s="11"/>
      <c r="G632" s="11"/>
      <c r="H632" s="11"/>
      <c r="I632" s="11"/>
    </row>
    <row r="633">
      <c r="A633" s="11"/>
      <c r="B633" s="11"/>
      <c r="C633" s="11"/>
      <c r="D633" s="11"/>
      <c r="E633" s="11"/>
      <c r="F633" s="11"/>
      <c r="G633" s="11"/>
      <c r="H633" s="11"/>
      <c r="I633" s="11"/>
    </row>
    <row r="634">
      <c r="A634" s="11"/>
      <c r="B634" s="11"/>
      <c r="C634" s="11"/>
      <c r="D634" s="11"/>
      <c r="E634" s="11"/>
      <c r="F634" s="11"/>
      <c r="G634" s="11"/>
      <c r="H634" s="11"/>
      <c r="I634" s="11"/>
    </row>
    <row r="635">
      <c r="A635" s="11"/>
      <c r="B635" s="11"/>
      <c r="C635" s="11"/>
      <c r="D635" s="11"/>
      <c r="E635" s="11"/>
      <c r="F635" s="11"/>
      <c r="G635" s="11"/>
      <c r="H635" s="11"/>
      <c r="I635" s="11"/>
    </row>
    <row r="636">
      <c r="A636" s="11"/>
      <c r="B636" s="11"/>
      <c r="C636" s="11"/>
      <c r="D636" s="11"/>
      <c r="E636" s="11"/>
      <c r="F636" s="11"/>
      <c r="G636" s="11"/>
      <c r="H636" s="11"/>
      <c r="I636" s="11"/>
    </row>
    <row r="637">
      <c r="A637" s="11"/>
      <c r="B637" s="11"/>
      <c r="C637" s="11"/>
      <c r="D637" s="11"/>
      <c r="E637" s="11"/>
      <c r="F637" s="11"/>
      <c r="G637" s="11"/>
      <c r="H637" s="11"/>
      <c r="I637" s="11"/>
    </row>
    <row r="638">
      <c r="A638" s="11"/>
      <c r="B638" s="11"/>
      <c r="C638" s="11"/>
      <c r="D638" s="11"/>
      <c r="E638" s="11"/>
      <c r="F638" s="11"/>
      <c r="G638" s="11"/>
      <c r="H638" s="11"/>
      <c r="I638" s="11"/>
    </row>
    <row r="639">
      <c r="A639" s="11"/>
      <c r="B639" s="11"/>
      <c r="C639" s="11"/>
      <c r="D639" s="11"/>
      <c r="E639" s="11"/>
      <c r="F639" s="11"/>
      <c r="G639" s="11"/>
      <c r="H639" s="11"/>
      <c r="I639" s="11"/>
    </row>
    <row r="640">
      <c r="A640" s="11"/>
      <c r="B640" s="11"/>
      <c r="C640" s="11"/>
      <c r="D640" s="11"/>
      <c r="E640" s="11"/>
      <c r="F640" s="11"/>
      <c r="G640" s="11"/>
      <c r="H640" s="11"/>
      <c r="I640" s="11"/>
    </row>
    <row r="641">
      <c r="A641" s="11"/>
      <c r="B641" s="11"/>
      <c r="C641" s="11"/>
      <c r="D641" s="11"/>
      <c r="E641" s="11"/>
      <c r="F641" s="11"/>
      <c r="G641" s="11"/>
      <c r="H641" s="11"/>
      <c r="I641" s="11"/>
    </row>
    <row r="642">
      <c r="A642" s="11"/>
      <c r="B642" s="11"/>
      <c r="C642" s="11"/>
      <c r="D642" s="11"/>
      <c r="E642" s="11"/>
      <c r="F642" s="11"/>
      <c r="G642" s="11"/>
      <c r="H642" s="11"/>
      <c r="I642" s="11"/>
    </row>
    <row r="643">
      <c r="A643" s="11"/>
      <c r="B643" s="11"/>
      <c r="C643" s="11"/>
      <c r="D643" s="11"/>
      <c r="E643" s="11"/>
      <c r="F643" s="11"/>
      <c r="G643" s="11"/>
      <c r="H643" s="11"/>
      <c r="I643" s="11"/>
    </row>
    <row r="644">
      <c r="A644" s="11"/>
      <c r="B644" s="11"/>
      <c r="C644" s="11"/>
      <c r="D644" s="11"/>
      <c r="E644" s="11"/>
      <c r="F644" s="11"/>
      <c r="G644" s="11"/>
      <c r="H644" s="11"/>
      <c r="I644" s="11"/>
    </row>
    <row r="645">
      <c r="A645" s="11"/>
      <c r="B645" s="11"/>
      <c r="C645" s="11"/>
      <c r="D645" s="11"/>
      <c r="E645" s="11"/>
      <c r="F645" s="11"/>
      <c r="G645" s="11"/>
      <c r="H645" s="11"/>
      <c r="I645" s="11"/>
    </row>
    <row r="646">
      <c r="A646" s="11"/>
      <c r="B646" s="11"/>
      <c r="C646" s="11"/>
      <c r="D646" s="11"/>
      <c r="E646" s="11"/>
      <c r="F646" s="11"/>
      <c r="G646" s="11"/>
      <c r="H646" s="11"/>
      <c r="I646" s="11"/>
    </row>
    <row r="647">
      <c r="A647" s="11"/>
      <c r="B647" s="11"/>
      <c r="C647" s="11"/>
      <c r="D647" s="11"/>
      <c r="E647" s="11"/>
      <c r="F647" s="11"/>
      <c r="G647" s="11"/>
      <c r="H647" s="11"/>
      <c r="I647" s="11"/>
    </row>
    <row r="648">
      <c r="A648" s="11"/>
      <c r="B648" s="11"/>
      <c r="C648" s="11"/>
      <c r="D648" s="11"/>
      <c r="E648" s="11"/>
      <c r="F648" s="11"/>
      <c r="G648" s="11"/>
      <c r="H648" s="11"/>
      <c r="I648" s="11"/>
    </row>
    <row r="649">
      <c r="A649" s="11"/>
      <c r="B649" s="11"/>
      <c r="C649" s="11"/>
      <c r="D649" s="11"/>
      <c r="E649" s="11"/>
      <c r="F649" s="11"/>
      <c r="G649" s="11"/>
      <c r="H649" s="11"/>
      <c r="I649" s="11"/>
    </row>
    <row r="650">
      <c r="A650" s="11"/>
      <c r="B650" s="11"/>
      <c r="C650" s="11"/>
      <c r="D650" s="11"/>
      <c r="E650" s="11"/>
      <c r="F650" s="11"/>
      <c r="G650" s="11"/>
      <c r="H650" s="11"/>
      <c r="I650" s="11"/>
    </row>
    <row r="651">
      <c r="A651" s="11"/>
      <c r="B651" s="11"/>
      <c r="C651" s="11"/>
      <c r="D651" s="11"/>
      <c r="E651" s="11"/>
      <c r="F651" s="11"/>
      <c r="G651" s="11"/>
      <c r="H651" s="11"/>
      <c r="I651" s="11"/>
    </row>
    <row r="652">
      <c r="A652" s="11"/>
      <c r="B652" s="11"/>
      <c r="C652" s="11"/>
      <c r="D652" s="11"/>
      <c r="E652" s="11"/>
      <c r="F652" s="11"/>
      <c r="G652" s="11"/>
      <c r="H652" s="11"/>
      <c r="I652" s="11"/>
    </row>
    <row r="653">
      <c r="A653" s="11"/>
      <c r="B653" s="11"/>
      <c r="C653" s="11"/>
      <c r="D653" s="11"/>
      <c r="E653" s="11"/>
      <c r="F653" s="11"/>
      <c r="G653" s="11"/>
      <c r="H653" s="11"/>
      <c r="I653" s="11"/>
    </row>
    <row r="654">
      <c r="A654" s="11"/>
      <c r="B654" s="11"/>
      <c r="C654" s="11"/>
      <c r="D654" s="11"/>
      <c r="E654" s="11"/>
      <c r="F654" s="11"/>
      <c r="G654" s="11"/>
      <c r="H654" s="11"/>
      <c r="I654" s="11"/>
    </row>
    <row r="655">
      <c r="A655" s="11"/>
      <c r="B655" s="11"/>
      <c r="C655" s="11"/>
      <c r="D655" s="11"/>
      <c r="E655" s="11"/>
      <c r="F655" s="11"/>
      <c r="G655" s="11"/>
      <c r="H655" s="11"/>
      <c r="I655" s="11"/>
    </row>
    <row r="656">
      <c r="A656" s="11"/>
      <c r="B656" s="11"/>
      <c r="C656" s="11"/>
      <c r="D656" s="11"/>
      <c r="E656" s="11"/>
      <c r="F656" s="11"/>
      <c r="G656" s="11"/>
      <c r="H656" s="11"/>
      <c r="I656" s="11"/>
    </row>
    <row r="657">
      <c r="A657" s="11"/>
      <c r="B657" s="11"/>
      <c r="C657" s="11"/>
      <c r="D657" s="11"/>
      <c r="E657" s="11"/>
      <c r="F657" s="11"/>
      <c r="G657" s="11"/>
      <c r="H657" s="11"/>
      <c r="I657" s="11"/>
    </row>
    <row r="658">
      <c r="A658" s="11"/>
      <c r="B658" s="11"/>
      <c r="C658" s="11"/>
      <c r="D658" s="11"/>
      <c r="E658" s="11"/>
      <c r="F658" s="11"/>
      <c r="G658" s="11"/>
      <c r="H658" s="11"/>
      <c r="I658" s="11"/>
    </row>
    <row r="659">
      <c r="A659" s="11"/>
      <c r="B659" s="11"/>
      <c r="C659" s="11"/>
      <c r="D659" s="11"/>
      <c r="E659" s="11"/>
      <c r="F659" s="11"/>
      <c r="G659" s="11"/>
      <c r="H659" s="11"/>
      <c r="I659" s="11"/>
    </row>
    <row r="660">
      <c r="A660" s="11"/>
      <c r="B660" s="11"/>
      <c r="C660" s="11"/>
      <c r="D660" s="11"/>
      <c r="E660" s="11"/>
      <c r="F660" s="11"/>
      <c r="G660" s="11"/>
      <c r="H660" s="11"/>
      <c r="I660" s="11"/>
    </row>
    <row r="661">
      <c r="A661" s="11"/>
      <c r="B661" s="11"/>
      <c r="C661" s="11"/>
      <c r="D661" s="11"/>
      <c r="E661" s="11"/>
      <c r="F661" s="11"/>
      <c r="G661" s="11"/>
      <c r="H661" s="11"/>
      <c r="I661" s="11"/>
    </row>
    <row r="662">
      <c r="A662" s="11"/>
      <c r="B662" s="11"/>
      <c r="C662" s="11"/>
      <c r="D662" s="11"/>
      <c r="E662" s="11"/>
      <c r="F662" s="11"/>
      <c r="G662" s="11"/>
      <c r="H662" s="11"/>
      <c r="I662" s="11"/>
    </row>
    <row r="663">
      <c r="A663" s="11"/>
      <c r="B663" s="11"/>
      <c r="C663" s="11"/>
      <c r="D663" s="11"/>
      <c r="E663" s="11"/>
      <c r="F663" s="11"/>
      <c r="G663" s="11"/>
      <c r="H663" s="11"/>
      <c r="I663" s="11"/>
    </row>
    <row r="664">
      <c r="A664" s="11"/>
      <c r="B664" s="11"/>
      <c r="C664" s="11"/>
      <c r="D664" s="11"/>
      <c r="E664" s="11"/>
      <c r="F664" s="11"/>
      <c r="G664" s="11"/>
      <c r="H664" s="11"/>
      <c r="I664" s="11"/>
    </row>
    <row r="665">
      <c r="A665" s="11"/>
      <c r="B665" s="11"/>
      <c r="C665" s="11"/>
      <c r="D665" s="11"/>
      <c r="E665" s="11"/>
      <c r="F665" s="11"/>
      <c r="G665" s="11"/>
      <c r="H665" s="11"/>
      <c r="I665" s="11"/>
    </row>
    <row r="666">
      <c r="A666" s="11"/>
      <c r="B666" s="11"/>
      <c r="C666" s="11"/>
      <c r="D666" s="11"/>
      <c r="E666" s="11"/>
      <c r="F666" s="11"/>
      <c r="G666" s="11"/>
      <c r="H666" s="11"/>
      <c r="I666" s="11"/>
    </row>
    <row r="667">
      <c r="A667" s="11"/>
      <c r="B667" s="11"/>
      <c r="C667" s="11"/>
      <c r="D667" s="11"/>
      <c r="E667" s="11"/>
      <c r="F667" s="11"/>
      <c r="G667" s="11"/>
      <c r="H667" s="11"/>
      <c r="I667" s="11"/>
    </row>
    <row r="668">
      <c r="A668" s="11"/>
      <c r="B668" s="11"/>
      <c r="C668" s="11"/>
      <c r="D668" s="11"/>
      <c r="E668" s="11"/>
      <c r="F668" s="11"/>
      <c r="G668" s="11"/>
      <c r="H668" s="11"/>
      <c r="I668" s="11"/>
    </row>
    <row r="669">
      <c r="A669" s="11"/>
      <c r="B669" s="11"/>
      <c r="C669" s="11"/>
      <c r="D669" s="11"/>
      <c r="E669" s="11"/>
      <c r="F669" s="11"/>
      <c r="G669" s="11"/>
      <c r="H669" s="11"/>
      <c r="I669" s="11"/>
    </row>
    <row r="670">
      <c r="A670" s="11"/>
      <c r="B670" s="11"/>
      <c r="C670" s="11"/>
      <c r="D670" s="11"/>
      <c r="E670" s="11"/>
      <c r="F670" s="11"/>
      <c r="G670" s="11"/>
      <c r="H670" s="11"/>
      <c r="I670" s="11"/>
    </row>
    <row r="671">
      <c r="A671" s="11"/>
      <c r="B671" s="11"/>
      <c r="C671" s="11"/>
      <c r="D671" s="11"/>
      <c r="E671" s="11"/>
      <c r="F671" s="11"/>
      <c r="G671" s="11"/>
      <c r="H671" s="11"/>
      <c r="I671" s="11"/>
    </row>
    <row r="672">
      <c r="A672" s="11"/>
      <c r="B672" s="11"/>
      <c r="C672" s="11"/>
      <c r="D672" s="11"/>
      <c r="E672" s="11"/>
      <c r="F672" s="11"/>
      <c r="G672" s="11"/>
      <c r="H672" s="11"/>
      <c r="I672" s="11"/>
    </row>
    <row r="673">
      <c r="A673" s="11"/>
      <c r="B673" s="11"/>
      <c r="C673" s="11"/>
      <c r="D673" s="11"/>
      <c r="E673" s="11"/>
      <c r="F673" s="11"/>
      <c r="G673" s="11"/>
      <c r="H673" s="11"/>
      <c r="I673" s="11"/>
    </row>
    <row r="674">
      <c r="A674" s="11"/>
      <c r="B674" s="11"/>
      <c r="C674" s="11"/>
      <c r="D674" s="11"/>
      <c r="E674" s="11"/>
      <c r="F674" s="11"/>
      <c r="G674" s="11"/>
      <c r="H674" s="11"/>
      <c r="I674" s="11"/>
    </row>
    <row r="675">
      <c r="A675" s="11"/>
      <c r="B675" s="11"/>
      <c r="C675" s="11"/>
      <c r="D675" s="11"/>
      <c r="E675" s="11"/>
      <c r="F675" s="11"/>
      <c r="G675" s="11"/>
      <c r="H675" s="11"/>
      <c r="I675" s="11"/>
    </row>
    <row r="676">
      <c r="A676" s="11"/>
      <c r="B676" s="11"/>
      <c r="C676" s="11"/>
      <c r="D676" s="11"/>
      <c r="E676" s="11"/>
      <c r="F676" s="11"/>
      <c r="G676" s="11"/>
      <c r="H676" s="11"/>
      <c r="I676" s="11"/>
    </row>
    <row r="677">
      <c r="A677" s="11"/>
      <c r="B677" s="11"/>
      <c r="C677" s="11"/>
      <c r="D677" s="11"/>
      <c r="E677" s="11"/>
      <c r="F677" s="11"/>
      <c r="G677" s="11"/>
      <c r="H677" s="11"/>
      <c r="I677" s="11"/>
    </row>
    <row r="678">
      <c r="A678" s="11"/>
      <c r="B678" s="11"/>
      <c r="C678" s="11"/>
      <c r="D678" s="11"/>
      <c r="E678" s="11"/>
      <c r="F678" s="11"/>
      <c r="G678" s="11"/>
      <c r="H678" s="11"/>
      <c r="I678" s="11"/>
    </row>
    <row r="679">
      <c r="A679" s="11"/>
      <c r="B679" s="11"/>
      <c r="C679" s="11"/>
      <c r="D679" s="11"/>
      <c r="E679" s="11"/>
      <c r="F679" s="11"/>
      <c r="G679" s="11"/>
      <c r="H679" s="11"/>
      <c r="I679" s="11"/>
    </row>
    <row r="680">
      <c r="A680" s="11"/>
      <c r="B680" s="11"/>
      <c r="C680" s="11"/>
      <c r="D680" s="11"/>
      <c r="E680" s="11"/>
      <c r="F680" s="11"/>
      <c r="G680" s="11"/>
      <c r="H680" s="11"/>
      <c r="I680" s="11"/>
    </row>
    <row r="681">
      <c r="A681" s="11"/>
      <c r="B681" s="11"/>
      <c r="C681" s="11"/>
      <c r="D681" s="11"/>
      <c r="E681" s="11"/>
      <c r="F681" s="11"/>
      <c r="G681" s="11"/>
      <c r="H681" s="11"/>
      <c r="I681" s="11"/>
    </row>
    <row r="682">
      <c r="A682" s="11"/>
      <c r="B682" s="11"/>
      <c r="C682" s="11"/>
      <c r="D682" s="11"/>
      <c r="E682" s="11"/>
      <c r="F682" s="11"/>
      <c r="G682" s="11"/>
      <c r="H682" s="11"/>
      <c r="I682" s="11"/>
    </row>
    <row r="683">
      <c r="A683" s="11"/>
      <c r="B683" s="11"/>
      <c r="C683" s="11"/>
      <c r="D683" s="11"/>
      <c r="E683" s="11"/>
      <c r="F683" s="11"/>
      <c r="G683" s="11"/>
      <c r="H683" s="11"/>
      <c r="I683" s="11"/>
    </row>
    <row r="684">
      <c r="A684" s="11"/>
      <c r="B684" s="11"/>
      <c r="C684" s="11"/>
      <c r="D684" s="11"/>
      <c r="E684" s="11"/>
      <c r="F684" s="11"/>
      <c r="G684" s="11"/>
      <c r="H684" s="11"/>
      <c r="I684" s="11"/>
    </row>
    <row r="685">
      <c r="A685" s="11"/>
      <c r="B685" s="11"/>
      <c r="C685" s="11"/>
      <c r="D685" s="11"/>
      <c r="E685" s="11"/>
      <c r="F685" s="11"/>
      <c r="G685" s="11"/>
      <c r="H685" s="11"/>
      <c r="I685" s="11"/>
    </row>
    <row r="686">
      <c r="A686" s="11"/>
      <c r="B686" s="11"/>
      <c r="C686" s="11"/>
      <c r="D686" s="11"/>
      <c r="E686" s="11"/>
      <c r="F686" s="11"/>
      <c r="G686" s="11"/>
      <c r="H686" s="11"/>
      <c r="I686" s="11"/>
    </row>
    <row r="687">
      <c r="A687" s="11"/>
      <c r="B687" s="11"/>
      <c r="C687" s="11"/>
      <c r="D687" s="11"/>
      <c r="E687" s="11"/>
      <c r="F687" s="11"/>
      <c r="G687" s="11"/>
      <c r="H687" s="11"/>
      <c r="I687" s="11"/>
    </row>
    <row r="688">
      <c r="A688" s="11"/>
      <c r="B688" s="11"/>
      <c r="C688" s="11"/>
      <c r="D688" s="11"/>
      <c r="E688" s="11"/>
      <c r="F688" s="11"/>
      <c r="G688" s="11"/>
      <c r="H688" s="11"/>
      <c r="I688" s="11"/>
    </row>
    <row r="689">
      <c r="A689" s="11"/>
      <c r="B689" s="11"/>
      <c r="C689" s="11"/>
      <c r="D689" s="11"/>
      <c r="E689" s="11"/>
      <c r="F689" s="11"/>
      <c r="G689" s="11"/>
      <c r="H689" s="11"/>
      <c r="I689" s="11"/>
    </row>
    <row r="690">
      <c r="A690" s="11"/>
      <c r="B690" s="11"/>
      <c r="C690" s="11"/>
      <c r="D690" s="11"/>
      <c r="E690" s="11"/>
      <c r="F690" s="11"/>
      <c r="G690" s="11"/>
      <c r="H690" s="11"/>
      <c r="I690" s="11"/>
    </row>
    <row r="691">
      <c r="A691" s="11"/>
      <c r="B691" s="11"/>
      <c r="C691" s="11"/>
      <c r="D691" s="11"/>
      <c r="E691" s="11"/>
      <c r="F691" s="11"/>
      <c r="G691" s="11"/>
      <c r="H691" s="11"/>
      <c r="I691" s="11"/>
    </row>
    <row r="692">
      <c r="A692" s="11"/>
      <c r="B692" s="11"/>
      <c r="C692" s="11"/>
      <c r="D692" s="11"/>
      <c r="E692" s="11"/>
      <c r="F692" s="11"/>
      <c r="G692" s="11"/>
      <c r="H692" s="11"/>
      <c r="I692" s="11"/>
    </row>
    <row r="693">
      <c r="A693" s="11"/>
      <c r="B693" s="11"/>
      <c r="C693" s="11"/>
      <c r="D693" s="11"/>
      <c r="E693" s="11"/>
      <c r="F693" s="11"/>
      <c r="G693" s="11"/>
      <c r="H693" s="11"/>
      <c r="I693" s="11"/>
    </row>
    <row r="694">
      <c r="A694" s="11"/>
      <c r="B694" s="11"/>
      <c r="C694" s="11"/>
      <c r="D694" s="11"/>
      <c r="E694" s="11"/>
      <c r="F694" s="11"/>
      <c r="G694" s="11"/>
      <c r="H694" s="11"/>
      <c r="I694" s="11"/>
    </row>
    <row r="695">
      <c r="A695" s="11"/>
      <c r="B695" s="11"/>
      <c r="C695" s="11"/>
      <c r="D695" s="11"/>
      <c r="E695" s="11"/>
      <c r="F695" s="11"/>
      <c r="G695" s="11"/>
      <c r="H695" s="11"/>
      <c r="I695" s="11"/>
    </row>
    <row r="696">
      <c r="A696" s="11"/>
      <c r="B696" s="11"/>
      <c r="C696" s="11"/>
      <c r="D696" s="11"/>
      <c r="E696" s="11"/>
      <c r="F696" s="11"/>
      <c r="G696" s="11"/>
      <c r="H696" s="11"/>
      <c r="I696" s="11"/>
    </row>
    <row r="697">
      <c r="A697" s="11"/>
      <c r="B697" s="11"/>
      <c r="C697" s="11"/>
      <c r="D697" s="11"/>
      <c r="E697" s="11"/>
      <c r="F697" s="11"/>
      <c r="G697" s="11"/>
      <c r="H697" s="11"/>
      <c r="I697" s="11"/>
    </row>
    <row r="698">
      <c r="A698" s="11"/>
      <c r="B698" s="11"/>
      <c r="C698" s="11"/>
      <c r="D698" s="11"/>
      <c r="E698" s="11"/>
      <c r="F698" s="11"/>
      <c r="G698" s="11"/>
      <c r="H698" s="11"/>
      <c r="I698" s="11"/>
    </row>
    <row r="699">
      <c r="A699" s="11"/>
      <c r="B699" s="11"/>
      <c r="C699" s="11"/>
      <c r="D699" s="11"/>
      <c r="E699" s="11"/>
      <c r="F699" s="11"/>
      <c r="G699" s="11"/>
      <c r="H699" s="11"/>
      <c r="I699" s="11"/>
    </row>
    <row r="700">
      <c r="A700" s="11"/>
      <c r="B700" s="11"/>
      <c r="C700" s="11"/>
      <c r="D700" s="11"/>
      <c r="E700" s="11"/>
      <c r="F700" s="11"/>
      <c r="G700" s="11"/>
      <c r="H700" s="11"/>
      <c r="I700" s="11"/>
    </row>
    <row r="701">
      <c r="A701" s="11"/>
      <c r="B701" s="11"/>
      <c r="C701" s="11"/>
      <c r="D701" s="11"/>
      <c r="E701" s="11"/>
      <c r="F701" s="11"/>
      <c r="G701" s="11"/>
      <c r="H701" s="11"/>
      <c r="I701" s="11"/>
    </row>
    <row r="702">
      <c r="A702" s="11"/>
      <c r="B702" s="11"/>
      <c r="C702" s="11"/>
      <c r="D702" s="11"/>
      <c r="E702" s="11"/>
      <c r="F702" s="11"/>
      <c r="G702" s="11"/>
      <c r="H702" s="11"/>
      <c r="I702" s="11"/>
    </row>
    <row r="703">
      <c r="A703" s="11"/>
      <c r="B703" s="11"/>
      <c r="C703" s="11"/>
      <c r="D703" s="11"/>
      <c r="E703" s="11"/>
      <c r="F703" s="11"/>
      <c r="G703" s="11"/>
      <c r="H703" s="11"/>
      <c r="I703" s="11"/>
    </row>
    <row r="704">
      <c r="A704" s="11"/>
      <c r="B704" s="11"/>
      <c r="C704" s="11"/>
      <c r="D704" s="11"/>
      <c r="E704" s="11"/>
      <c r="F704" s="11"/>
      <c r="G704" s="11"/>
      <c r="H704" s="11"/>
      <c r="I704" s="11"/>
    </row>
    <row r="705">
      <c r="A705" s="11"/>
      <c r="B705" s="11"/>
      <c r="C705" s="11"/>
      <c r="D705" s="11"/>
      <c r="E705" s="11"/>
      <c r="F705" s="11"/>
      <c r="G705" s="11"/>
      <c r="H705" s="11"/>
      <c r="I705" s="11"/>
    </row>
    <row r="706">
      <c r="A706" s="11"/>
      <c r="B706" s="11"/>
      <c r="C706" s="11"/>
      <c r="D706" s="11"/>
      <c r="E706" s="11"/>
      <c r="F706" s="11"/>
      <c r="G706" s="11"/>
      <c r="H706" s="11"/>
      <c r="I706" s="11"/>
    </row>
    <row r="707">
      <c r="A707" s="11"/>
      <c r="B707" s="11"/>
      <c r="C707" s="11"/>
      <c r="D707" s="11"/>
      <c r="E707" s="11"/>
      <c r="F707" s="11"/>
      <c r="G707" s="11"/>
      <c r="H707" s="11"/>
      <c r="I707" s="11"/>
    </row>
    <row r="708">
      <c r="A708" s="11"/>
      <c r="B708" s="11"/>
      <c r="C708" s="11"/>
      <c r="D708" s="11"/>
      <c r="E708" s="11"/>
      <c r="F708" s="11"/>
      <c r="G708" s="11"/>
      <c r="H708" s="11"/>
      <c r="I708" s="11"/>
    </row>
    <row r="709">
      <c r="A709" s="11"/>
      <c r="B709" s="11"/>
      <c r="C709" s="11"/>
      <c r="D709" s="11"/>
      <c r="E709" s="11"/>
      <c r="F709" s="11"/>
      <c r="G709" s="11"/>
      <c r="H709" s="11"/>
      <c r="I709" s="11"/>
    </row>
    <row r="710">
      <c r="A710" s="11"/>
      <c r="B710" s="11"/>
      <c r="C710" s="11"/>
      <c r="D710" s="11"/>
      <c r="E710" s="11"/>
      <c r="F710" s="11"/>
      <c r="G710" s="11"/>
      <c r="H710" s="11"/>
      <c r="I710" s="11"/>
    </row>
    <row r="711">
      <c r="A711" s="11"/>
      <c r="B711" s="11"/>
      <c r="C711" s="11"/>
      <c r="D711" s="11"/>
      <c r="E711" s="11"/>
      <c r="F711" s="11"/>
      <c r="G711" s="11"/>
      <c r="H711" s="11"/>
      <c r="I711" s="11"/>
    </row>
    <row r="712">
      <c r="A712" s="11"/>
      <c r="B712" s="11"/>
      <c r="C712" s="11"/>
      <c r="D712" s="11"/>
      <c r="E712" s="11"/>
      <c r="F712" s="11"/>
      <c r="G712" s="11"/>
      <c r="H712" s="11"/>
      <c r="I712" s="11"/>
    </row>
    <row r="713">
      <c r="A713" s="11"/>
      <c r="B713" s="11"/>
      <c r="C713" s="11"/>
      <c r="D713" s="11"/>
      <c r="E713" s="11"/>
      <c r="F713" s="11"/>
      <c r="G713" s="11"/>
      <c r="H713" s="11"/>
      <c r="I713" s="11"/>
    </row>
    <row r="714">
      <c r="A714" s="11"/>
      <c r="B714" s="11"/>
      <c r="C714" s="11"/>
      <c r="D714" s="11"/>
      <c r="E714" s="11"/>
      <c r="F714" s="11"/>
      <c r="G714" s="11"/>
      <c r="H714" s="11"/>
      <c r="I714" s="11"/>
    </row>
    <row r="715">
      <c r="A715" s="11"/>
      <c r="B715" s="11"/>
      <c r="C715" s="11"/>
      <c r="D715" s="11"/>
      <c r="E715" s="11"/>
      <c r="F715" s="11"/>
      <c r="G715" s="11"/>
      <c r="H715" s="11"/>
      <c r="I715" s="11"/>
    </row>
    <row r="716">
      <c r="A716" s="11"/>
      <c r="B716" s="11"/>
      <c r="C716" s="11"/>
      <c r="D716" s="11"/>
      <c r="E716" s="11"/>
      <c r="F716" s="11"/>
      <c r="G716" s="11"/>
      <c r="H716" s="11"/>
      <c r="I716" s="11"/>
    </row>
    <row r="717">
      <c r="A717" s="11"/>
      <c r="B717" s="11"/>
      <c r="C717" s="11"/>
      <c r="D717" s="11"/>
      <c r="E717" s="11"/>
      <c r="F717" s="11"/>
      <c r="G717" s="11"/>
      <c r="H717" s="11"/>
      <c r="I717" s="11"/>
    </row>
    <row r="718">
      <c r="A718" s="11"/>
      <c r="B718" s="11"/>
      <c r="C718" s="11"/>
      <c r="D718" s="11"/>
      <c r="E718" s="11"/>
      <c r="F718" s="11"/>
      <c r="G718" s="11"/>
      <c r="H718" s="11"/>
      <c r="I718" s="11"/>
    </row>
    <row r="719">
      <c r="A719" s="11"/>
      <c r="B719" s="11"/>
      <c r="C719" s="11"/>
      <c r="D719" s="11"/>
      <c r="E719" s="11"/>
      <c r="F719" s="11"/>
      <c r="G719" s="11"/>
      <c r="H719" s="11"/>
      <c r="I719" s="11"/>
    </row>
    <row r="720">
      <c r="A720" s="11"/>
      <c r="B720" s="11"/>
      <c r="C720" s="11"/>
      <c r="D720" s="11"/>
      <c r="E720" s="11"/>
      <c r="F720" s="11"/>
      <c r="G720" s="11"/>
      <c r="H720" s="11"/>
      <c r="I720" s="11"/>
    </row>
    <row r="721">
      <c r="A721" s="11"/>
      <c r="B721" s="11"/>
      <c r="C721" s="11"/>
      <c r="D721" s="11"/>
      <c r="E721" s="11"/>
      <c r="F721" s="11"/>
      <c r="G721" s="11"/>
      <c r="H721" s="11"/>
      <c r="I721" s="11"/>
    </row>
    <row r="722">
      <c r="A722" s="11"/>
      <c r="B722" s="11"/>
      <c r="C722" s="11"/>
      <c r="D722" s="11"/>
      <c r="E722" s="11"/>
      <c r="F722" s="11"/>
      <c r="G722" s="11"/>
      <c r="H722" s="11"/>
      <c r="I722" s="11"/>
    </row>
    <row r="723">
      <c r="A723" s="11"/>
      <c r="B723" s="11"/>
      <c r="C723" s="11"/>
      <c r="D723" s="11"/>
      <c r="E723" s="11"/>
      <c r="F723" s="11"/>
      <c r="G723" s="11"/>
      <c r="H723" s="11"/>
      <c r="I723" s="11"/>
    </row>
    <row r="724">
      <c r="A724" s="11"/>
      <c r="B724" s="11"/>
      <c r="C724" s="11"/>
      <c r="D724" s="11"/>
      <c r="E724" s="11"/>
      <c r="F724" s="11"/>
      <c r="G724" s="11"/>
      <c r="H724" s="11"/>
      <c r="I724" s="11"/>
    </row>
    <row r="725">
      <c r="A725" s="11"/>
      <c r="B725" s="11"/>
      <c r="C725" s="11"/>
      <c r="D725" s="11"/>
      <c r="E725" s="11"/>
      <c r="F725" s="11"/>
      <c r="G725" s="11"/>
      <c r="H725" s="11"/>
      <c r="I725" s="11"/>
    </row>
    <row r="726">
      <c r="A726" s="11"/>
      <c r="B726" s="11"/>
      <c r="C726" s="11"/>
      <c r="D726" s="11"/>
      <c r="E726" s="11"/>
      <c r="F726" s="11"/>
      <c r="G726" s="11"/>
      <c r="H726" s="11"/>
      <c r="I726" s="11"/>
    </row>
    <row r="727">
      <c r="A727" s="11"/>
      <c r="B727" s="11"/>
      <c r="C727" s="11"/>
      <c r="D727" s="11"/>
      <c r="E727" s="11"/>
      <c r="F727" s="11"/>
      <c r="G727" s="11"/>
      <c r="H727" s="11"/>
      <c r="I727" s="11"/>
    </row>
    <row r="728">
      <c r="A728" s="11"/>
      <c r="B728" s="11"/>
      <c r="C728" s="11"/>
      <c r="D728" s="11"/>
      <c r="E728" s="11"/>
      <c r="F728" s="11"/>
      <c r="G728" s="11"/>
      <c r="H728" s="11"/>
      <c r="I728" s="11"/>
    </row>
    <row r="729">
      <c r="A729" s="11"/>
      <c r="B729" s="11"/>
      <c r="C729" s="11"/>
      <c r="D729" s="11"/>
      <c r="E729" s="11"/>
      <c r="F729" s="11"/>
      <c r="G729" s="11"/>
      <c r="H729" s="11"/>
      <c r="I729" s="11"/>
    </row>
    <row r="730">
      <c r="A730" s="11"/>
      <c r="B730" s="11"/>
      <c r="C730" s="11"/>
      <c r="D730" s="11"/>
      <c r="E730" s="11"/>
      <c r="F730" s="11"/>
      <c r="G730" s="11"/>
      <c r="H730" s="11"/>
      <c r="I730" s="11"/>
    </row>
    <row r="731">
      <c r="A731" s="11"/>
      <c r="B731" s="11"/>
      <c r="C731" s="11"/>
      <c r="D731" s="11"/>
      <c r="E731" s="11"/>
      <c r="F731" s="11"/>
      <c r="G731" s="11"/>
      <c r="H731" s="11"/>
      <c r="I731" s="11"/>
    </row>
    <row r="732">
      <c r="A732" s="11"/>
      <c r="B732" s="11"/>
      <c r="C732" s="11"/>
      <c r="D732" s="11"/>
      <c r="E732" s="11"/>
      <c r="F732" s="11"/>
      <c r="G732" s="11"/>
      <c r="H732" s="11"/>
      <c r="I732" s="11"/>
    </row>
    <row r="733">
      <c r="A733" s="11"/>
      <c r="B733" s="11"/>
      <c r="C733" s="11"/>
      <c r="D733" s="11"/>
      <c r="E733" s="11"/>
      <c r="F733" s="11"/>
      <c r="G733" s="11"/>
      <c r="H733" s="11"/>
      <c r="I733" s="11"/>
    </row>
    <row r="734">
      <c r="A734" s="11"/>
      <c r="B734" s="11"/>
      <c r="C734" s="11"/>
      <c r="D734" s="11"/>
      <c r="E734" s="11"/>
      <c r="F734" s="11"/>
      <c r="G734" s="11"/>
      <c r="H734" s="11"/>
      <c r="I734" s="11"/>
    </row>
    <row r="735">
      <c r="A735" s="11"/>
      <c r="B735" s="11"/>
      <c r="C735" s="11"/>
      <c r="D735" s="11"/>
      <c r="E735" s="11"/>
      <c r="F735" s="11"/>
      <c r="G735" s="11"/>
      <c r="H735" s="11"/>
      <c r="I735" s="11"/>
    </row>
    <row r="736">
      <c r="A736" s="11"/>
      <c r="B736" s="11"/>
      <c r="C736" s="11"/>
      <c r="D736" s="11"/>
      <c r="E736" s="11"/>
      <c r="F736" s="11"/>
      <c r="G736" s="11"/>
      <c r="H736" s="11"/>
      <c r="I736" s="11"/>
    </row>
    <row r="737">
      <c r="A737" s="11"/>
      <c r="B737" s="11"/>
      <c r="C737" s="11"/>
      <c r="D737" s="11"/>
      <c r="E737" s="11"/>
      <c r="F737" s="11"/>
      <c r="G737" s="11"/>
      <c r="H737" s="11"/>
      <c r="I737" s="11"/>
    </row>
    <row r="738">
      <c r="A738" s="11"/>
      <c r="B738" s="11"/>
      <c r="C738" s="11"/>
      <c r="D738" s="11"/>
      <c r="E738" s="11"/>
      <c r="F738" s="11"/>
      <c r="G738" s="11"/>
      <c r="H738" s="11"/>
      <c r="I738" s="11"/>
    </row>
    <row r="739">
      <c r="A739" s="11"/>
      <c r="B739" s="11"/>
      <c r="C739" s="11"/>
      <c r="D739" s="11"/>
      <c r="E739" s="11"/>
      <c r="F739" s="11"/>
      <c r="G739" s="11"/>
      <c r="H739" s="11"/>
      <c r="I739" s="11"/>
    </row>
    <row r="740">
      <c r="A740" s="11"/>
      <c r="B740" s="11"/>
      <c r="C740" s="11"/>
      <c r="D740" s="11"/>
      <c r="E740" s="11"/>
      <c r="F740" s="11"/>
      <c r="G740" s="11"/>
      <c r="H740" s="11"/>
      <c r="I740" s="11"/>
    </row>
    <row r="741">
      <c r="A741" s="11"/>
      <c r="B741" s="11"/>
      <c r="C741" s="11"/>
      <c r="D741" s="11"/>
      <c r="E741" s="11"/>
      <c r="F741" s="11"/>
      <c r="G741" s="11"/>
      <c r="H741" s="11"/>
      <c r="I741" s="11"/>
    </row>
    <row r="742">
      <c r="A742" s="11"/>
      <c r="B742" s="11"/>
      <c r="C742" s="11"/>
      <c r="D742" s="11"/>
      <c r="E742" s="11"/>
      <c r="F742" s="11"/>
      <c r="G742" s="11"/>
      <c r="H742" s="11"/>
      <c r="I742" s="11"/>
    </row>
    <row r="743">
      <c r="A743" s="11"/>
      <c r="B743" s="11"/>
      <c r="C743" s="11"/>
      <c r="D743" s="11"/>
      <c r="E743" s="11"/>
      <c r="F743" s="11"/>
      <c r="G743" s="11"/>
      <c r="H743" s="11"/>
      <c r="I743" s="11"/>
    </row>
    <row r="744">
      <c r="A744" s="11"/>
      <c r="B744" s="11"/>
      <c r="C744" s="11"/>
      <c r="D744" s="11"/>
      <c r="E744" s="11"/>
      <c r="F744" s="11"/>
      <c r="G744" s="11"/>
      <c r="H744" s="11"/>
      <c r="I744" s="11"/>
    </row>
    <row r="745">
      <c r="A745" s="11"/>
      <c r="B745" s="11"/>
      <c r="C745" s="11"/>
      <c r="D745" s="11"/>
      <c r="E745" s="11"/>
      <c r="F745" s="11"/>
      <c r="G745" s="11"/>
      <c r="H745" s="11"/>
      <c r="I745" s="11"/>
    </row>
    <row r="746">
      <c r="A746" s="11"/>
      <c r="B746" s="11"/>
      <c r="C746" s="11"/>
      <c r="D746" s="11"/>
      <c r="E746" s="11"/>
      <c r="F746" s="11"/>
      <c r="G746" s="11"/>
      <c r="H746" s="11"/>
      <c r="I746" s="11"/>
    </row>
    <row r="747">
      <c r="A747" s="11"/>
      <c r="B747" s="11"/>
      <c r="C747" s="11"/>
      <c r="D747" s="11"/>
      <c r="E747" s="11"/>
      <c r="F747" s="11"/>
      <c r="G747" s="11"/>
      <c r="H747" s="11"/>
      <c r="I747" s="11"/>
    </row>
    <row r="748">
      <c r="A748" s="11"/>
      <c r="B748" s="11"/>
      <c r="C748" s="11"/>
      <c r="D748" s="11"/>
      <c r="E748" s="11"/>
      <c r="F748" s="11"/>
      <c r="G748" s="11"/>
      <c r="H748" s="11"/>
      <c r="I748" s="11"/>
    </row>
    <row r="749">
      <c r="A749" s="11"/>
      <c r="B749" s="11"/>
      <c r="C749" s="11"/>
      <c r="D749" s="11"/>
      <c r="E749" s="11"/>
      <c r="F749" s="11"/>
      <c r="G749" s="11"/>
      <c r="H749" s="11"/>
      <c r="I749" s="11"/>
    </row>
    <row r="750">
      <c r="A750" s="11"/>
      <c r="B750" s="11"/>
      <c r="C750" s="11"/>
      <c r="D750" s="11"/>
      <c r="E750" s="11"/>
      <c r="F750" s="11"/>
      <c r="G750" s="11"/>
      <c r="H750" s="11"/>
      <c r="I750" s="11"/>
    </row>
    <row r="751">
      <c r="A751" s="11"/>
      <c r="B751" s="11"/>
      <c r="C751" s="11"/>
      <c r="D751" s="11"/>
      <c r="E751" s="11"/>
      <c r="F751" s="11"/>
      <c r="G751" s="11"/>
      <c r="H751" s="11"/>
      <c r="I751" s="11"/>
    </row>
    <row r="752">
      <c r="A752" s="11"/>
      <c r="B752" s="11"/>
      <c r="C752" s="11"/>
      <c r="D752" s="11"/>
      <c r="E752" s="11"/>
      <c r="F752" s="11"/>
      <c r="G752" s="11"/>
      <c r="H752" s="11"/>
      <c r="I752" s="11"/>
    </row>
    <row r="753">
      <c r="A753" s="11"/>
      <c r="B753" s="11"/>
      <c r="C753" s="11"/>
      <c r="D753" s="11"/>
      <c r="E753" s="11"/>
      <c r="F753" s="11"/>
      <c r="G753" s="11"/>
      <c r="H753" s="11"/>
      <c r="I753" s="11"/>
    </row>
    <row r="754">
      <c r="A754" s="11"/>
      <c r="B754" s="11"/>
      <c r="C754" s="11"/>
      <c r="D754" s="11"/>
      <c r="E754" s="11"/>
      <c r="F754" s="11"/>
      <c r="G754" s="11"/>
      <c r="H754" s="11"/>
      <c r="I754" s="11"/>
    </row>
    <row r="755">
      <c r="A755" s="11"/>
      <c r="B755" s="11"/>
      <c r="C755" s="11"/>
      <c r="D755" s="11"/>
      <c r="E755" s="11"/>
      <c r="F755" s="11"/>
      <c r="G755" s="11"/>
      <c r="H755" s="11"/>
      <c r="I755" s="11"/>
    </row>
    <row r="756">
      <c r="A756" s="11"/>
      <c r="B756" s="11"/>
      <c r="C756" s="11"/>
      <c r="D756" s="11"/>
      <c r="E756" s="11"/>
      <c r="F756" s="11"/>
      <c r="G756" s="11"/>
      <c r="H756" s="11"/>
      <c r="I756" s="11"/>
    </row>
    <row r="757">
      <c r="A757" s="11"/>
      <c r="B757" s="11"/>
      <c r="C757" s="11"/>
      <c r="D757" s="11"/>
      <c r="E757" s="11"/>
      <c r="F757" s="11"/>
      <c r="G757" s="11"/>
      <c r="H757" s="11"/>
      <c r="I757" s="11"/>
    </row>
    <row r="758">
      <c r="A758" s="11"/>
      <c r="B758" s="11"/>
      <c r="C758" s="11"/>
      <c r="D758" s="11"/>
      <c r="E758" s="11"/>
      <c r="F758" s="11"/>
      <c r="G758" s="11"/>
      <c r="H758" s="11"/>
      <c r="I758" s="11"/>
    </row>
    <row r="759">
      <c r="A759" s="11"/>
      <c r="B759" s="11"/>
      <c r="C759" s="11"/>
      <c r="D759" s="11"/>
      <c r="E759" s="11"/>
      <c r="F759" s="11"/>
      <c r="G759" s="11"/>
      <c r="H759" s="11"/>
      <c r="I759" s="11"/>
    </row>
    <row r="760">
      <c r="A760" s="11"/>
      <c r="B760" s="11"/>
      <c r="C760" s="11"/>
      <c r="D760" s="11"/>
      <c r="E760" s="11"/>
      <c r="F760" s="11"/>
      <c r="G760" s="11"/>
      <c r="H760" s="11"/>
      <c r="I760" s="11"/>
    </row>
    <row r="761">
      <c r="A761" s="11"/>
      <c r="B761" s="11"/>
      <c r="C761" s="11"/>
      <c r="D761" s="11"/>
      <c r="E761" s="11"/>
      <c r="F761" s="11"/>
      <c r="G761" s="11"/>
      <c r="H761" s="11"/>
      <c r="I761" s="11"/>
    </row>
    <row r="762">
      <c r="A762" s="11"/>
      <c r="B762" s="11"/>
      <c r="C762" s="11"/>
      <c r="D762" s="11"/>
      <c r="E762" s="11"/>
      <c r="F762" s="11"/>
      <c r="G762" s="11"/>
      <c r="H762" s="11"/>
      <c r="I762" s="11"/>
    </row>
    <row r="763">
      <c r="A763" s="11"/>
      <c r="B763" s="11"/>
      <c r="C763" s="11"/>
      <c r="D763" s="11"/>
      <c r="E763" s="11"/>
      <c r="F763" s="11"/>
      <c r="G763" s="11"/>
      <c r="H763" s="11"/>
      <c r="I763" s="11"/>
    </row>
    <row r="764">
      <c r="A764" s="11"/>
      <c r="B764" s="11"/>
      <c r="C764" s="11"/>
      <c r="D764" s="11"/>
      <c r="E764" s="11"/>
      <c r="F764" s="11"/>
      <c r="G764" s="11"/>
      <c r="H764" s="11"/>
      <c r="I764" s="11"/>
    </row>
    <row r="765">
      <c r="A765" s="11"/>
      <c r="B765" s="11"/>
      <c r="C765" s="11"/>
      <c r="D765" s="11"/>
      <c r="E765" s="11"/>
      <c r="F765" s="11"/>
      <c r="G765" s="11"/>
      <c r="H765" s="11"/>
      <c r="I765" s="11"/>
    </row>
    <row r="766">
      <c r="A766" s="11"/>
      <c r="B766" s="11"/>
      <c r="C766" s="11"/>
      <c r="D766" s="11"/>
      <c r="E766" s="11"/>
      <c r="F766" s="11"/>
      <c r="G766" s="11"/>
      <c r="H766" s="11"/>
      <c r="I766" s="11"/>
    </row>
    <row r="767">
      <c r="A767" s="11"/>
      <c r="B767" s="11"/>
      <c r="C767" s="11"/>
      <c r="D767" s="11"/>
      <c r="E767" s="11"/>
      <c r="F767" s="11"/>
      <c r="G767" s="11"/>
      <c r="H767" s="11"/>
      <c r="I767" s="11"/>
    </row>
    <row r="768">
      <c r="A768" s="11"/>
      <c r="B768" s="11"/>
      <c r="C768" s="11"/>
      <c r="D768" s="11"/>
      <c r="E768" s="11"/>
      <c r="F768" s="11"/>
      <c r="G768" s="11"/>
      <c r="H768" s="11"/>
      <c r="I768" s="11"/>
    </row>
    <row r="769">
      <c r="A769" s="11"/>
      <c r="B769" s="11"/>
      <c r="C769" s="11"/>
      <c r="D769" s="11"/>
      <c r="E769" s="11"/>
      <c r="F769" s="11"/>
      <c r="G769" s="11"/>
      <c r="H769" s="11"/>
      <c r="I769" s="11"/>
    </row>
    <row r="770">
      <c r="A770" s="11"/>
      <c r="B770" s="11"/>
      <c r="C770" s="11"/>
      <c r="D770" s="11"/>
      <c r="E770" s="11"/>
      <c r="F770" s="11"/>
      <c r="G770" s="11"/>
      <c r="H770" s="11"/>
      <c r="I770" s="11"/>
    </row>
    <row r="771">
      <c r="A771" s="11"/>
      <c r="B771" s="11"/>
      <c r="C771" s="11"/>
      <c r="D771" s="11"/>
      <c r="E771" s="11"/>
      <c r="F771" s="11"/>
      <c r="G771" s="11"/>
      <c r="H771" s="11"/>
      <c r="I771" s="11"/>
    </row>
    <row r="772">
      <c r="A772" s="11"/>
      <c r="B772" s="11"/>
      <c r="C772" s="11"/>
      <c r="D772" s="11"/>
      <c r="E772" s="11"/>
      <c r="F772" s="11"/>
      <c r="G772" s="11"/>
      <c r="H772" s="11"/>
      <c r="I772" s="11"/>
    </row>
    <row r="773">
      <c r="A773" s="11"/>
      <c r="B773" s="11"/>
      <c r="C773" s="11"/>
      <c r="D773" s="11"/>
      <c r="E773" s="11"/>
      <c r="F773" s="11"/>
      <c r="G773" s="11"/>
      <c r="H773" s="11"/>
      <c r="I773" s="11"/>
    </row>
    <row r="774">
      <c r="A774" s="11"/>
      <c r="B774" s="11"/>
      <c r="C774" s="11"/>
      <c r="D774" s="11"/>
      <c r="E774" s="11"/>
      <c r="F774" s="11"/>
      <c r="G774" s="11"/>
      <c r="H774" s="11"/>
      <c r="I774" s="11"/>
    </row>
    <row r="775">
      <c r="A775" s="11"/>
      <c r="B775" s="11"/>
      <c r="C775" s="11"/>
      <c r="D775" s="11"/>
      <c r="E775" s="11"/>
      <c r="F775" s="11"/>
      <c r="G775" s="11"/>
      <c r="H775" s="11"/>
      <c r="I775" s="11"/>
    </row>
    <row r="776">
      <c r="A776" s="11"/>
      <c r="B776" s="11"/>
      <c r="C776" s="11"/>
      <c r="D776" s="11"/>
      <c r="E776" s="11"/>
      <c r="F776" s="11"/>
      <c r="G776" s="11"/>
      <c r="H776" s="11"/>
      <c r="I776" s="11"/>
    </row>
    <row r="777">
      <c r="A777" s="11"/>
      <c r="B777" s="11"/>
      <c r="C777" s="11"/>
      <c r="D777" s="11"/>
      <c r="E777" s="11"/>
      <c r="F777" s="11"/>
      <c r="G777" s="11"/>
      <c r="H777" s="11"/>
      <c r="I777" s="11"/>
    </row>
    <row r="778">
      <c r="A778" s="11"/>
      <c r="B778" s="11"/>
      <c r="C778" s="11"/>
      <c r="D778" s="11"/>
      <c r="E778" s="11"/>
      <c r="F778" s="11"/>
      <c r="G778" s="11"/>
      <c r="H778" s="11"/>
      <c r="I778" s="11"/>
    </row>
    <row r="779">
      <c r="A779" s="11"/>
      <c r="B779" s="11"/>
      <c r="C779" s="11"/>
      <c r="D779" s="11"/>
      <c r="E779" s="11"/>
      <c r="F779" s="11"/>
      <c r="G779" s="11"/>
      <c r="H779" s="11"/>
      <c r="I779" s="11"/>
    </row>
    <row r="780">
      <c r="A780" s="11"/>
      <c r="B780" s="11"/>
      <c r="C780" s="11"/>
      <c r="D780" s="11"/>
      <c r="E780" s="11"/>
      <c r="F780" s="11"/>
      <c r="G780" s="11"/>
      <c r="H780" s="11"/>
      <c r="I780" s="11"/>
    </row>
    <row r="781">
      <c r="A781" s="11"/>
      <c r="B781" s="11"/>
      <c r="C781" s="11"/>
      <c r="D781" s="11"/>
      <c r="E781" s="11"/>
      <c r="F781" s="11"/>
      <c r="G781" s="11"/>
      <c r="H781" s="11"/>
      <c r="I781" s="11"/>
    </row>
    <row r="782">
      <c r="A782" s="11"/>
      <c r="B782" s="11"/>
      <c r="C782" s="11"/>
      <c r="D782" s="11"/>
      <c r="E782" s="11"/>
      <c r="F782" s="11"/>
      <c r="G782" s="11"/>
      <c r="H782" s="11"/>
      <c r="I782" s="11"/>
    </row>
    <row r="783">
      <c r="A783" s="11"/>
      <c r="B783" s="11"/>
      <c r="C783" s="11"/>
      <c r="D783" s="11"/>
      <c r="E783" s="11"/>
      <c r="F783" s="11"/>
      <c r="G783" s="11"/>
      <c r="H783" s="11"/>
      <c r="I783" s="11"/>
    </row>
    <row r="784">
      <c r="A784" s="11"/>
      <c r="B784" s="11"/>
      <c r="C784" s="11"/>
      <c r="D784" s="11"/>
      <c r="E784" s="11"/>
      <c r="F784" s="11"/>
      <c r="G784" s="11"/>
      <c r="H784" s="11"/>
      <c r="I784" s="11"/>
    </row>
    <row r="785">
      <c r="A785" s="11"/>
      <c r="B785" s="11"/>
      <c r="C785" s="11"/>
      <c r="D785" s="11"/>
      <c r="E785" s="11"/>
      <c r="F785" s="11"/>
      <c r="G785" s="11"/>
      <c r="H785" s="11"/>
      <c r="I785" s="11"/>
    </row>
    <row r="786">
      <c r="A786" s="11"/>
      <c r="B786" s="11"/>
      <c r="C786" s="11"/>
      <c r="D786" s="11"/>
      <c r="E786" s="11"/>
      <c r="F786" s="11"/>
      <c r="G786" s="11"/>
      <c r="H786" s="11"/>
      <c r="I786" s="11"/>
    </row>
    <row r="787">
      <c r="A787" s="11"/>
      <c r="B787" s="11"/>
      <c r="C787" s="11"/>
      <c r="D787" s="11"/>
      <c r="E787" s="11"/>
      <c r="F787" s="11"/>
      <c r="G787" s="11"/>
      <c r="H787" s="11"/>
      <c r="I787" s="11"/>
    </row>
    <row r="788">
      <c r="A788" s="11"/>
      <c r="B788" s="11"/>
      <c r="C788" s="11"/>
      <c r="D788" s="11"/>
      <c r="E788" s="11"/>
      <c r="F788" s="11"/>
      <c r="G788" s="11"/>
      <c r="H788" s="11"/>
      <c r="I788" s="11"/>
    </row>
    <row r="789">
      <c r="A789" s="11"/>
      <c r="B789" s="11"/>
      <c r="C789" s="11"/>
      <c r="D789" s="11"/>
      <c r="E789" s="11"/>
      <c r="F789" s="11"/>
      <c r="G789" s="11"/>
      <c r="H789" s="11"/>
      <c r="I789" s="11"/>
    </row>
    <row r="790">
      <c r="A790" s="11"/>
      <c r="B790" s="11"/>
      <c r="C790" s="11"/>
      <c r="D790" s="11"/>
      <c r="E790" s="11"/>
      <c r="F790" s="11"/>
      <c r="G790" s="11"/>
      <c r="H790" s="11"/>
      <c r="I790" s="11"/>
    </row>
    <row r="791">
      <c r="A791" s="11"/>
      <c r="B791" s="11"/>
      <c r="C791" s="11"/>
      <c r="D791" s="11"/>
      <c r="E791" s="11"/>
      <c r="F791" s="11"/>
      <c r="G791" s="11"/>
      <c r="H791" s="11"/>
      <c r="I791" s="11"/>
    </row>
    <row r="792">
      <c r="A792" s="11"/>
      <c r="B792" s="11"/>
      <c r="C792" s="11"/>
      <c r="D792" s="11"/>
      <c r="E792" s="11"/>
      <c r="F792" s="11"/>
      <c r="G792" s="11"/>
      <c r="H792" s="11"/>
      <c r="I792" s="11"/>
    </row>
    <row r="793">
      <c r="A793" s="11"/>
      <c r="B793" s="11"/>
      <c r="C793" s="11"/>
      <c r="D793" s="11"/>
      <c r="E793" s="11"/>
      <c r="F793" s="11"/>
      <c r="G793" s="11"/>
      <c r="H793" s="11"/>
      <c r="I793" s="11"/>
    </row>
    <row r="794">
      <c r="A794" s="11"/>
      <c r="B794" s="11"/>
      <c r="C794" s="11"/>
      <c r="D794" s="11"/>
      <c r="E794" s="11"/>
      <c r="F794" s="11"/>
      <c r="G794" s="11"/>
      <c r="H794" s="11"/>
      <c r="I794" s="11"/>
    </row>
    <row r="795">
      <c r="A795" s="11"/>
      <c r="B795" s="11"/>
      <c r="C795" s="11"/>
      <c r="D795" s="11"/>
      <c r="E795" s="11"/>
      <c r="F795" s="11"/>
      <c r="G795" s="11"/>
      <c r="H795" s="11"/>
      <c r="I795" s="11"/>
    </row>
    <row r="796">
      <c r="A796" s="11"/>
      <c r="B796" s="11"/>
      <c r="C796" s="11"/>
      <c r="D796" s="11"/>
      <c r="E796" s="11"/>
      <c r="F796" s="11"/>
      <c r="G796" s="11"/>
      <c r="H796" s="11"/>
      <c r="I796" s="11"/>
    </row>
    <row r="797">
      <c r="A797" s="11"/>
      <c r="B797" s="11"/>
      <c r="C797" s="11"/>
      <c r="D797" s="11"/>
      <c r="E797" s="11"/>
      <c r="F797" s="11"/>
      <c r="G797" s="11"/>
      <c r="H797" s="11"/>
      <c r="I797" s="11"/>
    </row>
    <row r="798">
      <c r="A798" s="11"/>
      <c r="B798" s="11"/>
      <c r="C798" s="11"/>
      <c r="D798" s="11"/>
      <c r="E798" s="11"/>
      <c r="F798" s="11"/>
      <c r="G798" s="11"/>
      <c r="H798" s="11"/>
      <c r="I798" s="11"/>
    </row>
    <row r="799">
      <c r="A799" s="11"/>
      <c r="B799" s="11"/>
      <c r="C799" s="11"/>
      <c r="D799" s="11"/>
      <c r="E799" s="11"/>
      <c r="F799" s="11"/>
      <c r="G799" s="11"/>
      <c r="H799" s="11"/>
      <c r="I799" s="11"/>
    </row>
    <row r="800">
      <c r="A800" s="11"/>
      <c r="B800" s="11"/>
      <c r="C800" s="11"/>
      <c r="D800" s="11"/>
      <c r="E800" s="11"/>
      <c r="F800" s="11"/>
      <c r="G800" s="11"/>
      <c r="H800" s="11"/>
      <c r="I800" s="11"/>
    </row>
    <row r="801">
      <c r="A801" s="11"/>
      <c r="B801" s="11"/>
      <c r="C801" s="11"/>
      <c r="D801" s="11"/>
      <c r="E801" s="11"/>
      <c r="F801" s="11"/>
      <c r="G801" s="11"/>
      <c r="H801" s="11"/>
      <c r="I801" s="11"/>
    </row>
    <row r="802">
      <c r="A802" s="11"/>
      <c r="B802" s="11"/>
      <c r="C802" s="11"/>
      <c r="D802" s="11"/>
      <c r="E802" s="11"/>
      <c r="F802" s="11"/>
      <c r="G802" s="11"/>
      <c r="H802" s="11"/>
      <c r="I802" s="11"/>
    </row>
    <row r="803">
      <c r="A803" s="11"/>
      <c r="B803" s="11"/>
      <c r="C803" s="11"/>
      <c r="D803" s="11"/>
      <c r="E803" s="11"/>
      <c r="F803" s="11"/>
      <c r="G803" s="11"/>
      <c r="H803" s="11"/>
      <c r="I803" s="11"/>
    </row>
    <row r="804">
      <c r="A804" s="11"/>
      <c r="B804" s="11"/>
      <c r="C804" s="11"/>
      <c r="D804" s="11"/>
      <c r="E804" s="11"/>
      <c r="F804" s="11"/>
      <c r="G804" s="11"/>
      <c r="H804" s="11"/>
      <c r="I804" s="11"/>
    </row>
    <row r="805">
      <c r="A805" s="11"/>
      <c r="B805" s="11"/>
      <c r="C805" s="11"/>
      <c r="D805" s="11"/>
      <c r="E805" s="11"/>
      <c r="F805" s="11"/>
      <c r="G805" s="11"/>
      <c r="H805" s="11"/>
      <c r="I805" s="11"/>
    </row>
    <row r="806">
      <c r="A806" s="11"/>
      <c r="B806" s="11"/>
      <c r="C806" s="11"/>
      <c r="D806" s="11"/>
      <c r="E806" s="11"/>
      <c r="F806" s="11"/>
      <c r="G806" s="11"/>
      <c r="H806" s="11"/>
      <c r="I806" s="11"/>
    </row>
    <row r="807">
      <c r="A807" s="11"/>
      <c r="B807" s="11"/>
      <c r="C807" s="11"/>
      <c r="D807" s="11"/>
      <c r="E807" s="11"/>
      <c r="F807" s="11"/>
      <c r="G807" s="11"/>
      <c r="H807" s="11"/>
      <c r="I807" s="11"/>
    </row>
    <row r="808">
      <c r="A808" s="11"/>
      <c r="B808" s="11"/>
      <c r="C808" s="11"/>
      <c r="D808" s="11"/>
      <c r="E808" s="11"/>
      <c r="F808" s="11"/>
      <c r="G808" s="11"/>
      <c r="H808" s="11"/>
      <c r="I808" s="11"/>
    </row>
    <row r="809">
      <c r="A809" s="11"/>
      <c r="B809" s="11"/>
      <c r="C809" s="11"/>
      <c r="D809" s="11"/>
      <c r="E809" s="11"/>
      <c r="F809" s="11"/>
      <c r="G809" s="11"/>
      <c r="H809" s="11"/>
      <c r="I809" s="11"/>
    </row>
    <row r="810">
      <c r="A810" s="11"/>
      <c r="B810" s="11"/>
      <c r="C810" s="11"/>
      <c r="D810" s="11"/>
      <c r="E810" s="11"/>
      <c r="F810" s="11"/>
      <c r="G810" s="11"/>
      <c r="H810" s="11"/>
      <c r="I810" s="11"/>
    </row>
    <row r="811">
      <c r="A811" s="11"/>
      <c r="B811" s="11"/>
      <c r="C811" s="11"/>
      <c r="D811" s="11"/>
      <c r="E811" s="11"/>
      <c r="F811" s="11"/>
      <c r="G811" s="11"/>
      <c r="H811" s="11"/>
      <c r="I811" s="11"/>
    </row>
    <row r="812">
      <c r="A812" s="11"/>
      <c r="B812" s="11"/>
      <c r="C812" s="11"/>
      <c r="D812" s="11"/>
      <c r="E812" s="11"/>
      <c r="F812" s="11"/>
      <c r="G812" s="11"/>
      <c r="H812" s="11"/>
      <c r="I812" s="11"/>
    </row>
    <row r="813">
      <c r="A813" s="11"/>
      <c r="B813" s="11"/>
      <c r="C813" s="11"/>
      <c r="D813" s="11"/>
      <c r="E813" s="11"/>
      <c r="F813" s="11"/>
      <c r="G813" s="11"/>
      <c r="H813" s="11"/>
      <c r="I813" s="11"/>
    </row>
    <row r="814">
      <c r="A814" s="11"/>
      <c r="B814" s="11"/>
      <c r="C814" s="11"/>
      <c r="D814" s="11"/>
      <c r="E814" s="11"/>
      <c r="F814" s="11"/>
      <c r="G814" s="11"/>
      <c r="H814" s="11"/>
      <c r="I814" s="11"/>
    </row>
    <row r="815">
      <c r="A815" s="11"/>
      <c r="B815" s="11"/>
      <c r="C815" s="11"/>
      <c r="D815" s="11"/>
      <c r="E815" s="11"/>
      <c r="F815" s="11"/>
      <c r="G815" s="11"/>
      <c r="H815" s="11"/>
      <c r="I815" s="11"/>
    </row>
    <row r="816">
      <c r="A816" s="11"/>
      <c r="B816" s="11"/>
      <c r="C816" s="11"/>
      <c r="D816" s="11"/>
      <c r="E816" s="11"/>
      <c r="F816" s="11"/>
      <c r="G816" s="11"/>
      <c r="H816" s="11"/>
      <c r="I816" s="11"/>
    </row>
    <row r="817">
      <c r="A817" s="11"/>
      <c r="B817" s="11"/>
      <c r="C817" s="11"/>
      <c r="D817" s="11"/>
      <c r="E817" s="11"/>
      <c r="F817" s="11"/>
      <c r="G817" s="11"/>
      <c r="H817" s="11"/>
      <c r="I817" s="11"/>
    </row>
    <row r="818">
      <c r="A818" s="11"/>
      <c r="B818" s="11"/>
      <c r="C818" s="11"/>
      <c r="D818" s="11"/>
      <c r="E818" s="11"/>
      <c r="F818" s="11"/>
      <c r="G818" s="11"/>
      <c r="H818" s="11"/>
      <c r="I818" s="11"/>
    </row>
    <row r="819">
      <c r="A819" s="11"/>
      <c r="B819" s="11"/>
      <c r="C819" s="11"/>
      <c r="D819" s="11"/>
      <c r="E819" s="11"/>
      <c r="F819" s="11"/>
      <c r="G819" s="11"/>
      <c r="H819" s="11"/>
      <c r="I819" s="11"/>
    </row>
    <row r="820">
      <c r="A820" s="11"/>
      <c r="B820" s="11"/>
      <c r="C820" s="11"/>
      <c r="D820" s="11"/>
      <c r="E820" s="11"/>
      <c r="F820" s="11"/>
      <c r="G820" s="11"/>
      <c r="H820" s="11"/>
      <c r="I820" s="11"/>
    </row>
    <row r="821">
      <c r="A821" s="11"/>
      <c r="B821" s="11"/>
      <c r="C821" s="11"/>
      <c r="D821" s="11"/>
      <c r="E821" s="11"/>
      <c r="F821" s="11"/>
      <c r="G821" s="11"/>
      <c r="H821" s="11"/>
      <c r="I821" s="11"/>
    </row>
    <row r="822">
      <c r="A822" s="11"/>
      <c r="B822" s="11"/>
      <c r="C822" s="11"/>
      <c r="D822" s="11"/>
      <c r="E822" s="11"/>
      <c r="F822" s="11"/>
      <c r="G822" s="11"/>
      <c r="H822" s="11"/>
      <c r="I822" s="11"/>
    </row>
    <row r="823">
      <c r="A823" s="11"/>
      <c r="B823" s="11"/>
      <c r="C823" s="11"/>
      <c r="D823" s="11"/>
      <c r="E823" s="11"/>
      <c r="F823" s="11"/>
      <c r="G823" s="11"/>
      <c r="H823" s="11"/>
      <c r="I823" s="11"/>
    </row>
    <row r="824">
      <c r="A824" s="11"/>
      <c r="B824" s="11"/>
      <c r="C824" s="11"/>
      <c r="D824" s="11"/>
      <c r="E824" s="11"/>
      <c r="F824" s="11"/>
      <c r="G824" s="11"/>
      <c r="H824" s="11"/>
      <c r="I824" s="11"/>
    </row>
    <row r="825">
      <c r="A825" s="11"/>
      <c r="B825" s="11"/>
      <c r="C825" s="11"/>
      <c r="D825" s="11"/>
      <c r="E825" s="11"/>
      <c r="F825" s="11"/>
      <c r="G825" s="11"/>
      <c r="H825" s="11"/>
      <c r="I825" s="11"/>
    </row>
    <row r="826">
      <c r="A826" s="11"/>
      <c r="B826" s="11"/>
      <c r="C826" s="11"/>
      <c r="D826" s="11"/>
      <c r="E826" s="11"/>
      <c r="F826" s="11"/>
      <c r="G826" s="11"/>
      <c r="H826" s="11"/>
      <c r="I826" s="11"/>
    </row>
    <row r="827">
      <c r="A827" s="11"/>
      <c r="B827" s="11"/>
      <c r="C827" s="11"/>
      <c r="D827" s="11"/>
      <c r="E827" s="11"/>
      <c r="F827" s="11"/>
      <c r="G827" s="11"/>
      <c r="H827" s="11"/>
      <c r="I827" s="11"/>
    </row>
    <row r="828">
      <c r="A828" s="11"/>
      <c r="B828" s="11"/>
      <c r="C828" s="11"/>
      <c r="D828" s="11"/>
      <c r="E828" s="11"/>
      <c r="F828" s="11"/>
      <c r="G828" s="11"/>
      <c r="H828" s="11"/>
      <c r="I828" s="11"/>
    </row>
    <row r="829">
      <c r="A829" s="11"/>
      <c r="B829" s="11"/>
      <c r="C829" s="11"/>
      <c r="D829" s="11"/>
      <c r="E829" s="11"/>
      <c r="F829" s="11"/>
      <c r="G829" s="11"/>
      <c r="H829" s="11"/>
      <c r="I829" s="11"/>
    </row>
    <row r="830">
      <c r="A830" s="11"/>
      <c r="B830" s="11"/>
      <c r="C830" s="11"/>
      <c r="D830" s="11"/>
      <c r="E830" s="11"/>
      <c r="F830" s="11"/>
      <c r="G830" s="11"/>
      <c r="H830" s="11"/>
      <c r="I830" s="11"/>
    </row>
    <row r="831">
      <c r="A831" s="11"/>
      <c r="B831" s="11"/>
      <c r="C831" s="11"/>
      <c r="D831" s="11"/>
      <c r="E831" s="11"/>
      <c r="F831" s="11"/>
      <c r="G831" s="11"/>
      <c r="H831" s="11"/>
      <c r="I831" s="11"/>
    </row>
    <row r="832">
      <c r="A832" s="11"/>
      <c r="B832" s="11"/>
      <c r="C832" s="11"/>
      <c r="D832" s="11"/>
      <c r="E832" s="11"/>
      <c r="F832" s="11"/>
      <c r="G832" s="11"/>
      <c r="H832" s="11"/>
      <c r="I832" s="11"/>
    </row>
    <row r="833">
      <c r="A833" s="11"/>
      <c r="B833" s="11"/>
      <c r="C833" s="11"/>
      <c r="D833" s="11"/>
      <c r="E833" s="11"/>
      <c r="F833" s="11"/>
      <c r="G833" s="11"/>
      <c r="H833" s="11"/>
      <c r="I833" s="11"/>
    </row>
    <row r="834">
      <c r="A834" s="11"/>
      <c r="B834" s="11"/>
      <c r="C834" s="11"/>
      <c r="D834" s="11"/>
      <c r="E834" s="11"/>
      <c r="F834" s="11"/>
      <c r="G834" s="11"/>
      <c r="H834" s="11"/>
      <c r="I834" s="11"/>
    </row>
    <row r="835">
      <c r="A835" s="11"/>
      <c r="B835" s="11"/>
      <c r="C835" s="11"/>
      <c r="D835" s="11"/>
      <c r="E835" s="11"/>
      <c r="F835" s="11"/>
      <c r="G835" s="11"/>
      <c r="H835" s="11"/>
      <c r="I835" s="11"/>
    </row>
    <row r="836">
      <c r="A836" s="11"/>
      <c r="B836" s="11"/>
      <c r="C836" s="11"/>
      <c r="D836" s="11"/>
      <c r="E836" s="11"/>
      <c r="F836" s="11"/>
      <c r="G836" s="11"/>
      <c r="H836" s="11"/>
      <c r="I836" s="11"/>
    </row>
    <row r="837">
      <c r="A837" s="11"/>
      <c r="B837" s="11"/>
      <c r="C837" s="11"/>
      <c r="D837" s="11"/>
      <c r="E837" s="11"/>
      <c r="F837" s="11"/>
      <c r="G837" s="11"/>
      <c r="H837" s="11"/>
      <c r="I837" s="11"/>
    </row>
    <row r="838">
      <c r="A838" s="11"/>
      <c r="B838" s="11"/>
      <c r="C838" s="11"/>
      <c r="D838" s="11"/>
      <c r="E838" s="11"/>
      <c r="F838" s="11"/>
      <c r="G838" s="11"/>
      <c r="H838" s="11"/>
      <c r="I838" s="11"/>
    </row>
    <row r="839">
      <c r="A839" s="11"/>
      <c r="B839" s="11"/>
      <c r="C839" s="11"/>
      <c r="D839" s="11"/>
      <c r="E839" s="11"/>
      <c r="F839" s="11"/>
      <c r="G839" s="11"/>
      <c r="H839" s="11"/>
      <c r="I839" s="11"/>
    </row>
    <row r="840">
      <c r="A840" s="11"/>
      <c r="B840" s="11"/>
      <c r="C840" s="11"/>
      <c r="D840" s="11"/>
      <c r="E840" s="11"/>
      <c r="F840" s="11"/>
      <c r="G840" s="11"/>
      <c r="H840" s="11"/>
      <c r="I840" s="11"/>
    </row>
    <row r="841">
      <c r="A841" s="11"/>
      <c r="B841" s="11"/>
      <c r="C841" s="11"/>
      <c r="D841" s="11"/>
      <c r="E841" s="11"/>
      <c r="F841" s="11"/>
      <c r="G841" s="11"/>
      <c r="H841" s="11"/>
      <c r="I841" s="11"/>
    </row>
    <row r="842">
      <c r="A842" s="11"/>
      <c r="B842" s="11"/>
      <c r="C842" s="11"/>
      <c r="D842" s="11"/>
      <c r="E842" s="11"/>
      <c r="F842" s="11"/>
      <c r="G842" s="11"/>
      <c r="H842" s="11"/>
      <c r="I842" s="11"/>
    </row>
    <row r="843">
      <c r="A843" s="11"/>
      <c r="B843" s="11"/>
      <c r="C843" s="11"/>
      <c r="D843" s="11"/>
      <c r="E843" s="11"/>
      <c r="F843" s="11"/>
      <c r="G843" s="11"/>
      <c r="H843" s="11"/>
      <c r="I843" s="11"/>
    </row>
    <row r="844">
      <c r="A844" s="11"/>
      <c r="B844" s="11"/>
      <c r="C844" s="11"/>
      <c r="D844" s="11"/>
      <c r="E844" s="11"/>
      <c r="F844" s="11"/>
      <c r="G844" s="11"/>
      <c r="H844" s="11"/>
      <c r="I844" s="11"/>
    </row>
    <row r="845">
      <c r="A845" s="11"/>
      <c r="B845" s="11"/>
      <c r="C845" s="11"/>
      <c r="D845" s="11"/>
      <c r="E845" s="11"/>
      <c r="F845" s="11"/>
      <c r="G845" s="11"/>
      <c r="H845" s="11"/>
      <c r="I845" s="11"/>
    </row>
    <row r="846">
      <c r="A846" s="11"/>
      <c r="B846" s="11"/>
      <c r="C846" s="11"/>
      <c r="D846" s="11"/>
      <c r="E846" s="11"/>
      <c r="F846" s="11"/>
      <c r="G846" s="11"/>
      <c r="H846" s="11"/>
      <c r="I846" s="11"/>
    </row>
    <row r="847">
      <c r="A847" s="11"/>
      <c r="B847" s="11"/>
      <c r="C847" s="11"/>
      <c r="D847" s="11"/>
      <c r="E847" s="11"/>
      <c r="F847" s="11"/>
      <c r="G847" s="11"/>
      <c r="H847" s="11"/>
      <c r="I847" s="11"/>
    </row>
    <row r="848">
      <c r="A848" s="11"/>
      <c r="B848" s="11"/>
      <c r="C848" s="11"/>
      <c r="D848" s="11"/>
      <c r="E848" s="11"/>
      <c r="F848" s="11"/>
      <c r="G848" s="11"/>
      <c r="H848" s="11"/>
      <c r="I848" s="11"/>
    </row>
    <row r="849">
      <c r="A849" s="11"/>
      <c r="B849" s="11"/>
      <c r="C849" s="11"/>
      <c r="D849" s="11"/>
      <c r="E849" s="11"/>
      <c r="F849" s="11"/>
      <c r="G849" s="11"/>
      <c r="H849" s="11"/>
      <c r="I849" s="11"/>
    </row>
    <row r="850">
      <c r="A850" s="11"/>
      <c r="B850" s="11"/>
      <c r="C850" s="11"/>
      <c r="D850" s="11"/>
      <c r="E850" s="11"/>
      <c r="F850" s="11"/>
      <c r="G850" s="11"/>
      <c r="H850" s="11"/>
      <c r="I850" s="11"/>
    </row>
    <row r="851">
      <c r="A851" s="11"/>
      <c r="B851" s="11"/>
      <c r="C851" s="11"/>
      <c r="D851" s="11"/>
      <c r="E851" s="11"/>
      <c r="F851" s="11"/>
      <c r="G851" s="11"/>
      <c r="H851" s="11"/>
      <c r="I851" s="11"/>
    </row>
    <row r="852">
      <c r="A852" s="11"/>
      <c r="B852" s="11"/>
      <c r="C852" s="11"/>
      <c r="D852" s="11"/>
      <c r="E852" s="11"/>
      <c r="F852" s="11"/>
      <c r="G852" s="11"/>
      <c r="H852" s="11"/>
      <c r="I852" s="11"/>
    </row>
    <row r="853">
      <c r="A853" s="11"/>
      <c r="B853" s="11"/>
      <c r="C853" s="11"/>
      <c r="D853" s="11"/>
      <c r="E853" s="11"/>
      <c r="F853" s="11"/>
      <c r="G853" s="11"/>
      <c r="H853" s="11"/>
      <c r="I853" s="11"/>
    </row>
    <row r="854">
      <c r="A854" s="11"/>
      <c r="B854" s="11"/>
      <c r="C854" s="11"/>
      <c r="D854" s="11"/>
      <c r="E854" s="11"/>
      <c r="F854" s="11"/>
      <c r="G854" s="11"/>
      <c r="H854" s="11"/>
      <c r="I854" s="11"/>
    </row>
    <row r="855">
      <c r="A855" s="11"/>
      <c r="B855" s="11"/>
      <c r="C855" s="11"/>
      <c r="D855" s="11"/>
      <c r="E855" s="11"/>
      <c r="F855" s="11"/>
      <c r="G855" s="11"/>
      <c r="H855" s="11"/>
      <c r="I855" s="11"/>
    </row>
    <row r="856">
      <c r="A856" s="11"/>
      <c r="B856" s="11"/>
      <c r="C856" s="11"/>
      <c r="D856" s="11"/>
      <c r="E856" s="11"/>
      <c r="F856" s="11"/>
      <c r="G856" s="11"/>
      <c r="H856" s="11"/>
      <c r="I856" s="11"/>
    </row>
    <row r="857">
      <c r="A857" s="11"/>
      <c r="B857" s="11"/>
      <c r="C857" s="11"/>
      <c r="D857" s="11"/>
      <c r="E857" s="11"/>
      <c r="F857" s="11"/>
      <c r="G857" s="11"/>
      <c r="H857" s="11"/>
      <c r="I857" s="11"/>
    </row>
    <row r="858">
      <c r="A858" s="11"/>
      <c r="B858" s="11"/>
      <c r="C858" s="11"/>
      <c r="D858" s="11"/>
      <c r="E858" s="11"/>
      <c r="F858" s="11"/>
      <c r="G858" s="11"/>
      <c r="H858" s="11"/>
      <c r="I858" s="11"/>
    </row>
    <row r="859">
      <c r="A859" s="11"/>
      <c r="B859" s="11"/>
      <c r="C859" s="11"/>
      <c r="D859" s="11"/>
      <c r="E859" s="11"/>
      <c r="F859" s="11"/>
      <c r="G859" s="11"/>
      <c r="H859" s="11"/>
      <c r="I859" s="11"/>
    </row>
    <row r="860">
      <c r="A860" s="11"/>
      <c r="B860" s="11"/>
      <c r="C860" s="11"/>
      <c r="D860" s="11"/>
      <c r="E860" s="11"/>
      <c r="F860" s="11"/>
      <c r="G860" s="11"/>
      <c r="H860" s="11"/>
      <c r="I860" s="11"/>
    </row>
    <row r="861">
      <c r="A861" s="11"/>
      <c r="B861" s="11"/>
      <c r="C861" s="11"/>
      <c r="D861" s="11"/>
      <c r="E861" s="11"/>
      <c r="F861" s="11"/>
      <c r="G861" s="11"/>
      <c r="H861" s="11"/>
      <c r="I861" s="11"/>
    </row>
    <row r="862">
      <c r="A862" s="11"/>
      <c r="B862" s="11"/>
      <c r="C862" s="11"/>
      <c r="D862" s="11"/>
      <c r="E862" s="11"/>
      <c r="F862" s="11"/>
      <c r="G862" s="11"/>
      <c r="H862" s="11"/>
      <c r="I862" s="11"/>
    </row>
    <row r="863">
      <c r="A863" s="11"/>
      <c r="B863" s="11"/>
      <c r="C863" s="11"/>
      <c r="D863" s="11"/>
      <c r="E863" s="11"/>
      <c r="F863" s="11"/>
      <c r="G863" s="11"/>
      <c r="H863" s="11"/>
      <c r="I863" s="11"/>
    </row>
    <row r="864">
      <c r="A864" s="11"/>
      <c r="B864" s="11"/>
      <c r="C864" s="11"/>
      <c r="D864" s="11"/>
      <c r="E864" s="11"/>
      <c r="F864" s="11"/>
      <c r="G864" s="11"/>
      <c r="H864" s="11"/>
      <c r="I864" s="11"/>
    </row>
    <row r="865">
      <c r="A865" s="11"/>
      <c r="B865" s="11"/>
      <c r="C865" s="11"/>
      <c r="D865" s="11"/>
      <c r="E865" s="11"/>
      <c r="F865" s="11"/>
      <c r="G865" s="11"/>
      <c r="H865" s="11"/>
      <c r="I865" s="11"/>
    </row>
    <row r="866">
      <c r="A866" s="11"/>
      <c r="B866" s="11"/>
      <c r="C866" s="11"/>
      <c r="D866" s="11"/>
      <c r="E866" s="11"/>
      <c r="F866" s="11"/>
      <c r="G866" s="11"/>
      <c r="H866" s="11"/>
      <c r="I866" s="11"/>
    </row>
    <row r="867">
      <c r="A867" s="11"/>
      <c r="B867" s="11"/>
      <c r="C867" s="11"/>
      <c r="D867" s="11"/>
      <c r="E867" s="11"/>
      <c r="F867" s="11"/>
      <c r="G867" s="11"/>
      <c r="H867" s="11"/>
      <c r="I867" s="11"/>
    </row>
    <row r="868">
      <c r="A868" s="11"/>
      <c r="B868" s="11"/>
      <c r="C868" s="11"/>
      <c r="D868" s="11"/>
      <c r="E868" s="11"/>
      <c r="F868" s="11"/>
      <c r="G868" s="11"/>
      <c r="H868" s="11"/>
      <c r="I868" s="11"/>
    </row>
    <row r="869">
      <c r="A869" s="11"/>
      <c r="B869" s="11"/>
      <c r="C869" s="11"/>
      <c r="D869" s="11"/>
      <c r="E869" s="11"/>
      <c r="F869" s="11"/>
      <c r="G869" s="11"/>
      <c r="H869" s="11"/>
      <c r="I869" s="11"/>
    </row>
    <row r="870">
      <c r="A870" s="11"/>
      <c r="B870" s="11"/>
      <c r="C870" s="11"/>
      <c r="D870" s="11"/>
      <c r="E870" s="11"/>
      <c r="F870" s="11"/>
      <c r="G870" s="11"/>
      <c r="H870" s="11"/>
      <c r="I870" s="11"/>
    </row>
    <row r="871">
      <c r="A871" s="11"/>
      <c r="B871" s="11"/>
      <c r="C871" s="11"/>
      <c r="D871" s="11"/>
      <c r="E871" s="11"/>
      <c r="F871" s="11"/>
      <c r="G871" s="11"/>
      <c r="H871" s="11"/>
      <c r="I871" s="11"/>
    </row>
    <row r="872">
      <c r="A872" s="11"/>
      <c r="B872" s="11"/>
      <c r="C872" s="11"/>
      <c r="D872" s="11"/>
      <c r="E872" s="11"/>
      <c r="F872" s="11"/>
      <c r="G872" s="11"/>
      <c r="H872" s="11"/>
      <c r="I872" s="11"/>
    </row>
    <row r="873">
      <c r="A873" s="11"/>
      <c r="B873" s="11"/>
      <c r="C873" s="11"/>
      <c r="D873" s="11"/>
      <c r="E873" s="11"/>
      <c r="F873" s="11"/>
      <c r="G873" s="11"/>
      <c r="H873" s="11"/>
      <c r="I873" s="11"/>
    </row>
    <row r="874">
      <c r="A874" s="11"/>
      <c r="B874" s="11"/>
      <c r="C874" s="11"/>
      <c r="D874" s="11"/>
      <c r="E874" s="11"/>
      <c r="F874" s="11"/>
      <c r="G874" s="11"/>
      <c r="H874" s="11"/>
      <c r="I874" s="11"/>
    </row>
    <row r="875">
      <c r="A875" s="11"/>
      <c r="B875" s="11"/>
      <c r="C875" s="11"/>
      <c r="D875" s="11"/>
      <c r="E875" s="11"/>
      <c r="F875" s="11"/>
      <c r="G875" s="11"/>
      <c r="H875" s="11"/>
      <c r="I875" s="11"/>
    </row>
    <row r="876">
      <c r="A876" s="11"/>
      <c r="B876" s="11"/>
      <c r="C876" s="11"/>
      <c r="D876" s="11"/>
      <c r="E876" s="11"/>
      <c r="F876" s="11"/>
      <c r="G876" s="11"/>
      <c r="H876" s="11"/>
      <c r="I876" s="11"/>
    </row>
    <row r="877">
      <c r="A877" s="11"/>
      <c r="B877" s="11"/>
      <c r="C877" s="11"/>
      <c r="D877" s="11"/>
      <c r="E877" s="11"/>
      <c r="F877" s="11"/>
      <c r="G877" s="11"/>
      <c r="H877" s="11"/>
      <c r="I877" s="11"/>
    </row>
    <row r="878">
      <c r="A878" s="11"/>
      <c r="B878" s="11"/>
      <c r="C878" s="11"/>
      <c r="D878" s="11"/>
      <c r="E878" s="11"/>
      <c r="F878" s="11"/>
      <c r="G878" s="11"/>
      <c r="H878" s="11"/>
      <c r="I878" s="11"/>
    </row>
    <row r="879">
      <c r="A879" s="11"/>
      <c r="B879" s="11"/>
      <c r="C879" s="11"/>
      <c r="D879" s="11"/>
      <c r="E879" s="11"/>
      <c r="F879" s="11"/>
      <c r="G879" s="11"/>
      <c r="H879" s="11"/>
      <c r="I879" s="11"/>
    </row>
    <row r="880">
      <c r="A880" s="11"/>
      <c r="B880" s="11"/>
      <c r="C880" s="11"/>
      <c r="D880" s="11"/>
      <c r="E880" s="11"/>
      <c r="F880" s="11"/>
      <c r="G880" s="11"/>
      <c r="H880" s="11"/>
      <c r="I880" s="11"/>
    </row>
    <row r="881">
      <c r="A881" s="11"/>
      <c r="B881" s="11"/>
      <c r="C881" s="11"/>
      <c r="D881" s="11"/>
      <c r="E881" s="11"/>
      <c r="F881" s="11"/>
      <c r="G881" s="11"/>
      <c r="H881" s="11"/>
      <c r="I881" s="11"/>
    </row>
    <row r="882">
      <c r="A882" s="11"/>
      <c r="B882" s="11"/>
      <c r="C882" s="11"/>
      <c r="D882" s="11"/>
      <c r="E882" s="11"/>
      <c r="F882" s="11"/>
      <c r="G882" s="11"/>
      <c r="H882" s="11"/>
      <c r="I882" s="11"/>
    </row>
    <row r="883">
      <c r="A883" s="11"/>
      <c r="B883" s="11"/>
      <c r="C883" s="11"/>
      <c r="D883" s="11"/>
      <c r="E883" s="11"/>
      <c r="F883" s="11"/>
      <c r="G883" s="11"/>
      <c r="H883" s="11"/>
      <c r="I883" s="11"/>
    </row>
    <row r="884">
      <c r="A884" s="11"/>
      <c r="B884" s="11"/>
      <c r="C884" s="11"/>
      <c r="D884" s="11"/>
      <c r="E884" s="11"/>
      <c r="F884" s="11"/>
      <c r="G884" s="11"/>
      <c r="H884" s="11"/>
      <c r="I884" s="11"/>
    </row>
    <row r="885">
      <c r="A885" s="11"/>
      <c r="B885" s="11"/>
      <c r="C885" s="11"/>
      <c r="D885" s="11"/>
      <c r="E885" s="11"/>
      <c r="F885" s="11"/>
      <c r="G885" s="11"/>
      <c r="H885" s="11"/>
      <c r="I885" s="11"/>
    </row>
    <row r="886">
      <c r="A886" s="11"/>
      <c r="B886" s="11"/>
      <c r="C886" s="11"/>
      <c r="D886" s="11"/>
      <c r="E886" s="11"/>
      <c r="F886" s="11"/>
      <c r="G886" s="11"/>
      <c r="H886" s="11"/>
      <c r="I886" s="11"/>
    </row>
    <row r="887">
      <c r="A887" s="11"/>
      <c r="B887" s="11"/>
      <c r="C887" s="11"/>
      <c r="D887" s="11"/>
      <c r="E887" s="11"/>
      <c r="F887" s="11"/>
      <c r="G887" s="11"/>
      <c r="H887" s="11"/>
      <c r="I887" s="11"/>
    </row>
    <row r="888">
      <c r="A888" s="11"/>
      <c r="B888" s="11"/>
      <c r="C888" s="11"/>
      <c r="D888" s="11"/>
      <c r="E888" s="11"/>
      <c r="F888" s="11"/>
      <c r="G888" s="11"/>
      <c r="H888" s="11"/>
      <c r="I888" s="11"/>
    </row>
    <row r="889">
      <c r="A889" s="11"/>
      <c r="B889" s="11"/>
      <c r="C889" s="11"/>
      <c r="D889" s="11"/>
      <c r="E889" s="11"/>
      <c r="F889" s="11"/>
      <c r="G889" s="11"/>
      <c r="H889" s="11"/>
      <c r="I889" s="11"/>
    </row>
    <row r="890">
      <c r="A890" s="11"/>
      <c r="B890" s="11"/>
      <c r="C890" s="11"/>
      <c r="D890" s="11"/>
      <c r="E890" s="11"/>
      <c r="F890" s="11"/>
      <c r="G890" s="11"/>
      <c r="H890" s="11"/>
      <c r="I890" s="11"/>
    </row>
    <row r="891">
      <c r="A891" s="11"/>
      <c r="B891" s="11"/>
      <c r="C891" s="11"/>
      <c r="D891" s="11"/>
      <c r="E891" s="11"/>
      <c r="F891" s="11"/>
      <c r="G891" s="11"/>
      <c r="H891" s="11"/>
      <c r="I891" s="11"/>
    </row>
    <row r="892">
      <c r="A892" s="11"/>
      <c r="B892" s="11"/>
      <c r="C892" s="11"/>
      <c r="D892" s="11"/>
      <c r="E892" s="11"/>
      <c r="F892" s="11"/>
      <c r="G892" s="11"/>
      <c r="H892" s="11"/>
      <c r="I892" s="11"/>
    </row>
    <row r="893">
      <c r="A893" s="11"/>
      <c r="B893" s="11"/>
      <c r="C893" s="11"/>
      <c r="D893" s="11"/>
      <c r="E893" s="11"/>
      <c r="F893" s="11"/>
      <c r="G893" s="11"/>
      <c r="H893" s="11"/>
      <c r="I893" s="11"/>
    </row>
    <row r="894">
      <c r="A894" s="11"/>
      <c r="B894" s="11"/>
      <c r="C894" s="11"/>
      <c r="D894" s="11"/>
      <c r="E894" s="11"/>
      <c r="F894" s="11"/>
      <c r="G894" s="11"/>
      <c r="H894" s="11"/>
      <c r="I894" s="11"/>
    </row>
    <row r="895">
      <c r="A895" s="11"/>
      <c r="B895" s="11"/>
      <c r="C895" s="11"/>
      <c r="D895" s="11"/>
      <c r="E895" s="11"/>
      <c r="F895" s="11"/>
      <c r="G895" s="11"/>
      <c r="H895" s="11"/>
      <c r="I895" s="11"/>
    </row>
    <row r="896">
      <c r="A896" s="11"/>
      <c r="B896" s="11"/>
      <c r="C896" s="11"/>
      <c r="D896" s="11"/>
      <c r="E896" s="11"/>
      <c r="F896" s="11"/>
      <c r="G896" s="11"/>
      <c r="H896" s="11"/>
      <c r="I896" s="11"/>
    </row>
    <row r="897">
      <c r="A897" s="11"/>
      <c r="B897" s="11"/>
      <c r="C897" s="11"/>
      <c r="D897" s="11"/>
      <c r="E897" s="11"/>
      <c r="F897" s="11"/>
      <c r="G897" s="11"/>
      <c r="H897" s="11"/>
      <c r="I897" s="11"/>
    </row>
    <row r="898">
      <c r="A898" s="11"/>
      <c r="B898" s="11"/>
      <c r="C898" s="11"/>
      <c r="D898" s="11"/>
      <c r="E898" s="11"/>
      <c r="F898" s="11"/>
      <c r="G898" s="11"/>
      <c r="H898" s="11"/>
      <c r="I898" s="11"/>
    </row>
    <row r="899">
      <c r="A899" s="11"/>
      <c r="B899" s="11"/>
      <c r="C899" s="11"/>
      <c r="D899" s="11"/>
      <c r="E899" s="11"/>
      <c r="F899" s="11"/>
      <c r="G899" s="11"/>
      <c r="H899" s="11"/>
      <c r="I899" s="11"/>
    </row>
    <row r="900">
      <c r="A900" s="11"/>
      <c r="B900" s="11"/>
      <c r="C900" s="11"/>
      <c r="D900" s="11"/>
      <c r="E900" s="11"/>
      <c r="F900" s="11"/>
      <c r="G900" s="11"/>
      <c r="H900" s="11"/>
      <c r="I900" s="11"/>
    </row>
    <row r="901">
      <c r="A901" s="11"/>
      <c r="B901" s="11"/>
      <c r="C901" s="11"/>
      <c r="D901" s="11"/>
      <c r="E901" s="11"/>
      <c r="F901" s="11"/>
      <c r="G901" s="11"/>
      <c r="H901" s="11"/>
      <c r="I901" s="11"/>
    </row>
    <row r="902">
      <c r="A902" s="11"/>
      <c r="B902" s="11"/>
      <c r="C902" s="11"/>
      <c r="D902" s="11"/>
      <c r="E902" s="11"/>
      <c r="F902" s="11"/>
      <c r="G902" s="11"/>
      <c r="H902" s="11"/>
      <c r="I902" s="11"/>
    </row>
    <row r="903">
      <c r="A903" s="11"/>
      <c r="B903" s="11"/>
      <c r="C903" s="11"/>
      <c r="D903" s="11"/>
      <c r="E903" s="11"/>
      <c r="F903" s="11"/>
      <c r="G903" s="11"/>
      <c r="H903" s="11"/>
      <c r="I903" s="11"/>
    </row>
    <row r="904">
      <c r="A904" s="11"/>
      <c r="B904" s="11"/>
      <c r="C904" s="11"/>
      <c r="D904" s="11"/>
      <c r="E904" s="11"/>
      <c r="F904" s="11"/>
      <c r="G904" s="11"/>
      <c r="H904" s="11"/>
      <c r="I904" s="11"/>
    </row>
    <row r="905">
      <c r="A905" s="11"/>
      <c r="B905" s="11"/>
      <c r="C905" s="11"/>
      <c r="D905" s="11"/>
      <c r="E905" s="11"/>
      <c r="F905" s="11"/>
      <c r="G905" s="11"/>
      <c r="H905" s="11"/>
      <c r="I905" s="11"/>
    </row>
    <row r="906">
      <c r="A906" s="11"/>
      <c r="B906" s="11"/>
      <c r="C906" s="11"/>
      <c r="D906" s="11"/>
      <c r="E906" s="11"/>
      <c r="F906" s="11"/>
      <c r="G906" s="11"/>
      <c r="H906" s="11"/>
      <c r="I906" s="11"/>
    </row>
    <row r="907">
      <c r="A907" s="11"/>
      <c r="B907" s="11"/>
      <c r="C907" s="11"/>
      <c r="D907" s="11"/>
      <c r="E907" s="11"/>
      <c r="F907" s="11"/>
      <c r="G907" s="11"/>
      <c r="H907" s="11"/>
      <c r="I907" s="11"/>
    </row>
    <row r="908">
      <c r="A908" s="11"/>
      <c r="B908" s="11"/>
      <c r="C908" s="11"/>
      <c r="D908" s="11"/>
      <c r="E908" s="11"/>
      <c r="F908" s="11"/>
      <c r="G908" s="11"/>
      <c r="H908" s="11"/>
      <c r="I908" s="11"/>
    </row>
    <row r="909">
      <c r="A909" s="11"/>
      <c r="B909" s="11"/>
      <c r="C909" s="11"/>
      <c r="D909" s="11"/>
      <c r="E909" s="11"/>
      <c r="F909" s="11"/>
      <c r="G909" s="11"/>
      <c r="H909" s="11"/>
      <c r="I909" s="11"/>
    </row>
    <row r="910">
      <c r="A910" s="11"/>
      <c r="B910" s="11"/>
      <c r="C910" s="11"/>
      <c r="D910" s="11"/>
      <c r="E910" s="11"/>
      <c r="F910" s="11"/>
      <c r="G910" s="11"/>
      <c r="H910" s="11"/>
      <c r="I910" s="11"/>
    </row>
    <row r="911">
      <c r="A911" s="11"/>
      <c r="B911" s="11"/>
      <c r="C911" s="11"/>
      <c r="D911" s="11"/>
      <c r="E911" s="11"/>
      <c r="F911" s="11"/>
      <c r="G911" s="11"/>
      <c r="H911" s="11"/>
      <c r="I911" s="11"/>
    </row>
    <row r="912">
      <c r="A912" s="11"/>
      <c r="B912" s="11"/>
      <c r="C912" s="11"/>
      <c r="D912" s="11"/>
      <c r="E912" s="11"/>
      <c r="F912" s="11"/>
      <c r="G912" s="11"/>
      <c r="H912" s="11"/>
      <c r="I912" s="11"/>
    </row>
    <row r="913">
      <c r="A913" s="11"/>
      <c r="B913" s="11"/>
      <c r="C913" s="11"/>
      <c r="D913" s="11"/>
      <c r="E913" s="11"/>
      <c r="F913" s="11"/>
      <c r="G913" s="11"/>
      <c r="H913" s="11"/>
      <c r="I913" s="11"/>
    </row>
    <row r="914">
      <c r="A914" s="11"/>
      <c r="B914" s="11"/>
      <c r="C914" s="11"/>
      <c r="D914" s="11"/>
      <c r="E914" s="11"/>
      <c r="F914" s="11"/>
      <c r="G914" s="11"/>
      <c r="H914" s="11"/>
      <c r="I914" s="11"/>
    </row>
    <row r="915">
      <c r="A915" s="11"/>
      <c r="B915" s="11"/>
      <c r="C915" s="11"/>
      <c r="D915" s="11"/>
      <c r="E915" s="11"/>
      <c r="F915" s="11"/>
      <c r="G915" s="11"/>
      <c r="H915" s="11"/>
      <c r="I915" s="11"/>
    </row>
    <row r="916">
      <c r="A916" s="11"/>
      <c r="B916" s="11"/>
      <c r="C916" s="11"/>
      <c r="D916" s="11"/>
      <c r="E916" s="11"/>
      <c r="F916" s="11"/>
      <c r="G916" s="11"/>
      <c r="H916" s="11"/>
      <c r="I916" s="11"/>
    </row>
    <row r="917">
      <c r="A917" s="11"/>
      <c r="B917" s="11"/>
      <c r="C917" s="11"/>
      <c r="D917" s="11"/>
      <c r="E917" s="11"/>
      <c r="F917" s="11"/>
      <c r="G917" s="11"/>
      <c r="H917" s="11"/>
      <c r="I917" s="11"/>
    </row>
    <row r="918">
      <c r="A918" s="11"/>
      <c r="B918" s="11"/>
      <c r="C918" s="11"/>
      <c r="D918" s="11"/>
      <c r="E918" s="11"/>
      <c r="F918" s="11"/>
      <c r="G918" s="11"/>
      <c r="H918" s="11"/>
      <c r="I918" s="11"/>
    </row>
    <row r="919">
      <c r="A919" s="11"/>
      <c r="B919" s="11"/>
      <c r="C919" s="11"/>
      <c r="D919" s="11"/>
      <c r="E919" s="11"/>
      <c r="F919" s="11"/>
      <c r="G919" s="11"/>
      <c r="H919" s="11"/>
      <c r="I919" s="11"/>
    </row>
    <row r="920">
      <c r="A920" s="11"/>
      <c r="B920" s="11"/>
      <c r="C920" s="11"/>
      <c r="D920" s="11"/>
      <c r="E920" s="11"/>
      <c r="F920" s="11"/>
      <c r="G920" s="11"/>
      <c r="H920" s="11"/>
      <c r="I920" s="11"/>
    </row>
    <row r="921">
      <c r="A921" s="11"/>
      <c r="B921" s="11"/>
      <c r="C921" s="11"/>
      <c r="D921" s="11"/>
      <c r="E921" s="11"/>
      <c r="F921" s="11"/>
      <c r="G921" s="11"/>
      <c r="H921" s="11"/>
      <c r="I921" s="11"/>
    </row>
    <row r="922">
      <c r="A922" s="11"/>
      <c r="B922" s="11"/>
      <c r="C922" s="11"/>
      <c r="D922" s="11"/>
      <c r="E922" s="11"/>
      <c r="F922" s="11"/>
      <c r="G922" s="11"/>
      <c r="H922" s="11"/>
      <c r="I922" s="11"/>
    </row>
    <row r="923">
      <c r="A923" s="11"/>
      <c r="B923" s="11"/>
      <c r="C923" s="11"/>
      <c r="D923" s="11"/>
      <c r="E923" s="11"/>
      <c r="F923" s="11"/>
      <c r="G923" s="11"/>
      <c r="H923" s="11"/>
      <c r="I923" s="11"/>
    </row>
    <row r="924">
      <c r="A924" s="11"/>
      <c r="B924" s="11"/>
      <c r="C924" s="11"/>
      <c r="D924" s="11"/>
      <c r="E924" s="11"/>
      <c r="F924" s="11"/>
      <c r="G924" s="11"/>
      <c r="H924" s="11"/>
      <c r="I924" s="11"/>
    </row>
    <row r="925">
      <c r="A925" s="11"/>
      <c r="B925" s="11"/>
      <c r="C925" s="11"/>
      <c r="D925" s="11"/>
      <c r="E925" s="11"/>
      <c r="F925" s="11"/>
      <c r="G925" s="11"/>
      <c r="H925" s="11"/>
      <c r="I925" s="11"/>
    </row>
    <row r="926">
      <c r="A926" s="11"/>
      <c r="B926" s="11"/>
      <c r="C926" s="11"/>
      <c r="D926" s="11"/>
      <c r="E926" s="11"/>
      <c r="F926" s="11"/>
      <c r="G926" s="11"/>
      <c r="H926" s="11"/>
      <c r="I926" s="11"/>
    </row>
    <row r="927">
      <c r="A927" s="11"/>
      <c r="B927" s="11"/>
      <c r="C927" s="11"/>
      <c r="D927" s="11"/>
      <c r="E927" s="11"/>
      <c r="F927" s="11"/>
      <c r="G927" s="11"/>
      <c r="H927" s="11"/>
      <c r="I927" s="11"/>
    </row>
    <row r="928">
      <c r="A928" s="11"/>
      <c r="B928" s="11"/>
      <c r="C928" s="11"/>
      <c r="D928" s="11"/>
      <c r="E928" s="11"/>
      <c r="F928" s="11"/>
      <c r="G928" s="11"/>
      <c r="H928" s="11"/>
      <c r="I928" s="11"/>
    </row>
    <row r="929">
      <c r="A929" s="11"/>
      <c r="B929" s="11"/>
      <c r="C929" s="11"/>
      <c r="D929" s="11"/>
      <c r="E929" s="11"/>
      <c r="F929" s="11"/>
      <c r="G929" s="11"/>
      <c r="H929" s="11"/>
      <c r="I929" s="11"/>
    </row>
    <row r="930">
      <c r="A930" s="11"/>
      <c r="B930" s="11"/>
      <c r="C930" s="11"/>
      <c r="D930" s="11"/>
      <c r="E930" s="11"/>
      <c r="F930" s="11"/>
      <c r="G930" s="11"/>
      <c r="H930" s="11"/>
      <c r="I930" s="11"/>
    </row>
    <row r="931">
      <c r="A931" s="11"/>
      <c r="B931" s="11"/>
      <c r="C931" s="11"/>
      <c r="D931" s="11"/>
      <c r="E931" s="11"/>
      <c r="F931" s="11"/>
      <c r="G931" s="11"/>
      <c r="H931" s="11"/>
      <c r="I931" s="11"/>
    </row>
    <row r="932">
      <c r="A932" s="11"/>
      <c r="B932" s="11"/>
      <c r="C932" s="11"/>
      <c r="D932" s="11"/>
      <c r="E932" s="11"/>
      <c r="F932" s="11"/>
      <c r="G932" s="11"/>
      <c r="H932" s="11"/>
      <c r="I932" s="11"/>
    </row>
    <row r="933">
      <c r="A933" s="11"/>
      <c r="B933" s="11"/>
      <c r="C933" s="11"/>
      <c r="D933" s="11"/>
      <c r="E933" s="11"/>
      <c r="F933" s="11"/>
      <c r="G933" s="11"/>
      <c r="H933" s="11"/>
      <c r="I933" s="11"/>
    </row>
    <row r="934">
      <c r="A934" s="11"/>
      <c r="B934" s="11"/>
      <c r="C934" s="11"/>
      <c r="D934" s="11"/>
      <c r="E934" s="11"/>
      <c r="F934" s="11"/>
      <c r="G934" s="11"/>
      <c r="H934" s="11"/>
      <c r="I934" s="11"/>
    </row>
    <row r="935">
      <c r="A935" s="11"/>
      <c r="B935" s="11"/>
      <c r="C935" s="11"/>
      <c r="D935" s="11"/>
      <c r="E935" s="11"/>
      <c r="F935" s="11"/>
      <c r="G935" s="11"/>
      <c r="H935" s="11"/>
      <c r="I935" s="11"/>
    </row>
    <row r="936">
      <c r="A936" s="11"/>
      <c r="B936" s="11"/>
      <c r="C936" s="11"/>
      <c r="D936" s="11"/>
      <c r="E936" s="11"/>
      <c r="F936" s="11"/>
      <c r="G936" s="11"/>
      <c r="H936" s="11"/>
      <c r="I936" s="11"/>
    </row>
    <row r="937">
      <c r="A937" s="11"/>
      <c r="B937" s="11"/>
      <c r="C937" s="11"/>
      <c r="D937" s="11"/>
      <c r="E937" s="11"/>
      <c r="F937" s="11"/>
      <c r="G937" s="11"/>
      <c r="H937" s="11"/>
      <c r="I937" s="11"/>
    </row>
    <row r="938">
      <c r="A938" s="11"/>
      <c r="B938" s="11"/>
      <c r="C938" s="11"/>
      <c r="D938" s="11"/>
      <c r="E938" s="11"/>
      <c r="F938" s="11"/>
      <c r="G938" s="11"/>
      <c r="H938" s="11"/>
      <c r="I938" s="11"/>
    </row>
    <row r="939">
      <c r="A939" s="11"/>
      <c r="B939" s="11"/>
      <c r="C939" s="11"/>
      <c r="D939" s="11"/>
      <c r="E939" s="11"/>
      <c r="F939" s="11"/>
      <c r="G939" s="11"/>
      <c r="H939" s="11"/>
      <c r="I939" s="11"/>
    </row>
    <row r="940">
      <c r="A940" s="11"/>
      <c r="B940" s="11"/>
      <c r="C940" s="11"/>
      <c r="D940" s="11"/>
      <c r="E940" s="11"/>
      <c r="F940" s="11"/>
      <c r="G940" s="11"/>
      <c r="H940" s="11"/>
      <c r="I940" s="11"/>
    </row>
    <row r="941">
      <c r="A941" s="11"/>
      <c r="B941" s="11"/>
      <c r="C941" s="11"/>
      <c r="D941" s="11"/>
      <c r="E941" s="11"/>
      <c r="F941" s="11"/>
      <c r="G941" s="11"/>
      <c r="H941" s="11"/>
      <c r="I941" s="11"/>
    </row>
    <row r="942">
      <c r="A942" s="11"/>
      <c r="B942" s="11"/>
      <c r="C942" s="11"/>
      <c r="D942" s="11"/>
      <c r="E942" s="11"/>
      <c r="F942" s="11"/>
      <c r="G942" s="11"/>
      <c r="H942" s="11"/>
      <c r="I942" s="11"/>
    </row>
    <row r="943">
      <c r="A943" s="11"/>
      <c r="B943" s="11"/>
      <c r="C943" s="11"/>
      <c r="D943" s="11"/>
      <c r="E943" s="11"/>
      <c r="F943" s="11"/>
      <c r="G943" s="11"/>
      <c r="H943" s="11"/>
      <c r="I943" s="11"/>
    </row>
    <row r="944">
      <c r="A944" s="11"/>
      <c r="B944" s="11"/>
      <c r="C944" s="11"/>
      <c r="D944" s="11"/>
      <c r="E944" s="11"/>
      <c r="F944" s="11"/>
      <c r="G944" s="11"/>
      <c r="H944" s="11"/>
      <c r="I944" s="11"/>
    </row>
    <row r="945">
      <c r="A945" s="11"/>
      <c r="B945" s="11"/>
      <c r="C945" s="11"/>
      <c r="D945" s="11"/>
      <c r="E945" s="11"/>
      <c r="F945" s="11"/>
      <c r="G945" s="11"/>
      <c r="H945" s="11"/>
      <c r="I945" s="11"/>
    </row>
    <row r="946">
      <c r="A946" s="11"/>
      <c r="B946" s="11"/>
      <c r="C946" s="11"/>
      <c r="D946" s="11"/>
      <c r="E946" s="11"/>
      <c r="F946" s="11"/>
      <c r="G946" s="11"/>
      <c r="H946" s="11"/>
      <c r="I946" s="11"/>
    </row>
    <row r="947">
      <c r="A947" s="11"/>
      <c r="B947" s="11"/>
      <c r="C947" s="11"/>
      <c r="D947" s="11"/>
      <c r="E947" s="11"/>
      <c r="F947" s="11"/>
      <c r="G947" s="11"/>
      <c r="H947" s="11"/>
      <c r="I947" s="11"/>
    </row>
    <row r="948">
      <c r="A948" s="11"/>
      <c r="B948" s="11"/>
      <c r="C948" s="11"/>
      <c r="D948" s="11"/>
      <c r="E948" s="11"/>
      <c r="F948" s="11"/>
      <c r="G948" s="11"/>
      <c r="H948" s="11"/>
      <c r="I948" s="11"/>
    </row>
    <row r="949">
      <c r="A949" s="11"/>
      <c r="B949" s="11"/>
      <c r="C949" s="11"/>
      <c r="D949" s="11"/>
      <c r="E949" s="11"/>
      <c r="F949" s="11"/>
      <c r="G949" s="11"/>
      <c r="H949" s="11"/>
      <c r="I949" s="11"/>
    </row>
    <row r="950">
      <c r="A950" s="11"/>
      <c r="B950" s="11"/>
      <c r="C950" s="11"/>
      <c r="D950" s="11"/>
      <c r="E950" s="11"/>
      <c r="F950" s="11"/>
      <c r="G950" s="11"/>
      <c r="H950" s="11"/>
      <c r="I950" s="11"/>
    </row>
    <row r="951">
      <c r="A951" s="11"/>
      <c r="B951" s="11"/>
      <c r="C951" s="11"/>
      <c r="D951" s="11"/>
      <c r="E951" s="11"/>
      <c r="F951" s="11"/>
      <c r="G951" s="11"/>
      <c r="H951" s="11"/>
      <c r="I951" s="11"/>
    </row>
    <row r="952">
      <c r="A952" s="11"/>
      <c r="B952" s="11"/>
      <c r="C952" s="11"/>
      <c r="D952" s="11"/>
      <c r="E952" s="11"/>
      <c r="F952" s="11"/>
      <c r="G952" s="11"/>
      <c r="H952" s="11"/>
      <c r="I952" s="11"/>
    </row>
    <row r="953">
      <c r="A953" s="11"/>
      <c r="B953" s="11"/>
      <c r="C953" s="11"/>
      <c r="D953" s="11"/>
      <c r="E953" s="11"/>
      <c r="F953" s="11"/>
      <c r="G953" s="11"/>
      <c r="H953" s="11"/>
      <c r="I953" s="11"/>
    </row>
    <row r="954">
      <c r="A954" s="11"/>
      <c r="B954" s="11"/>
      <c r="C954" s="11"/>
      <c r="D954" s="11"/>
      <c r="E954" s="11"/>
      <c r="F954" s="11"/>
      <c r="G954" s="11"/>
      <c r="H954" s="11"/>
      <c r="I954" s="11"/>
    </row>
    <row r="955">
      <c r="A955" s="11"/>
      <c r="B955" s="11"/>
      <c r="C955" s="11"/>
      <c r="D955" s="11"/>
      <c r="E955" s="11"/>
      <c r="F955" s="11"/>
      <c r="G955" s="11"/>
      <c r="H955" s="11"/>
      <c r="I955" s="11"/>
    </row>
    <row r="956">
      <c r="A956" s="11"/>
      <c r="B956" s="11"/>
      <c r="C956" s="11"/>
      <c r="D956" s="11"/>
      <c r="E956" s="11"/>
      <c r="F956" s="11"/>
      <c r="G956" s="11"/>
      <c r="H956" s="11"/>
      <c r="I956" s="11"/>
    </row>
    <row r="957">
      <c r="A957" s="11"/>
      <c r="B957" s="11"/>
      <c r="C957" s="11"/>
      <c r="D957" s="11"/>
      <c r="E957" s="11"/>
      <c r="F957" s="11"/>
      <c r="G957" s="11"/>
      <c r="H957" s="11"/>
      <c r="I957" s="11"/>
    </row>
    <row r="958">
      <c r="A958" s="11"/>
      <c r="B958" s="11"/>
      <c r="C958" s="11"/>
      <c r="D958" s="11"/>
      <c r="E958" s="11"/>
      <c r="F958" s="11"/>
      <c r="G958" s="11"/>
      <c r="H958" s="11"/>
      <c r="I958" s="11"/>
    </row>
    <row r="959">
      <c r="A959" s="11"/>
      <c r="B959" s="11"/>
      <c r="C959" s="11"/>
      <c r="D959" s="11"/>
      <c r="E959" s="11"/>
      <c r="F959" s="11"/>
      <c r="G959" s="11"/>
      <c r="H959" s="11"/>
      <c r="I959" s="11"/>
    </row>
    <row r="960">
      <c r="A960" s="11"/>
      <c r="B960" s="11"/>
      <c r="C960" s="11"/>
      <c r="D960" s="11"/>
      <c r="E960" s="11"/>
      <c r="F960" s="11"/>
      <c r="G960" s="11"/>
      <c r="H960" s="11"/>
      <c r="I960" s="11"/>
    </row>
    <row r="961">
      <c r="A961" s="11"/>
      <c r="B961" s="11"/>
      <c r="C961" s="11"/>
      <c r="D961" s="11"/>
      <c r="E961" s="11"/>
      <c r="F961" s="11"/>
      <c r="G961" s="11"/>
      <c r="H961" s="11"/>
      <c r="I961" s="11"/>
    </row>
    <row r="962">
      <c r="A962" s="11"/>
      <c r="B962" s="11"/>
      <c r="C962" s="11"/>
      <c r="D962" s="11"/>
      <c r="E962" s="11"/>
      <c r="F962" s="11"/>
      <c r="G962" s="11"/>
      <c r="H962" s="11"/>
      <c r="I962" s="11"/>
    </row>
    <row r="963">
      <c r="A963" s="11"/>
      <c r="B963" s="11"/>
      <c r="C963" s="11"/>
      <c r="D963" s="11"/>
      <c r="E963" s="11"/>
      <c r="F963" s="11"/>
      <c r="G963" s="11"/>
      <c r="H963" s="11"/>
      <c r="I963" s="11"/>
    </row>
    <row r="964">
      <c r="A964" s="11"/>
      <c r="B964" s="11"/>
      <c r="C964" s="11"/>
      <c r="D964" s="11"/>
      <c r="E964" s="11"/>
      <c r="F964" s="11"/>
      <c r="G964" s="11"/>
      <c r="H964" s="11"/>
      <c r="I964" s="11"/>
    </row>
    <row r="965">
      <c r="A965" s="11"/>
      <c r="B965" s="11"/>
      <c r="C965" s="11"/>
      <c r="D965" s="11"/>
      <c r="E965" s="11"/>
      <c r="F965" s="11"/>
      <c r="G965" s="11"/>
      <c r="H965" s="11"/>
      <c r="I965" s="11"/>
    </row>
    <row r="966">
      <c r="A966" s="11"/>
      <c r="B966" s="11"/>
      <c r="C966" s="11"/>
      <c r="D966" s="11"/>
      <c r="E966" s="11"/>
      <c r="F966" s="11"/>
      <c r="G966" s="11"/>
      <c r="H966" s="11"/>
      <c r="I966" s="11"/>
    </row>
    <row r="967">
      <c r="A967" s="11"/>
      <c r="B967" s="11"/>
      <c r="C967" s="11"/>
      <c r="D967" s="11"/>
      <c r="E967" s="11"/>
      <c r="F967" s="11"/>
      <c r="G967" s="11"/>
      <c r="H967" s="11"/>
      <c r="I967" s="11"/>
    </row>
    <row r="968">
      <c r="A968" s="11"/>
      <c r="B968" s="11"/>
      <c r="C968" s="11"/>
      <c r="D968" s="11"/>
      <c r="E968" s="11"/>
      <c r="F968" s="11"/>
      <c r="G968" s="11"/>
      <c r="H968" s="11"/>
      <c r="I968" s="11"/>
    </row>
    <row r="969">
      <c r="A969" s="11"/>
      <c r="B969" s="11"/>
      <c r="C969" s="11"/>
      <c r="D969" s="11"/>
      <c r="E969" s="11"/>
      <c r="F969" s="11"/>
      <c r="G969" s="11"/>
      <c r="H969" s="11"/>
      <c r="I969" s="11"/>
    </row>
    <row r="970">
      <c r="A970" s="11"/>
      <c r="B970" s="11"/>
      <c r="C970" s="11"/>
      <c r="D970" s="11"/>
      <c r="E970" s="11"/>
      <c r="F970" s="11"/>
      <c r="G970" s="11"/>
      <c r="H970" s="11"/>
      <c r="I970" s="11"/>
    </row>
    <row r="971">
      <c r="A971" s="11"/>
      <c r="B971" s="11"/>
      <c r="C971" s="11"/>
      <c r="D971" s="11"/>
      <c r="E971" s="11"/>
      <c r="F971" s="11"/>
      <c r="G971" s="11"/>
      <c r="H971" s="11"/>
      <c r="I971" s="11"/>
    </row>
    <row r="972">
      <c r="A972" s="11"/>
      <c r="B972" s="11"/>
      <c r="C972" s="11"/>
      <c r="D972" s="11"/>
      <c r="E972" s="11"/>
      <c r="F972" s="11"/>
      <c r="G972" s="11"/>
      <c r="H972" s="11"/>
      <c r="I972" s="11"/>
    </row>
    <row r="973">
      <c r="A973" s="11"/>
      <c r="B973" s="11"/>
      <c r="C973" s="11"/>
      <c r="D973" s="11"/>
      <c r="E973" s="11"/>
      <c r="F973" s="11"/>
      <c r="G973" s="11"/>
      <c r="H973" s="11"/>
      <c r="I973" s="11"/>
    </row>
    <row r="974">
      <c r="A974" s="11"/>
      <c r="B974" s="11"/>
      <c r="C974" s="11"/>
      <c r="D974" s="11"/>
      <c r="E974" s="11"/>
      <c r="F974" s="11"/>
      <c r="G974" s="11"/>
      <c r="H974" s="11"/>
      <c r="I974" s="11"/>
    </row>
    <row r="975">
      <c r="A975" s="11"/>
      <c r="B975" s="11"/>
      <c r="C975" s="11"/>
      <c r="D975" s="11"/>
      <c r="E975" s="11"/>
      <c r="F975" s="11"/>
      <c r="G975" s="11"/>
      <c r="H975" s="11"/>
      <c r="I975" s="11"/>
    </row>
    <row r="976">
      <c r="A976" s="11"/>
      <c r="B976" s="11"/>
      <c r="C976" s="11"/>
      <c r="D976" s="11"/>
      <c r="E976" s="11"/>
      <c r="F976" s="11"/>
      <c r="G976" s="11"/>
      <c r="H976" s="11"/>
      <c r="I976" s="11"/>
    </row>
    <row r="977">
      <c r="A977" s="11"/>
      <c r="B977" s="11"/>
      <c r="C977" s="11"/>
      <c r="D977" s="11"/>
      <c r="E977" s="11"/>
      <c r="F977" s="11"/>
      <c r="G977" s="11"/>
      <c r="H977" s="11"/>
      <c r="I977" s="11"/>
    </row>
    <row r="978">
      <c r="A978" s="11"/>
      <c r="B978" s="11"/>
      <c r="C978" s="11"/>
      <c r="D978" s="11"/>
      <c r="E978" s="11"/>
      <c r="F978" s="11"/>
      <c r="G978" s="11"/>
      <c r="H978" s="11"/>
      <c r="I978" s="11"/>
    </row>
    <row r="979">
      <c r="A979" s="11"/>
      <c r="B979" s="11"/>
      <c r="C979" s="11"/>
      <c r="D979" s="11"/>
      <c r="E979" s="11"/>
      <c r="F979" s="11"/>
      <c r="G979" s="11"/>
      <c r="H979" s="11"/>
      <c r="I979" s="11"/>
    </row>
    <row r="980">
      <c r="A980" s="11"/>
      <c r="B980" s="11"/>
      <c r="C980" s="11"/>
      <c r="D980" s="11"/>
      <c r="E980" s="11"/>
      <c r="F980" s="11"/>
      <c r="G980" s="11"/>
      <c r="H980" s="11"/>
      <c r="I980" s="11"/>
    </row>
    <row r="981">
      <c r="A981" s="11"/>
      <c r="B981" s="11"/>
      <c r="C981" s="11"/>
      <c r="D981" s="11"/>
      <c r="E981" s="11"/>
      <c r="F981" s="11"/>
      <c r="G981" s="11"/>
      <c r="H981" s="11"/>
      <c r="I981" s="11"/>
    </row>
    <row r="982">
      <c r="A982" s="11"/>
      <c r="B982" s="11"/>
      <c r="C982" s="11"/>
      <c r="D982" s="11"/>
      <c r="E982" s="11"/>
      <c r="F982" s="11"/>
      <c r="G982" s="11"/>
      <c r="H982" s="11"/>
      <c r="I982" s="11"/>
    </row>
    <row r="983">
      <c r="A983" s="11"/>
      <c r="B983" s="11"/>
      <c r="C983" s="11"/>
      <c r="D983" s="11"/>
      <c r="E983" s="11"/>
      <c r="F983" s="11"/>
      <c r="G983" s="11"/>
      <c r="H983" s="11"/>
      <c r="I983" s="11"/>
    </row>
    <row r="984">
      <c r="A984" s="11"/>
      <c r="B984" s="11"/>
      <c r="C984" s="11"/>
      <c r="D984" s="11"/>
      <c r="E984" s="11"/>
      <c r="F984" s="11"/>
      <c r="G984" s="11"/>
      <c r="H984" s="11"/>
      <c r="I984" s="11"/>
    </row>
    <row r="985">
      <c r="A985" s="11"/>
      <c r="B985" s="11"/>
      <c r="C985" s="11"/>
      <c r="D985" s="11"/>
      <c r="E985" s="11"/>
      <c r="F985" s="11"/>
      <c r="G985" s="11"/>
      <c r="H985" s="11"/>
      <c r="I985" s="11"/>
    </row>
    <row r="986">
      <c r="A986" s="11"/>
      <c r="B986" s="11"/>
      <c r="C986" s="11"/>
      <c r="D986" s="11"/>
      <c r="E986" s="11"/>
      <c r="F986" s="11"/>
      <c r="G986" s="11"/>
      <c r="H986" s="11"/>
      <c r="I986" s="11"/>
    </row>
    <row r="987">
      <c r="A987" s="11"/>
      <c r="B987" s="11"/>
      <c r="C987" s="11"/>
      <c r="D987" s="11"/>
      <c r="E987" s="11"/>
      <c r="F987" s="11"/>
      <c r="G987" s="11"/>
      <c r="H987" s="11"/>
      <c r="I987" s="11"/>
    </row>
    <row r="988">
      <c r="A988" s="11"/>
      <c r="B988" s="11"/>
      <c r="C988" s="11"/>
      <c r="D988" s="11"/>
      <c r="E988" s="11"/>
      <c r="F988" s="11"/>
      <c r="G988" s="11"/>
      <c r="H988" s="11"/>
      <c r="I988" s="11"/>
    </row>
    <row r="989">
      <c r="A989" s="11"/>
      <c r="B989" s="11"/>
      <c r="C989" s="11"/>
      <c r="D989" s="11"/>
      <c r="E989" s="11"/>
      <c r="F989" s="11"/>
      <c r="G989" s="11"/>
      <c r="H989" s="11"/>
      <c r="I989" s="11"/>
    </row>
    <row r="990">
      <c r="A990" s="11"/>
      <c r="B990" s="11"/>
      <c r="C990" s="11"/>
      <c r="D990" s="11"/>
      <c r="E990" s="11"/>
      <c r="F990" s="11"/>
      <c r="G990" s="11"/>
      <c r="H990" s="11"/>
      <c r="I990" s="11"/>
    </row>
    <row r="991">
      <c r="A991" s="11"/>
      <c r="B991" s="11"/>
      <c r="C991" s="11"/>
      <c r="D991" s="11"/>
      <c r="E991" s="11"/>
      <c r="F991" s="11"/>
      <c r="G991" s="11"/>
      <c r="H991" s="11"/>
      <c r="I991" s="11"/>
    </row>
    <row r="992">
      <c r="A992" s="11"/>
      <c r="B992" s="11"/>
      <c r="C992" s="11"/>
      <c r="D992" s="11"/>
      <c r="E992" s="11"/>
      <c r="F992" s="11"/>
      <c r="G992" s="11"/>
      <c r="H992" s="11"/>
      <c r="I992" s="11"/>
    </row>
    <row r="993">
      <c r="A993" s="11"/>
      <c r="B993" s="11"/>
      <c r="C993" s="11"/>
      <c r="D993" s="11"/>
      <c r="E993" s="11"/>
      <c r="F993" s="11"/>
      <c r="G993" s="11"/>
      <c r="H993" s="11"/>
      <c r="I993" s="11"/>
    </row>
    <row r="994">
      <c r="A994" s="11"/>
      <c r="B994" s="11"/>
      <c r="C994" s="11"/>
      <c r="D994" s="11"/>
      <c r="E994" s="11"/>
      <c r="F994" s="11"/>
      <c r="G994" s="11"/>
      <c r="H994" s="11"/>
      <c r="I994" s="11"/>
    </row>
    <row r="995">
      <c r="A995" s="11"/>
      <c r="B995" s="11"/>
      <c r="C995" s="11"/>
      <c r="D995" s="11"/>
      <c r="E995" s="11"/>
      <c r="F995" s="11"/>
      <c r="G995" s="11"/>
      <c r="H995" s="11"/>
      <c r="I995" s="11"/>
    </row>
    <row r="996">
      <c r="A996" s="11"/>
      <c r="B996" s="11"/>
      <c r="C996" s="11"/>
      <c r="D996" s="11"/>
      <c r="E996" s="11"/>
      <c r="F996" s="11"/>
      <c r="G996" s="11"/>
      <c r="H996" s="11"/>
      <c r="I996" s="11"/>
    </row>
    <row r="997">
      <c r="A997" s="11"/>
      <c r="B997" s="11"/>
      <c r="C997" s="11"/>
      <c r="D997" s="11"/>
      <c r="E997" s="11"/>
      <c r="F997" s="11"/>
      <c r="G997" s="11"/>
      <c r="H997" s="11"/>
      <c r="I997" s="11"/>
    </row>
    <row r="998">
      <c r="A998" s="11"/>
      <c r="B998" s="11"/>
      <c r="C998" s="11"/>
      <c r="D998" s="11"/>
      <c r="E998" s="11"/>
      <c r="F998" s="11"/>
      <c r="G998" s="11"/>
      <c r="H998" s="11"/>
      <c r="I998" s="11"/>
    </row>
    <row r="999">
      <c r="A999" s="11"/>
      <c r="B999" s="11"/>
      <c r="C999" s="11"/>
      <c r="D999" s="11"/>
      <c r="E999" s="11"/>
      <c r="F999" s="11"/>
      <c r="G999" s="11"/>
      <c r="H999" s="11"/>
      <c r="I999" s="11"/>
    </row>
    <row r="1000">
      <c r="A1000" s="11"/>
      <c r="B1000" s="11"/>
      <c r="C1000" s="11"/>
      <c r="D1000" s="11"/>
      <c r="E1000" s="11"/>
      <c r="F1000" s="11"/>
      <c r="G1000" s="11"/>
      <c r="H1000" s="11"/>
      <c r="I1000" s="11"/>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63"/>
    <col customWidth="1" min="3" max="6" width="7.38"/>
    <col customWidth="1" min="7" max="7" width="16.75"/>
    <col customWidth="1" min="8" max="8" width="22.5"/>
    <col customWidth="1" min="9" max="9" width="16.63"/>
    <col customWidth="1" min="11" max="11" width="29.88"/>
    <col customWidth="1" min="12" max="12" width="28.25"/>
    <col customWidth="1" min="13" max="13" width="49.38"/>
    <col customWidth="1" min="14" max="14" width="17.38"/>
    <col customWidth="1" min="15" max="16" width="24.13"/>
    <col customWidth="1" min="17" max="17" width="19.25"/>
    <col customWidth="1" min="18" max="19" width="20.5"/>
    <col customWidth="1" min="20" max="20" width="19.5"/>
    <col customWidth="1" min="21" max="21" width="13.88"/>
    <col customWidth="1" min="22" max="24" width="10.13"/>
  </cols>
  <sheetData>
    <row r="1">
      <c r="A1" s="12"/>
      <c r="B1" s="12"/>
      <c r="C1" s="12"/>
      <c r="D1" s="12"/>
      <c r="E1" s="12"/>
      <c r="F1" s="12"/>
      <c r="G1" s="13"/>
      <c r="H1" s="14"/>
      <c r="I1" s="14">
        <f>countif(I3:I1001,"Operational")</f>
        <v>3</v>
      </c>
      <c r="J1" s="15" t="s">
        <v>41</v>
      </c>
      <c r="O1" s="16" t="s">
        <v>42</v>
      </c>
      <c r="Q1" s="13"/>
      <c r="R1" s="13"/>
      <c r="S1" s="13"/>
      <c r="T1" s="17" t="s">
        <v>43</v>
      </c>
      <c r="U1" s="15" t="s">
        <v>44</v>
      </c>
      <c r="V1" s="18" t="s">
        <v>45</v>
      </c>
      <c r="Y1" s="13" t="s">
        <v>46</v>
      </c>
      <c r="Z1" s="13"/>
      <c r="AA1" s="13"/>
    </row>
    <row r="2">
      <c r="A2" s="19" t="s">
        <v>47</v>
      </c>
      <c r="B2" s="19" t="s">
        <v>48</v>
      </c>
      <c r="C2" s="19" t="s">
        <v>49</v>
      </c>
      <c r="D2" s="19" t="s">
        <v>50</v>
      </c>
      <c r="E2" s="19" t="s">
        <v>51</v>
      </c>
      <c r="F2" s="19" t="s">
        <v>52</v>
      </c>
      <c r="G2" s="20" t="s">
        <v>53</v>
      </c>
      <c r="H2" s="20" t="s">
        <v>54</v>
      </c>
      <c r="I2" s="20" t="s">
        <v>55</v>
      </c>
      <c r="J2" s="20" t="s">
        <v>56</v>
      </c>
      <c r="K2" s="20" t="s">
        <v>57</v>
      </c>
      <c r="L2" s="20" t="s">
        <v>58</v>
      </c>
      <c r="M2" s="20" t="s">
        <v>59</v>
      </c>
      <c r="N2" s="20" t="s">
        <v>60</v>
      </c>
      <c r="O2" s="20" t="s">
        <v>61</v>
      </c>
      <c r="P2" s="20" t="s">
        <v>62</v>
      </c>
      <c r="Q2" s="20" t="s">
        <v>63</v>
      </c>
      <c r="R2" s="20" t="s">
        <v>64</v>
      </c>
      <c r="S2" s="20" t="s">
        <v>65</v>
      </c>
      <c r="T2" s="19" t="s">
        <v>66</v>
      </c>
      <c r="U2" s="21" t="s">
        <v>62</v>
      </c>
      <c r="V2" s="19" t="s">
        <v>67</v>
      </c>
      <c r="W2" s="19" t="s">
        <v>68</v>
      </c>
      <c r="X2" s="19" t="s">
        <v>69</v>
      </c>
      <c r="Y2" s="20" t="s">
        <v>70</v>
      </c>
      <c r="Z2" s="20" t="s">
        <v>71</v>
      </c>
      <c r="AA2" s="20"/>
      <c r="AB2" s="22"/>
      <c r="AC2" s="22"/>
      <c r="AD2" s="22"/>
      <c r="AE2" s="22"/>
      <c r="AF2" s="22"/>
      <c r="AG2" s="22"/>
      <c r="AH2" s="22"/>
      <c r="AI2" s="22"/>
      <c r="AJ2" s="22"/>
      <c r="AK2" s="22"/>
      <c r="AL2" s="22"/>
      <c r="AM2" s="22"/>
    </row>
    <row r="3">
      <c r="A3" s="23" t="s">
        <v>72</v>
      </c>
      <c r="B3" s="12" t="str">
        <f>vlookup(A3,'List of Chargers'!$A$2:$B$5,2,FALSE)</f>
        <v>Roam Kiosk</v>
      </c>
      <c r="C3" s="23" t="s">
        <v>73</v>
      </c>
      <c r="D3" s="23" t="s">
        <v>74</v>
      </c>
      <c r="E3" s="23" t="s">
        <v>75</v>
      </c>
      <c r="F3" s="24" t="s">
        <v>76</v>
      </c>
      <c r="G3" s="13" t="str">
        <f t="shared" ref="G3:G35" si="1">CONCATENATE("#",A3,"-",C3,"-",D3,"-",E3,"-",F3,)</f>
        <v>#RK-KE-NBI-A-01</v>
      </c>
      <c r="H3" s="13" t="str">
        <f t="shared" ref="H3:H35" si="2">concatenate(G3)</f>
        <v>#RK-KE-NBI-A-01</v>
      </c>
      <c r="I3" s="25" t="s">
        <v>77</v>
      </c>
      <c r="J3" s="25" t="s">
        <v>78</v>
      </c>
      <c r="K3" s="25" t="s">
        <v>79</v>
      </c>
      <c r="L3" s="26" t="str">
        <f t="shared" ref="L3:L35" si="3">B3&amp;" - "&amp;K3</f>
        <v>Roam Kiosk - Shell Jogoo Road</v>
      </c>
      <c r="M3" s="26" t="str">
        <f t="shared" ref="M3:M35" si="4">CONCATENATE(G3," - Rental Kiosk - ",J3," - ",K3)</f>
        <v>#RK-KE-NBI-A-01 - Rental Kiosk - M-KOPA - Shell Jogoo Road</v>
      </c>
      <c r="N3" s="27"/>
      <c r="Q3" s="13" t="s">
        <v>80</v>
      </c>
      <c r="R3" s="13" t="s">
        <v>81</v>
      </c>
      <c r="S3" s="13" t="s">
        <v>82</v>
      </c>
      <c r="T3" s="28"/>
      <c r="U3" s="12"/>
      <c r="V3" s="12">
        <v>4.0</v>
      </c>
      <c r="W3" s="12">
        <v>0.0</v>
      </c>
      <c r="X3" s="12">
        <v>0.0</v>
      </c>
      <c r="Y3" s="13" t="b">
        <v>0</v>
      </c>
      <c r="Z3" s="13" t="b">
        <v>1</v>
      </c>
    </row>
    <row r="4">
      <c r="A4" s="23" t="s">
        <v>72</v>
      </c>
      <c r="B4" s="12" t="str">
        <f>vlookup(A4,'List of Chargers'!$A$2:$B$5,2,FALSE)</f>
        <v>Roam Kiosk</v>
      </c>
      <c r="C4" s="23" t="s">
        <v>73</v>
      </c>
      <c r="D4" s="23" t="s">
        <v>74</v>
      </c>
      <c r="E4" s="23" t="s">
        <v>75</v>
      </c>
      <c r="F4" s="23" t="s">
        <v>83</v>
      </c>
      <c r="G4" s="13" t="str">
        <f t="shared" si="1"/>
        <v>#RK-KE-NBI-A-02</v>
      </c>
      <c r="H4" s="13" t="str">
        <f t="shared" si="2"/>
        <v>#RK-KE-NBI-A-02</v>
      </c>
      <c r="I4" s="25" t="s">
        <v>77</v>
      </c>
      <c r="J4" s="25" t="s">
        <v>78</v>
      </c>
      <c r="K4" s="25" t="s">
        <v>84</v>
      </c>
      <c r="L4" s="26" t="str">
        <f t="shared" si="3"/>
        <v>Roam Kiosk - Shell Lavington</v>
      </c>
      <c r="M4" s="26" t="str">
        <f t="shared" si="4"/>
        <v>#RK-KE-NBI-A-02 - Rental Kiosk - M-KOPA - Shell Lavington</v>
      </c>
      <c r="N4" s="27"/>
      <c r="Q4" s="13" t="s">
        <v>80</v>
      </c>
      <c r="R4" s="13" t="s">
        <v>81</v>
      </c>
      <c r="S4" s="13" t="s">
        <v>82</v>
      </c>
      <c r="T4" s="11"/>
      <c r="U4" s="12"/>
      <c r="V4" s="12">
        <v>4.0</v>
      </c>
      <c r="W4" s="12">
        <v>0.0</v>
      </c>
      <c r="X4" s="12">
        <v>0.0</v>
      </c>
      <c r="Y4" s="13" t="b">
        <v>0</v>
      </c>
      <c r="Z4" s="13" t="b">
        <v>1</v>
      </c>
    </row>
    <row r="5">
      <c r="A5" s="23" t="s">
        <v>72</v>
      </c>
      <c r="B5" s="12" t="str">
        <f>vlookup(A5,'List of Chargers'!$A$2:$B$5,2,FALSE)</f>
        <v>Roam Kiosk</v>
      </c>
      <c r="C5" s="23" t="s">
        <v>73</v>
      </c>
      <c r="D5" s="23" t="s">
        <v>74</v>
      </c>
      <c r="E5" s="23" t="s">
        <v>75</v>
      </c>
      <c r="F5" s="23" t="s">
        <v>85</v>
      </c>
      <c r="G5" s="13" t="str">
        <f t="shared" si="1"/>
        <v>#RK-KE-NBI-A-03</v>
      </c>
      <c r="H5" s="13" t="str">
        <f t="shared" si="2"/>
        <v>#RK-KE-NBI-A-03</v>
      </c>
      <c r="I5" s="25" t="s">
        <v>77</v>
      </c>
      <c r="J5" s="25" t="s">
        <v>78</v>
      </c>
      <c r="K5" s="25" t="s">
        <v>86</v>
      </c>
      <c r="L5" s="26" t="str">
        <f t="shared" si="3"/>
        <v>Roam Kiosk - Shell Kawangware</v>
      </c>
      <c r="M5" s="26" t="str">
        <f t="shared" si="4"/>
        <v>#RK-KE-NBI-A-03 - Rental Kiosk - M-KOPA - Shell Kawangware</v>
      </c>
      <c r="N5" s="29"/>
      <c r="Q5" s="13" t="s">
        <v>80</v>
      </c>
      <c r="R5" s="13" t="s">
        <v>81</v>
      </c>
      <c r="S5" s="13" t="s">
        <v>82</v>
      </c>
      <c r="T5" s="11"/>
      <c r="U5" s="12"/>
      <c r="V5" s="12">
        <v>4.0</v>
      </c>
      <c r="W5" s="12">
        <v>0.0</v>
      </c>
      <c r="X5" s="12">
        <v>0.0</v>
      </c>
      <c r="Y5" s="13" t="b">
        <v>0</v>
      </c>
      <c r="Z5" s="13" t="b">
        <v>1</v>
      </c>
    </row>
    <row r="6">
      <c r="A6" s="23" t="s">
        <v>72</v>
      </c>
      <c r="B6" s="12" t="str">
        <f>vlookup(A6,'List of Chargers'!$A$2:$B$5,2,FALSE)</f>
        <v>Roam Kiosk</v>
      </c>
      <c r="C6" s="23" t="s">
        <v>73</v>
      </c>
      <c r="D6" s="23" t="s">
        <v>74</v>
      </c>
      <c r="E6" s="23" t="s">
        <v>75</v>
      </c>
      <c r="F6" s="23" t="s">
        <v>87</v>
      </c>
      <c r="G6" s="13" t="str">
        <f t="shared" si="1"/>
        <v>#RK-KE-NBI-A-04</v>
      </c>
      <c r="H6" s="13" t="str">
        <f t="shared" si="2"/>
        <v>#RK-KE-NBI-A-04</v>
      </c>
      <c r="I6" s="25" t="s">
        <v>88</v>
      </c>
      <c r="J6" s="25" t="s">
        <v>89</v>
      </c>
      <c r="K6" s="25" t="s">
        <v>90</v>
      </c>
      <c r="L6" s="26" t="str">
        <f t="shared" si="3"/>
        <v>Roam Kiosk - TotalEnergies Ruaraka</v>
      </c>
      <c r="M6" s="26" t="str">
        <f t="shared" si="4"/>
        <v>#RK-KE-NBI-A-04 - Rental Kiosk - RideWell - TotalEnergies Ruaraka</v>
      </c>
      <c r="N6" s="27"/>
      <c r="T6" s="11"/>
      <c r="U6" s="30"/>
      <c r="V6" s="30"/>
      <c r="W6" s="30"/>
      <c r="X6" s="30"/>
      <c r="Y6" s="13" t="b">
        <v>0</v>
      </c>
      <c r="Z6" s="13" t="b">
        <v>0</v>
      </c>
    </row>
    <row r="7">
      <c r="A7" s="23" t="s">
        <v>72</v>
      </c>
      <c r="B7" s="12" t="str">
        <f>vlookup(A7,'List of Chargers'!$A$2:$B$5,2,FALSE)</f>
        <v>Roam Kiosk</v>
      </c>
      <c r="C7" s="23" t="s">
        <v>73</v>
      </c>
      <c r="D7" s="23" t="s">
        <v>74</v>
      </c>
      <c r="E7" s="23" t="s">
        <v>75</v>
      </c>
      <c r="F7" s="23" t="s">
        <v>91</v>
      </c>
      <c r="G7" s="13" t="str">
        <f t="shared" si="1"/>
        <v>#RK-KE-NBI-A-05</v>
      </c>
      <c r="H7" s="13" t="str">
        <f t="shared" si="2"/>
        <v>#RK-KE-NBI-A-05</v>
      </c>
      <c r="I7" s="25" t="s">
        <v>92</v>
      </c>
      <c r="J7" s="25" t="s">
        <v>93</v>
      </c>
      <c r="K7" s="25" t="s">
        <v>94</v>
      </c>
      <c r="L7" s="26" t="str">
        <f t="shared" si="3"/>
        <v>Roam Kiosk - ??</v>
      </c>
      <c r="M7" s="26" t="str">
        <f t="shared" si="4"/>
        <v>#RK-KE-NBI-A-05 - Rental Kiosk - Mogo - ??</v>
      </c>
      <c r="N7" s="27"/>
      <c r="T7" s="11"/>
      <c r="U7" s="30"/>
      <c r="V7" s="30"/>
      <c r="W7" s="30"/>
      <c r="X7" s="30"/>
      <c r="Y7" s="26" t="b">
        <v>0</v>
      </c>
      <c r="Z7" s="13" t="b">
        <v>0</v>
      </c>
    </row>
    <row r="8">
      <c r="A8" s="23" t="s">
        <v>72</v>
      </c>
      <c r="B8" s="12" t="str">
        <f>vlookup(A8,'List of Chargers'!$A$2:$B$5,2,FALSE)</f>
        <v>Roam Kiosk</v>
      </c>
      <c r="C8" s="23" t="s">
        <v>73</v>
      </c>
      <c r="D8" s="23" t="s">
        <v>74</v>
      </c>
      <c r="E8" s="23" t="s">
        <v>75</v>
      </c>
      <c r="F8" s="23" t="s">
        <v>95</v>
      </c>
      <c r="G8" s="13" t="str">
        <f t="shared" si="1"/>
        <v>#RK-KE-NBI-A-06</v>
      </c>
      <c r="H8" s="13" t="str">
        <f t="shared" si="2"/>
        <v>#RK-KE-NBI-A-06</v>
      </c>
      <c r="I8" s="25"/>
      <c r="J8" s="25"/>
      <c r="K8" s="25"/>
      <c r="L8" s="26" t="str">
        <f t="shared" si="3"/>
        <v>Roam Kiosk - </v>
      </c>
      <c r="M8" s="26" t="str">
        <f t="shared" si="4"/>
        <v>#RK-KE-NBI-A-06 - Rental Kiosk -  - </v>
      </c>
      <c r="N8" s="27"/>
      <c r="T8" s="11"/>
      <c r="U8" s="30"/>
      <c r="V8" s="30"/>
      <c r="W8" s="30"/>
      <c r="X8" s="30"/>
      <c r="Y8" s="26" t="b">
        <v>0</v>
      </c>
      <c r="Z8" s="13" t="b">
        <v>0</v>
      </c>
    </row>
    <row r="9">
      <c r="A9" s="23" t="s">
        <v>72</v>
      </c>
      <c r="B9" s="12" t="str">
        <f>vlookup(A9,'List of Chargers'!$A$2:$B$5,2,FALSE)</f>
        <v>Roam Kiosk</v>
      </c>
      <c r="C9" s="23" t="s">
        <v>73</v>
      </c>
      <c r="D9" s="23" t="s">
        <v>74</v>
      </c>
      <c r="E9" s="23" t="s">
        <v>75</v>
      </c>
      <c r="F9" s="23" t="s">
        <v>96</v>
      </c>
      <c r="G9" s="13" t="str">
        <f t="shared" si="1"/>
        <v>#RK-KE-NBI-A-07</v>
      </c>
      <c r="H9" s="13" t="str">
        <f t="shared" si="2"/>
        <v>#RK-KE-NBI-A-07</v>
      </c>
      <c r="I9" s="25"/>
      <c r="J9" s="25"/>
      <c r="K9" s="25"/>
      <c r="L9" s="26" t="str">
        <f t="shared" si="3"/>
        <v>Roam Kiosk - </v>
      </c>
      <c r="M9" s="26" t="str">
        <f t="shared" si="4"/>
        <v>#RK-KE-NBI-A-07 - Rental Kiosk -  - </v>
      </c>
      <c r="T9" s="11"/>
      <c r="U9" s="30"/>
      <c r="V9" s="30"/>
      <c r="W9" s="30"/>
      <c r="X9" s="30"/>
      <c r="Y9" s="26" t="b">
        <v>0</v>
      </c>
      <c r="Z9" s="26" t="b">
        <v>0</v>
      </c>
    </row>
    <row r="10">
      <c r="A10" s="23" t="s">
        <v>72</v>
      </c>
      <c r="B10" s="12" t="str">
        <f>vlookup(A10,'List of Chargers'!$A$2:$B$5,2,FALSE)</f>
        <v>Roam Kiosk</v>
      </c>
      <c r="C10" s="23" t="s">
        <v>73</v>
      </c>
      <c r="D10" s="23" t="s">
        <v>74</v>
      </c>
      <c r="E10" s="23" t="s">
        <v>75</v>
      </c>
      <c r="F10" s="23" t="s">
        <v>97</v>
      </c>
      <c r="G10" s="13" t="str">
        <f t="shared" si="1"/>
        <v>#RK-KE-NBI-A-08</v>
      </c>
      <c r="H10" s="13" t="str">
        <f t="shared" si="2"/>
        <v>#RK-KE-NBI-A-08</v>
      </c>
      <c r="I10" s="25"/>
      <c r="J10" s="25"/>
      <c r="K10" s="25"/>
      <c r="L10" s="26" t="str">
        <f t="shared" si="3"/>
        <v>Roam Kiosk - </v>
      </c>
      <c r="M10" s="26" t="str">
        <f t="shared" si="4"/>
        <v>#RK-KE-NBI-A-08 - Rental Kiosk -  - </v>
      </c>
      <c r="T10" s="11"/>
      <c r="U10" s="30"/>
      <c r="V10" s="30"/>
      <c r="W10" s="30"/>
      <c r="X10" s="30"/>
      <c r="Y10" s="26" t="b">
        <v>0</v>
      </c>
      <c r="Z10" s="26" t="b">
        <v>0</v>
      </c>
    </row>
    <row r="11">
      <c r="A11" s="23" t="s">
        <v>72</v>
      </c>
      <c r="B11" s="12" t="str">
        <f>vlookup(A11,'List of Chargers'!$A$2:$B$5,2,FALSE)</f>
        <v>Roam Kiosk</v>
      </c>
      <c r="C11" s="23" t="s">
        <v>73</v>
      </c>
      <c r="D11" s="23" t="s">
        <v>74</v>
      </c>
      <c r="E11" s="23" t="s">
        <v>75</v>
      </c>
      <c r="F11" s="23" t="s">
        <v>98</v>
      </c>
      <c r="G11" s="13" t="str">
        <f t="shared" si="1"/>
        <v>#RK-KE-NBI-A-09</v>
      </c>
      <c r="H11" s="13" t="str">
        <f t="shared" si="2"/>
        <v>#RK-KE-NBI-A-09</v>
      </c>
      <c r="I11" s="25"/>
      <c r="J11" s="25"/>
      <c r="K11" s="25"/>
      <c r="L11" s="26" t="str">
        <f t="shared" si="3"/>
        <v>Roam Kiosk - </v>
      </c>
      <c r="M11" s="26" t="str">
        <f t="shared" si="4"/>
        <v>#RK-KE-NBI-A-09 - Rental Kiosk -  - </v>
      </c>
      <c r="N11" s="27"/>
      <c r="T11" s="11"/>
      <c r="U11" s="30"/>
      <c r="V11" s="30"/>
      <c r="W11" s="30"/>
      <c r="X11" s="30"/>
      <c r="Y11" s="26" t="b">
        <v>0</v>
      </c>
      <c r="Z11" s="26" t="b">
        <v>0</v>
      </c>
    </row>
    <row r="12">
      <c r="A12" s="23" t="s">
        <v>72</v>
      </c>
      <c r="B12" s="12" t="str">
        <f>vlookup(A12,'List of Chargers'!$A$2:$B$5,2,FALSE)</f>
        <v>Roam Kiosk</v>
      </c>
      <c r="C12" s="23" t="s">
        <v>73</v>
      </c>
      <c r="D12" s="23" t="s">
        <v>74</v>
      </c>
      <c r="E12" s="23" t="s">
        <v>75</v>
      </c>
      <c r="F12" s="23" t="s">
        <v>99</v>
      </c>
      <c r="G12" s="13" t="str">
        <f t="shared" si="1"/>
        <v>#RK-KE-NBI-A-10</v>
      </c>
      <c r="H12" s="13" t="str">
        <f t="shared" si="2"/>
        <v>#RK-KE-NBI-A-10</v>
      </c>
      <c r="I12" s="25"/>
      <c r="J12" s="25"/>
      <c r="K12" s="25"/>
      <c r="L12" s="26" t="str">
        <f t="shared" si="3"/>
        <v>Roam Kiosk - </v>
      </c>
      <c r="M12" s="26" t="str">
        <f t="shared" si="4"/>
        <v>#RK-KE-NBI-A-10 - Rental Kiosk -  - </v>
      </c>
      <c r="T12" s="30"/>
      <c r="U12" s="30"/>
      <c r="V12" s="30"/>
      <c r="W12" s="30"/>
      <c r="X12" s="30"/>
      <c r="Y12" s="26" t="b">
        <v>0</v>
      </c>
      <c r="Z12" s="26" t="b">
        <v>0</v>
      </c>
    </row>
    <row r="13">
      <c r="A13" s="23" t="s">
        <v>72</v>
      </c>
      <c r="B13" s="12" t="str">
        <f>vlookup(A13,'List of Chargers'!$A$2:$B$5,2,FALSE)</f>
        <v>Roam Kiosk</v>
      </c>
      <c r="C13" s="23" t="s">
        <v>73</v>
      </c>
      <c r="D13" s="23" t="s">
        <v>74</v>
      </c>
      <c r="E13" s="23" t="s">
        <v>75</v>
      </c>
      <c r="F13" s="23" t="s">
        <v>100</v>
      </c>
      <c r="G13" s="13" t="str">
        <f t="shared" si="1"/>
        <v>#RK-KE-NBI-A-11</v>
      </c>
      <c r="H13" s="13" t="str">
        <f t="shared" si="2"/>
        <v>#RK-KE-NBI-A-11</v>
      </c>
      <c r="I13" s="25"/>
      <c r="J13" s="25"/>
      <c r="K13" s="25"/>
      <c r="L13" s="26" t="str">
        <f t="shared" si="3"/>
        <v>Roam Kiosk - </v>
      </c>
      <c r="M13" s="26" t="str">
        <f t="shared" si="4"/>
        <v>#RK-KE-NBI-A-11 - Rental Kiosk -  - </v>
      </c>
      <c r="T13" s="30"/>
      <c r="U13" s="30"/>
      <c r="V13" s="30"/>
      <c r="W13" s="30"/>
      <c r="X13" s="30"/>
      <c r="Y13" s="26" t="b">
        <v>0</v>
      </c>
      <c r="Z13" s="26" t="b">
        <v>0</v>
      </c>
    </row>
    <row r="14">
      <c r="A14" s="23" t="s">
        <v>72</v>
      </c>
      <c r="B14" s="12" t="str">
        <f>vlookup(A14,'List of Chargers'!$A$2:$B$5,2,FALSE)</f>
        <v>Roam Kiosk</v>
      </c>
      <c r="C14" s="23" t="s">
        <v>73</v>
      </c>
      <c r="D14" s="23" t="s">
        <v>74</v>
      </c>
      <c r="E14" s="23" t="s">
        <v>75</v>
      </c>
      <c r="F14" s="23" t="s">
        <v>101</v>
      </c>
      <c r="G14" s="13" t="str">
        <f t="shared" si="1"/>
        <v>#RK-KE-NBI-A-12</v>
      </c>
      <c r="H14" s="13" t="str">
        <f t="shared" si="2"/>
        <v>#RK-KE-NBI-A-12</v>
      </c>
      <c r="I14" s="25"/>
      <c r="J14" s="25"/>
      <c r="K14" s="25"/>
      <c r="L14" s="26" t="str">
        <f t="shared" si="3"/>
        <v>Roam Kiosk - </v>
      </c>
      <c r="M14" s="26" t="str">
        <f t="shared" si="4"/>
        <v>#RK-KE-NBI-A-12 - Rental Kiosk -  - </v>
      </c>
      <c r="T14" s="30"/>
      <c r="U14" s="30"/>
      <c r="V14" s="30"/>
      <c r="W14" s="30"/>
      <c r="X14" s="30"/>
      <c r="Y14" s="26" t="b">
        <v>0</v>
      </c>
      <c r="Z14" s="26" t="b">
        <v>0</v>
      </c>
    </row>
    <row r="15">
      <c r="A15" s="23" t="s">
        <v>72</v>
      </c>
      <c r="B15" s="12" t="str">
        <f>vlookup(A15,'List of Chargers'!$A$2:$B$5,2,FALSE)</f>
        <v>Roam Kiosk</v>
      </c>
      <c r="C15" s="23" t="s">
        <v>73</v>
      </c>
      <c r="D15" s="23" t="s">
        <v>74</v>
      </c>
      <c r="E15" s="23" t="s">
        <v>75</v>
      </c>
      <c r="F15" s="23" t="s">
        <v>102</v>
      </c>
      <c r="G15" s="13" t="str">
        <f t="shared" si="1"/>
        <v>#RK-KE-NBI-A-13</v>
      </c>
      <c r="H15" s="13" t="str">
        <f t="shared" si="2"/>
        <v>#RK-KE-NBI-A-13</v>
      </c>
      <c r="I15" s="25"/>
      <c r="J15" s="25"/>
      <c r="K15" s="25"/>
      <c r="L15" s="26" t="str">
        <f t="shared" si="3"/>
        <v>Roam Kiosk - </v>
      </c>
      <c r="M15" s="26" t="str">
        <f t="shared" si="4"/>
        <v>#RK-KE-NBI-A-13 - Rental Kiosk -  - </v>
      </c>
      <c r="T15" s="30"/>
      <c r="U15" s="30"/>
      <c r="V15" s="30"/>
      <c r="W15" s="30"/>
      <c r="X15" s="30"/>
      <c r="Y15" s="26" t="b">
        <v>0</v>
      </c>
      <c r="Z15" s="26" t="b">
        <v>0</v>
      </c>
    </row>
    <row r="16">
      <c r="A16" s="23" t="s">
        <v>72</v>
      </c>
      <c r="B16" s="12" t="str">
        <f>vlookup(A16,'List of Chargers'!$A$2:$B$5,2,FALSE)</f>
        <v>Roam Kiosk</v>
      </c>
      <c r="C16" s="23" t="s">
        <v>73</v>
      </c>
      <c r="D16" s="23" t="s">
        <v>74</v>
      </c>
      <c r="E16" s="23" t="s">
        <v>75</v>
      </c>
      <c r="F16" s="23" t="s">
        <v>103</v>
      </c>
      <c r="G16" s="13" t="str">
        <f t="shared" si="1"/>
        <v>#RK-KE-NBI-A-14</v>
      </c>
      <c r="H16" s="13" t="str">
        <f t="shared" si="2"/>
        <v>#RK-KE-NBI-A-14</v>
      </c>
      <c r="I16" s="25"/>
      <c r="J16" s="25"/>
      <c r="K16" s="25"/>
      <c r="L16" s="26" t="str">
        <f t="shared" si="3"/>
        <v>Roam Kiosk - </v>
      </c>
      <c r="M16" s="26" t="str">
        <f t="shared" si="4"/>
        <v>#RK-KE-NBI-A-14 - Rental Kiosk -  - </v>
      </c>
      <c r="T16" s="30"/>
      <c r="U16" s="30"/>
      <c r="V16" s="30"/>
      <c r="W16" s="30"/>
      <c r="X16" s="30"/>
      <c r="Y16" s="26" t="b">
        <v>0</v>
      </c>
      <c r="Z16" s="26" t="b">
        <v>0</v>
      </c>
    </row>
    <row r="17">
      <c r="A17" s="23" t="s">
        <v>72</v>
      </c>
      <c r="B17" s="12" t="str">
        <f>vlookup(A17,'List of Chargers'!$A$2:$B$5,2,FALSE)</f>
        <v>Roam Kiosk</v>
      </c>
      <c r="C17" s="23" t="s">
        <v>73</v>
      </c>
      <c r="D17" s="23" t="s">
        <v>74</v>
      </c>
      <c r="E17" s="23" t="s">
        <v>75</v>
      </c>
      <c r="F17" s="23" t="s">
        <v>104</v>
      </c>
      <c r="G17" s="13" t="str">
        <f t="shared" si="1"/>
        <v>#RK-KE-NBI-A-15</v>
      </c>
      <c r="H17" s="13" t="str">
        <f t="shared" si="2"/>
        <v>#RK-KE-NBI-A-15</v>
      </c>
      <c r="I17" s="25"/>
      <c r="J17" s="31"/>
      <c r="K17" s="31"/>
      <c r="L17" s="26" t="str">
        <f t="shared" si="3"/>
        <v>Roam Kiosk - </v>
      </c>
      <c r="M17" s="26" t="str">
        <f t="shared" si="4"/>
        <v>#RK-KE-NBI-A-15 - Rental Kiosk -  - </v>
      </c>
      <c r="T17" s="30"/>
      <c r="U17" s="30"/>
      <c r="V17" s="30"/>
      <c r="W17" s="30"/>
      <c r="X17" s="30"/>
      <c r="Y17" s="26" t="b">
        <v>0</v>
      </c>
      <c r="Z17" s="26" t="b">
        <v>0</v>
      </c>
    </row>
    <row r="18">
      <c r="A18" s="23" t="s">
        <v>72</v>
      </c>
      <c r="B18" s="12" t="str">
        <f>vlookup(A18,'List of Chargers'!$A$2:$B$5,2,FALSE)</f>
        <v>Roam Kiosk</v>
      </c>
      <c r="C18" s="23" t="s">
        <v>73</v>
      </c>
      <c r="D18" s="23" t="s">
        <v>74</v>
      </c>
      <c r="E18" s="23" t="s">
        <v>75</v>
      </c>
      <c r="F18" s="23" t="s">
        <v>105</v>
      </c>
      <c r="G18" s="13" t="str">
        <f t="shared" si="1"/>
        <v>#RK-KE-NBI-A-16</v>
      </c>
      <c r="H18" s="13" t="str">
        <f t="shared" si="2"/>
        <v>#RK-KE-NBI-A-16</v>
      </c>
      <c r="I18" s="25"/>
      <c r="J18" s="31"/>
      <c r="K18" s="31"/>
      <c r="L18" s="26" t="str">
        <f t="shared" si="3"/>
        <v>Roam Kiosk - </v>
      </c>
      <c r="M18" s="26" t="str">
        <f t="shared" si="4"/>
        <v>#RK-KE-NBI-A-16 - Rental Kiosk -  - </v>
      </c>
      <c r="T18" s="30"/>
      <c r="U18" s="30"/>
      <c r="V18" s="30"/>
      <c r="W18" s="30"/>
      <c r="X18" s="30"/>
      <c r="Y18" s="26" t="b">
        <v>0</v>
      </c>
      <c r="Z18" s="26" t="b">
        <v>0</v>
      </c>
    </row>
    <row r="19">
      <c r="A19" s="23" t="s">
        <v>72</v>
      </c>
      <c r="B19" s="12" t="str">
        <f>vlookup(A19,'List of Chargers'!$A$2:$B$5,2,FALSE)</f>
        <v>Roam Kiosk</v>
      </c>
      <c r="C19" s="23" t="s">
        <v>73</v>
      </c>
      <c r="D19" s="23" t="s">
        <v>74</v>
      </c>
      <c r="E19" s="23" t="s">
        <v>75</v>
      </c>
      <c r="F19" s="23" t="s">
        <v>106</v>
      </c>
      <c r="G19" s="13" t="str">
        <f t="shared" si="1"/>
        <v>#RK-KE-NBI-A-17</v>
      </c>
      <c r="H19" s="13" t="str">
        <f t="shared" si="2"/>
        <v>#RK-KE-NBI-A-17</v>
      </c>
      <c r="I19" s="25"/>
      <c r="J19" s="31"/>
      <c r="K19" s="31"/>
      <c r="L19" s="26" t="str">
        <f t="shared" si="3"/>
        <v>Roam Kiosk - </v>
      </c>
      <c r="M19" s="26" t="str">
        <f t="shared" si="4"/>
        <v>#RK-KE-NBI-A-17 - Rental Kiosk -  - </v>
      </c>
      <c r="T19" s="30"/>
      <c r="U19" s="30"/>
      <c r="V19" s="30"/>
      <c r="W19" s="30"/>
      <c r="X19" s="30"/>
      <c r="Y19" s="26" t="b">
        <v>0</v>
      </c>
      <c r="Z19" s="26" t="b">
        <v>0</v>
      </c>
    </row>
    <row r="20">
      <c r="A20" s="23" t="s">
        <v>72</v>
      </c>
      <c r="B20" s="12" t="str">
        <f>vlookup(A20,'List of Chargers'!$A$2:$B$5,2,FALSE)</f>
        <v>Roam Kiosk</v>
      </c>
      <c r="C20" s="23" t="s">
        <v>73</v>
      </c>
      <c r="D20" s="23" t="s">
        <v>74</v>
      </c>
      <c r="E20" s="23" t="s">
        <v>75</v>
      </c>
      <c r="F20" s="23" t="s">
        <v>107</v>
      </c>
      <c r="G20" s="13" t="str">
        <f t="shared" si="1"/>
        <v>#RK-KE-NBI-A-18</v>
      </c>
      <c r="H20" s="13" t="str">
        <f t="shared" si="2"/>
        <v>#RK-KE-NBI-A-18</v>
      </c>
      <c r="I20" s="25"/>
      <c r="J20" s="31"/>
      <c r="K20" s="31"/>
      <c r="L20" s="26" t="str">
        <f t="shared" si="3"/>
        <v>Roam Kiosk - </v>
      </c>
      <c r="M20" s="26" t="str">
        <f t="shared" si="4"/>
        <v>#RK-KE-NBI-A-18 - Rental Kiosk -  - </v>
      </c>
      <c r="T20" s="30"/>
      <c r="U20" s="30"/>
      <c r="V20" s="30"/>
      <c r="W20" s="30"/>
      <c r="X20" s="30"/>
      <c r="Y20" s="26" t="b">
        <v>0</v>
      </c>
      <c r="Z20" s="26" t="b">
        <v>0</v>
      </c>
    </row>
    <row r="21">
      <c r="A21" s="23" t="s">
        <v>72</v>
      </c>
      <c r="B21" s="12" t="str">
        <f>vlookup(A21,'List of Chargers'!$A$2:$B$5,2,FALSE)</f>
        <v>Roam Kiosk</v>
      </c>
      <c r="C21" s="23" t="s">
        <v>73</v>
      </c>
      <c r="D21" s="23" t="s">
        <v>74</v>
      </c>
      <c r="E21" s="23" t="s">
        <v>75</v>
      </c>
      <c r="F21" s="23" t="s">
        <v>108</v>
      </c>
      <c r="G21" s="13" t="str">
        <f t="shared" si="1"/>
        <v>#RK-KE-NBI-A-19</v>
      </c>
      <c r="H21" s="13" t="str">
        <f t="shared" si="2"/>
        <v>#RK-KE-NBI-A-19</v>
      </c>
      <c r="I21" s="25"/>
      <c r="J21" s="31"/>
      <c r="K21" s="31"/>
      <c r="L21" s="26" t="str">
        <f t="shared" si="3"/>
        <v>Roam Kiosk - </v>
      </c>
      <c r="M21" s="26" t="str">
        <f t="shared" si="4"/>
        <v>#RK-KE-NBI-A-19 - Rental Kiosk -  - </v>
      </c>
      <c r="T21" s="30"/>
      <c r="U21" s="30"/>
      <c r="V21" s="30"/>
      <c r="W21" s="30"/>
      <c r="X21" s="30"/>
      <c r="Y21" s="26" t="b">
        <v>0</v>
      </c>
      <c r="Z21" s="26" t="b">
        <v>0</v>
      </c>
    </row>
    <row r="22">
      <c r="A22" s="23" t="s">
        <v>72</v>
      </c>
      <c r="B22" s="12" t="str">
        <f>vlookup(A22,'List of Chargers'!$A$2:$B$5,2,FALSE)</f>
        <v>Roam Kiosk</v>
      </c>
      <c r="C22" s="23" t="s">
        <v>73</v>
      </c>
      <c r="D22" s="23" t="s">
        <v>74</v>
      </c>
      <c r="E22" s="23" t="s">
        <v>75</v>
      </c>
      <c r="F22" s="23" t="s">
        <v>109</v>
      </c>
      <c r="G22" s="13" t="str">
        <f t="shared" si="1"/>
        <v>#RK-KE-NBI-A-20</v>
      </c>
      <c r="H22" s="13" t="str">
        <f t="shared" si="2"/>
        <v>#RK-KE-NBI-A-20</v>
      </c>
      <c r="I22" s="25"/>
      <c r="J22" s="31"/>
      <c r="K22" s="31"/>
      <c r="L22" s="26" t="str">
        <f t="shared" si="3"/>
        <v>Roam Kiosk - </v>
      </c>
      <c r="M22" s="26" t="str">
        <f t="shared" si="4"/>
        <v>#RK-KE-NBI-A-20 - Rental Kiosk -  - </v>
      </c>
      <c r="T22" s="30"/>
      <c r="U22" s="30"/>
      <c r="V22" s="30"/>
      <c r="W22" s="30"/>
      <c r="X22" s="30"/>
      <c r="Y22" s="26" t="b">
        <v>0</v>
      </c>
      <c r="Z22" s="26" t="b">
        <v>0</v>
      </c>
    </row>
    <row r="23">
      <c r="A23" s="23" t="s">
        <v>72</v>
      </c>
      <c r="B23" s="12" t="str">
        <f>vlookup(A23,'List of Chargers'!$A$2:$B$5,2,FALSE)</f>
        <v>Roam Kiosk</v>
      </c>
      <c r="C23" s="23" t="s">
        <v>73</v>
      </c>
      <c r="D23" s="23" t="s">
        <v>74</v>
      </c>
      <c r="E23" s="23" t="s">
        <v>75</v>
      </c>
      <c r="F23" s="23" t="s">
        <v>110</v>
      </c>
      <c r="G23" s="13" t="str">
        <f t="shared" si="1"/>
        <v>#RK-KE-NBI-A-21</v>
      </c>
      <c r="H23" s="13" t="str">
        <f t="shared" si="2"/>
        <v>#RK-KE-NBI-A-21</v>
      </c>
      <c r="I23" s="25"/>
      <c r="J23" s="31"/>
      <c r="K23" s="31"/>
      <c r="L23" s="26" t="str">
        <f t="shared" si="3"/>
        <v>Roam Kiosk - </v>
      </c>
      <c r="M23" s="26" t="str">
        <f t="shared" si="4"/>
        <v>#RK-KE-NBI-A-21 - Rental Kiosk -  - </v>
      </c>
      <c r="T23" s="30"/>
      <c r="U23" s="30"/>
      <c r="V23" s="30"/>
      <c r="W23" s="30"/>
      <c r="X23" s="30"/>
    </row>
    <row r="24">
      <c r="A24" s="23" t="s">
        <v>72</v>
      </c>
      <c r="B24" s="12" t="str">
        <f>vlookup(A24,'List of Chargers'!$A$2:$B$5,2,FALSE)</f>
        <v>Roam Kiosk</v>
      </c>
      <c r="C24" s="23" t="s">
        <v>73</v>
      </c>
      <c r="D24" s="23" t="s">
        <v>74</v>
      </c>
      <c r="E24" s="23" t="s">
        <v>75</v>
      </c>
      <c r="F24" s="23" t="s">
        <v>111</v>
      </c>
      <c r="G24" s="13" t="str">
        <f t="shared" si="1"/>
        <v>#RK-KE-NBI-A-22</v>
      </c>
      <c r="H24" s="13" t="str">
        <f t="shared" si="2"/>
        <v>#RK-KE-NBI-A-22</v>
      </c>
      <c r="I24" s="25"/>
      <c r="J24" s="31"/>
      <c r="K24" s="31"/>
      <c r="L24" s="26" t="str">
        <f t="shared" si="3"/>
        <v>Roam Kiosk - </v>
      </c>
      <c r="M24" s="26" t="str">
        <f t="shared" si="4"/>
        <v>#RK-KE-NBI-A-22 - Rental Kiosk -  - </v>
      </c>
      <c r="T24" s="30"/>
      <c r="U24" s="30"/>
      <c r="V24" s="30"/>
      <c r="W24" s="30"/>
      <c r="X24" s="30"/>
    </row>
    <row r="25">
      <c r="A25" s="23" t="s">
        <v>72</v>
      </c>
      <c r="B25" s="12" t="str">
        <f>vlookup(A25,'List of Chargers'!$A$2:$B$5,2,FALSE)</f>
        <v>Roam Kiosk</v>
      </c>
      <c r="C25" s="23" t="s">
        <v>73</v>
      </c>
      <c r="D25" s="23" t="s">
        <v>74</v>
      </c>
      <c r="E25" s="23" t="s">
        <v>75</v>
      </c>
      <c r="F25" s="23" t="s">
        <v>112</v>
      </c>
      <c r="G25" s="13" t="str">
        <f t="shared" si="1"/>
        <v>#RK-KE-NBI-A-23</v>
      </c>
      <c r="H25" s="13" t="str">
        <f t="shared" si="2"/>
        <v>#RK-KE-NBI-A-23</v>
      </c>
      <c r="I25" s="25"/>
      <c r="J25" s="31"/>
      <c r="K25" s="31"/>
      <c r="L25" s="26" t="str">
        <f t="shared" si="3"/>
        <v>Roam Kiosk - </v>
      </c>
      <c r="M25" s="26" t="str">
        <f t="shared" si="4"/>
        <v>#RK-KE-NBI-A-23 - Rental Kiosk -  - </v>
      </c>
      <c r="T25" s="30"/>
      <c r="U25" s="30"/>
      <c r="V25" s="30"/>
      <c r="W25" s="30"/>
      <c r="X25" s="30"/>
    </row>
    <row r="26">
      <c r="A26" s="23" t="s">
        <v>72</v>
      </c>
      <c r="B26" s="12" t="str">
        <f>vlookup(A26,'List of Chargers'!$A$2:$B$5,2,FALSE)</f>
        <v>Roam Kiosk</v>
      </c>
      <c r="C26" s="23" t="s">
        <v>73</v>
      </c>
      <c r="D26" s="23" t="s">
        <v>74</v>
      </c>
      <c r="E26" s="23" t="s">
        <v>75</v>
      </c>
      <c r="F26" s="23" t="s">
        <v>113</v>
      </c>
      <c r="G26" s="13" t="str">
        <f t="shared" si="1"/>
        <v>#RK-KE-NBI-A-24</v>
      </c>
      <c r="H26" s="13" t="str">
        <f t="shared" si="2"/>
        <v>#RK-KE-NBI-A-24</v>
      </c>
      <c r="I26" s="25"/>
      <c r="J26" s="31"/>
      <c r="K26" s="31"/>
      <c r="L26" s="26" t="str">
        <f t="shared" si="3"/>
        <v>Roam Kiosk - </v>
      </c>
      <c r="M26" s="26" t="str">
        <f t="shared" si="4"/>
        <v>#RK-KE-NBI-A-24 - Rental Kiosk -  - </v>
      </c>
      <c r="T26" s="30"/>
      <c r="U26" s="30"/>
      <c r="V26" s="30"/>
      <c r="W26" s="30"/>
      <c r="X26" s="30"/>
    </row>
    <row r="27">
      <c r="A27" s="23" t="s">
        <v>72</v>
      </c>
      <c r="B27" s="12" t="str">
        <f>vlookup(A27,'List of Chargers'!$A$2:$B$5,2,FALSE)</f>
        <v>Roam Kiosk</v>
      </c>
      <c r="C27" s="23" t="s">
        <v>73</v>
      </c>
      <c r="D27" s="23" t="s">
        <v>74</v>
      </c>
      <c r="E27" s="23" t="s">
        <v>75</v>
      </c>
      <c r="F27" s="23" t="s">
        <v>114</v>
      </c>
      <c r="G27" s="13" t="str">
        <f t="shared" si="1"/>
        <v>#RK-KE-NBI-A-25</v>
      </c>
      <c r="H27" s="13" t="str">
        <f t="shared" si="2"/>
        <v>#RK-KE-NBI-A-25</v>
      </c>
      <c r="I27" s="25"/>
      <c r="J27" s="31"/>
      <c r="K27" s="31"/>
      <c r="L27" s="26" t="str">
        <f t="shared" si="3"/>
        <v>Roam Kiosk - </v>
      </c>
      <c r="M27" s="26" t="str">
        <f t="shared" si="4"/>
        <v>#RK-KE-NBI-A-25 - Rental Kiosk -  - </v>
      </c>
      <c r="T27" s="30"/>
      <c r="U27" s="30"/>
      <c r="V27" s="30"/>
      <c r="W27" s="30"/>
      <c r="X27" s="30"/>
    </row>
    <row r="28">
      <c r="A28" s="23" t="s">
        <v>72</v>
      </c>
      <c r="B28" s="12" t="str">
        <f>vlookup(A28,'List of Chargers'!$A$2:$B$5,2,FALSE)</f>
        <v>Roam Kiosk</v>
      </c>
      <c r="C28" s="23" t="s">
        <v>73</v>
      </c>
      <c r="D28" s="23" t="s">
        <v>74</v>
      </c>
      <c r="E28" s="23" t="s">
        <v>75</v>
      </c>
      <c r="F28" s="23" t="s">
        <v>115</v>
      </c>
      <c r="G28" s="13" t="str">
        <f t="shared" si="1"/>
        <v>#RK-KE-NBI-A-26</v>
      </c>
      <c r="H28" s="13" t="str">
        <f t="shared" si="2"/>
        <v>#RK-KE-NBI-A-26</v>
      </c>
      <c r="I28" s="25"/>
      <c r="J28" s="31"/>
      <c r="K28" s="31"/>
      <c r="L28" s="26" t="str">
        <f t="shared" si="3"/>
        <v>Roam Kiosk - </v>
      </c>
      <c r="M28" s="26" t="str">
        <f t="shared" si="4"/>
        <v>#RK-KE-NBI-A-26 - Rental Kiosk -  - </v>
      </c>
      <c r="T28" s="30"/>
      <c r="U28" s="30"/>
      <c r="V28" s="30"/>
      <c r="W28" s="30"/>
      <c r="X28" s="30"/>
    </row>
    <row r="29">
      <c r="A29" s="23" t="s">
        <v>72</v>
      </c>
      <c r="B29" s="12" t="str">
        <f>vlookup(A29,'List of Chargers'!$A$2:$B$5,2,FALSE)</f>
        <v>Roam Kiosk</v>
      </c>
      <c r="C29" s="23" t="s">
        <v>73</v>
      </c>
      <c r="D29" s="23" t="s">
        <v>74</v>
      </c>
      <c r="E29" s="23" t="s">
        <v>75</v>
      </c>
      <c r="F29" s="23" t="s">
        <v>116</v>
      </c>
      <c r="G29" s="13" t="str">
        <f t="shared" si="1"/>
        <v>#RK-KE-NBI-A-27</v>
      </c>
      <c r="H29" s="13" t="str">
        <f t="shared" si="2"/>
        <v>#RK-KE-NBI-A-27</v>
      </c>
      <c r="I29" s="25"/>
      <c r="J29" s="31"/>
      <c r="K29" s="31"/>
      <c r="L29" s="26" t="str">
        <f t="shared" si="3"/>
        <v>Roam Kiosk - </v>
      </c>
      <c r="M29" s="26" t="str">
        <f t="shared" si="4"/>
        <v>#RK-KE-NBI-A-27 - Rental Kiosk -  - </v>
      </c>
      <c r="T29" s="30"/>
      <c r="U29" s="30"/>
      <c r="V29" s="30"/>
      <c r="W29" s="30"/>
      <c r="X29" s="30"/>
    </row>
    <row r="30">
      <c r="A30" s="23" t="s">
        <v>72</v>
      </c>
      <c r="B30" s="12" t="str">
        <f>vlookup(A30,'List of Chargers'!$A$2:$B$5,2,FALSE)</f>
        <v>Roam Kiosk</v>
      </c>
      <c r="C30" s="23" t="s">
        <v>73</v>
      </c>
      <c r="D30" s="23" t="s">
        <v>74</v>
      </c>
      <c r="E30" s="23" t="s">
        <v>75</v>
      </c>
      <c r="F30" s="23" t="s">
        <v>117</v>
      </c>
      <c r="G30" s="13" t="str">
        <f t="shared" si="1"/>
        <v>#RK-KE-NBI-A-28</v>
      </c>
      <c r="H30" s="13" t="str">
        <f t="shared" si="2"/>
        <v>#RK-KE-NBI-A-28</v>
      </c>
      <c r="I30" s="25"/>
      <c r="J30" s="31"/>
      <c r="K30" s="31"/>
      <c r="L30" s="26" t="str">
        <f t="shared" si="3"/>
        <v>Roam Kiosk - </v>
      </c>
      <c r="M30" s="26" t="str">
        <f t="shared" si="4"/>
        <v>#RK-KE-NBI-A-28 - Rental Kiosk -  - </v>
      </c>
      <c r="T30" s="30"/>
      <c r="U30" s="30"/>
      <c r="V30" s="30"/>
      <c r="W30" s="30"/>
      <c r="X30" s="30"/>
    </row>
    <row r="31">
      <c r="A31" s="23" t="s">
        <v>72</v>
      </c>
      <c r="B31" s="12" t="str">
        <f>vlookup(A31,'List of Chargers'!$A$2:$B$5,2,FALSE)</f>
        <v>Roam Kiosk</v>
      </c>
      <c r="C31" s="23" t="s">
        <v>73</v>
      </c>
      <c r="D31" s="23" t="s">
        <v>74</v>
      </c>
      <c r="E31" s="23" t="s">
        <v>75</v>
      </c>
      <c r="F31" s="23" t="s">
        <v>118</v>
      </c>
      <c r="G31" s="13" t="str">
        <f t="shared" si="1"/>
        <v>#RK-KE-NBI-A-29</v>
      </c>
      <c r="H31" s="13" t="str">
        <f t="shared" si="2"/>
        <v>#RK-KE-NBI-A-29</v>
      </c>
      <c r="I31" s="25"/>
      <c r="J31" s="31"/>
      <c r="K31" s="31"/>
      <c r="L31" s="26" t="str">
        <f t="shared" si="3"/>
        <v>Roam Kiosk - </v>
      </c>
      <c r="M31" s="26" t="str">
        <f t="shared" si="4"/>
        <v>#RK-KE-NBI-A-29 - Rental Kiosk -  - </v>
      </c>
      <c r="T31" s="30"/>
      <c r="U31" s="30"/>
      <c r="V31" s="30"/>
      <c r="W31" s="30"/>
      <c r="X31" s="30"/>
    </row>
    <row r="32">
      <c r="A32" s="23" t="s">
        <v>72</v>
      </c>
      <c r="B32" s="12" t="str">
        <f>vlookup(A32,'List of Chargers'!$A$2:$B$5,2,FALSE)</f>
        <v>Roam Kiosk</v>
      </c>
      <c r="C32" s="23" t="s">
        <v>73</v>
      </c>
      <c r="D32" s="23" t="s">
        <v>74</v>
      </c>
      <c r="E32" s="23" t="s">
        <v>75</v>
      </c>
      <c r="F32" s="23" t="s">
        <v>119</v>
      </c>
      <c r="G32" s="13" t="str">
        <f t="shared" si="1"/>
        <v>#RK-KE-NBI-A-30</v>
      </c>
      <c r="H32" s="13" t="str">
        <f t="shared" si="2"/>
        <v>#RK-KE-NBI-A-30</v>
      </c>
      <c r="I32" s="25"/>
      <c r="J32" s="31"/>
      <c r="K32" s="31"/>
      <c r="L32" s="26" t="str">
        <f t="shared" si="3"/>
        <v>Roam Kiosk - </v>
      </c>
      <c r="M32" s="26" t="str">
        <f t="shared" si="4"/>
        <v>#RK-KE-NBI-A-30 - Rental Kiosk -  - </v>
      </c>
      <c r="T32" s="30"/>
      <c r="U32" s="30"/>
      <c r="V32" s="30"/>
      <c r="W32" s="30"/>
      <c r="X32" s="30"/>
    </row>
    <row r="33">
      <c r="A33" s="23" t="s">
        <v>72</v>
      </c>
      <c r="B33" s="12" t="str">
        <f>vlookup(A33,'List of Chargers'!$A$2:$B$5,2,FALSE)</f>
        <v>Roam Kiosk</v>
      </c>
      <c r="C33" s="23" t="s">
        <v>73</v>
      </c>
      <c r="D33" s="23" t="s">
        <v>74</v>
      </c>
      <c r="E33" s="23" t="s">
        <v>75</v>
      </c>
      <c r="F33" s="23" t="s">
        <v>120</v>
      </c>
      <c r="G33" s="13" t="str">
        <f t="shared" si="1"/>
        <v>#RK-KE-NBI-A-31</v>
      </c>
      <c r="H33" s="13" t="str">
        <f t="shared" si="2"/>
        <v>#RK-KE-NBI-A-31</v>
      </c>
      <c r="I33" s="25"/>
      <c r="J33" s="31"/>
      <c r="K33" s="31"/>
      <c r="L33" s="26" t="str">
        <f t="shared" si="3"/>
        <v>Roam Kiosk - </v>
      </c>
      <c r="M33" s="26" t="str">
        <f t="shared" si="4"/>
        <v>#RK-KE-NBI-A-31 - Rental Kiosk -  - </v>
      </c>
      <c r="T33" s="30"/>
      <c r="U33" s="30"/>
      <c r="V33" s="30"/>
      <c r="W33" s="30"/>
      <c r="X33" s="30"/>
    </row>
    <row r="34">
      <c r="A34" s="23" t="s">
        <v>72</v>
      </c>
      <c r="B34" s="12" t="str">
        <f>vlookup(A34,'List of Chargers'!$A$2:$B$5,2,FALSE)</f>
        <v>Roam Kiosk</v>
      </c>
      <c r="C34" s="23" t="s">
        <v>73</v>
      </c>
      <c r="D34" s="23" t="s">
        <v>74</v>
      </c>
      <c r="E34" s="23" t="s">
        <v>75</v>
      </c>
      <c r="F34" s="23" t="s">
        <v>121</v>
      </c>
      <c r="G34" s="13" t="str">
        <f t="shared" si="1"/>
        <v>#RK-KE-NBI-A-32</v>
      </c>
      <c r="H34" s="13" t="str">
        <f t="shared" si="2"/>
        <v>#RK-KE-NBI-A-32</v>
      </c>
      <c r="I34" s="25"/>
      <c r="J34" s="31"/>
      <c r="K34" s="31"/>
      <c r="L34" s="26" t="str">
        <f t="shared" si="3"/>
        <v>Roam Kiosk - </v>
      </c>
      <c r="M34" s="26" t="str">
        <f t="shared" si="4"/>
        <v>#RK-KE-NBI-A-32 - Rental Kiosk -  - </v>
      </c>
      <c r="T34" s="30"/>
      <c r="U34" s="30"/>
      <c r="V34" s="30"/>
      <c r="W34" s="30"/>
      <c r="X34" s="30"/>
    </row>
    <row r="35">
      <c r="A35" s="23" t="s">
        <v>72</v>
      </c>
      <c r="B35" s="12" t="str">
        <f>vlookup(A35,'List of Chargers'!$A$2:$B$5,2,FALSE)</f>
        <v>Roam Kiosk</v>
      </c>
      <c r="C35" s="23" t="s">
        <v>73</v>
      </c>
      <c r="D35" s="23" t="s">
        <v>74</v>
      </c>
      <c r="E35" s="23" t="s">
        <v>75</v>
      </c>
      <c r="F35" s="23" t="s">
        <v>122</v>
      </c>
      <c r="G35" s="13" t="str">
        <f t="shared" si="1"/>
        <v>#RK-KE-NBI-A-33</v>
      </c>
      <c r="H35" s="13" t="str">
        <f t="shared" si="2"/>
        <v>#RK-KE-NBI-A-33</v>
      </c>
      <c r="I35" s="25"/>
      <c r="J35" s="31"/>
      <c r="K35" s="31"/>
      <c r="L35" s="26" t="str">
        <f t="shared" si="3"/>
        <v>Roam Kiosk - </v>
      </c>
      <c r="M35" s="26" t="str">
        <f t="shared" si="4"/>
        <v>#RK-KE-NBI-A-33 - Rental Kiosk -  - </v>
      </c>
      <c r="T35" s="30"/>
      <c r="U35" s="30"/>
      <c r="V35" s="30"/>
      <c r="W35" s="30"/>
      <c r="X35" s="30"/>
    </row>
    <row r="36">
      <c r="A36" s="30"/>
      <c r="B36" s="30"/>
      <c r="C36" s="30"/>
      <c r="D36" s="30"/>
      <c r="E36" s="30"/>
      <c r="F36" s="30"/>
      <c r="I36" s="25"/>
      <c r="T36" s="30"/>
      <c r="U36" s="30"/>
      <c r="V36" s="30"/>
      <c r="W36" s="30"/>
      <c r="X36" s="30"/>
    </row>
    <row r="37">
      <c r="A37" s="30"/>
      <c r="B37" s="30"/>
      <c r="C37" s="30"/>
      <c r="D37" s="30"/>
      <c r="E37" s="30"/>
      <c r="F37" s="30"/>
      <c r="I37" s="25"/>
      <c r="T37" s="30"/>
      <c r="U37" s="30"/>
      <c r="V37" s="30"/>
      <c r="W37" s="30"/>
      <c r="X37" s="30"/>
    </row>
    <row r="38">
      <c r="A38" s="30"/>
      <c r="B38" s="30"/>
      <c r="C38" s="30"/>
      <c r="D38" s="30"/>
      <c r="E38" s="30"/>
      <c r="F38" s="30"/>
      <c r="I38" s="25"/>
      <c r="T38" s="30"/>
      <c r="U38" s="30"/>
      <c r="V38" s="30"/>
      <c r="W38" s="30"/>
      <c r="X38" s="30"/>
    </row>
    <row r="39">
      <c r="A39" s="30"/>
      <c r="B39" s="30"/>
      <c r="C39" s="30"/>
      <c r="D39" s="30"/>
      <c r="E39" s="30"/>
      <c r="F39" s="30"/>
      <c r="I39" s="25"/>
      <c r="T39" s="30"/>
      <c r="U39" s="30"/>
      <c r="V39" s="30"/>
      <c r="W39" s="30"/>
      <c r="X39" s="30"/>
    </row>
    <row r="40">
      <c r="A40" s="30"/>
      <c r="B40" s="30"/>
      <c r="C40" s="30"/>
      <c r="D40" s="30"/>
      <c r="E40" s="30"/>
      <c r="F40" s="30"/>
      <c r="I40" s="25"/>
      <c r="T40" s="30"/>
      <c r="U40" s="30"/>
      <c r="V40" s="30"/>
      <c r="W40" s="30"/>
      <c r="X40" s="30"/>
    </row>
    <row r="41">
      <c r="A41" s="30"/>
      <c r="B41" s="30"/>
      <c r="C41" s="30"/>
      <c r="D41" s="30"/>
      <c r="E41" s="30"/>
      <c r="F41" s="30"/>
      <c r="I41" s="25"/>
      <c r="T41" s="30"/>
      <c r="U41" s="30"/>
      <c r="V41" s="30"/>
      <c r="W41" s="30"/>
      <c r="X41" s="30"/>
    </row>
    <row r="42">
      <c r="A42" s="30"/>
      <c r="B42" s="30"/>
      <c r="C42" s="30"/>
      <c r="D42" s="30"/>
      <c r="E42" s="30"/>
      <c r="F42" s="30"/>
      <c r="I42" s="25"/>
      <c r="T42" s="30"/>
      <c r="U42" s="30"/>
      <c r="V42" s="30"/>
      <c r="W42" s="30"/>
      <c r="X42" s="30"/>
    </row>
    <row r="43">
      <c r="A43" s="30"/>
      <c r="B43" s="30"/>
      <c r="C43" s="30"/>
      <c r="D43" s="30"/>
      <c r="E43" s="30"/>
      <c r="F43" s="30"/>
      <c r="I43" s="25"/>
      <c r="T43" s="30"/>
      <c r="U43" s="30"/>
      <c r="V43" s="30"/>
      <c r="W43" s="30"/>
      <c r="X43" s="30"/>
    </row>
    <row r="44">
      <c r="A44" s="30"/>
      <c r="B44" s="30"/>
      <c r="C44" s="30"/>
      <c r="D44" s="30"/>
      <c r="E44" s="30"/>
      <c r="F44" s="30"/>
      <c r="I44" s="25"/>
      <c r="T44" s="30"/>
      <c r="U44" s="30"/>
      <c r="V44" s="30"/>
      <c r="W44" s="30"/>
      <c r="X44" s="30"/>
    </row>
    <row r="45">
      <c r="A45" s="30"/>
      <c r="B45" s="30"/>
      <c r="C45" s="30"/>
      <c r="D45" s="30"/>
      <c r="E45" s="30"/>
      <c r="F45" s="30"/>
      <c r="I45" s="25"/>
      <c r="T45" s="30"/>
      <c r="U45" s="30"/>
      <c r="V45" s="30"/>
      <c r="W45" s="30"/>
      <c r="X45" s="30"/>
    </row>
    <row r="46">
      <c r="A46" s="30"/>
      <c r="B46" s="30"/>
      <c r="C46" s="30"/>
      <c r="D46" s="30"/>
      <c r="E46" s="30"/>
      <c r="F46" s="30"/>
      <c r="I46" s="25"/>
      <c r="T46" s="30"/>
      <c r="U46" s="30"/>
      <c r="V46" s="30"/>
      <c r="W46" s="30"/>
      <c r="X46" s="30"/>
    </row>
    <row r="47">
      <c r="A47" s="30"/>
      <c r="B47" s="30"/>
      <c r="C47" s="30"/>
      <c r="D47" s="30"/>
      <c r="E47" s="30"/>
      <c r="F47" s="30"/>
      <c r="I47" s="25"/>
      <c r="T47" s="30"/>
      <c r="U47" s="30"/>
      <c r="V47" s="30"/>
      <c r="W47" s="30"/>
      <c r="X47" s="30"/>
    </row>
    <row r="48">
      <c r="A48" s="30"/>
      <c r="B48" s="30"/>
      <c r="C48" s="30"/>
      <c r="D48" s="30"/>
      <c r="E48" s="30"/>
      <c r="F48" s="30"/>
      <c r="I48" s="25"/>
      <c r="T48" s="30"/>
      <c r="U48" s="30"/>
      <c r="V48" s="30"/>
      <c r="W48" s="30"/>
      <c r="X48" s="30"/>
    </row>
    <row r="49">
      <c r="A49" s="30"/>
      <c r="B49" s="30"/>
      <c r="C49" s="30"/>
      <c r="D49" s="30"/>
      <c r="E49" s="30"/>
      <c r="F49" s="30"/>
      <c r="I49" s="25"/>
      <c r="T49" s="30"/>
      <c r="U49" s="30"/>
      <c r="V49" s="30"/>
      <c r="W49" s="30"/>
      <c r="X49" s="30"/>
    </row>
    <row r="50">
      <c r="A50" s="30"/>
      <c r="B50" s="30"/>
      <c r="C50" s="30"/>
      <c r="D50" s="30"/>
      <c r="E50" s="30"/>
      <c r="F50" s="30"/>
      <c r="I50" s="25"/>
      <c r="T50" s="30"/>
      <c r="U50" s="30"/>
      <c r="V50" s="30"/>
      <c r="W50" s="30"/>
      <c r="X50" s="30"/>
    </row>
    <row r="51">
      <c r="A51" s="30"/>
      <c r="B51" s="30"/>
      <c r="C51" s="30"/>
      <c r="D51" s="30"/>
      <c r="E51" s="30"/>
      <c r="F51" s="30"/>
      <c r="I51" s="25"/>
      <c r="T51" s="30"/>
      <c r="U51" s="30"/>
      <c r="V51" s="30"/>
      <c r="W51" s="30"/>
      <c r="X51" s="30"/>
    </row>
    <row r="52">
      <c r="A52" s="30"/>
      <c r="B52" s="30"/>
      <c r="C52" s="30"/>
      <c r="D52" s="30"/>
      <c r="E52" s="30"/>
      <c r="F52" s="30"/>
      <c r="I52" s="25"/>
      <c r="T52" s="30"/>
      <c r="U52" s="30"/>
      <c r="V52" s="30"/>
      <c r="W52" s="30"/>
      <c r="X52" s="30"/>
    </row>
    <row r="53">
      <c r="A53" s="30"/>
      <c r="B53" s="30"/>
      <c r="C53" s="30"/>
      <c r="D53" s="30"/>
      <c r="E53" s="30"/>
      <c r="F53" s="30"/>
      <c r="I53" s="25"/>
      <c r="T53" s="30"/>
      <c r="U53" s="30"/>
      <c r="V53" s="30"/>
      <c r="W53" s="30"/>
      <c r="X53" s="30"/>
    </row>
    <row r="54">
      <c r="A54" s="30"/>
      <c r="B54" s="30"/>
      <c r="C54" s="30"/>
      <c r="D54" s="30"/>
      <c r="E54" s="30"/>
      <c r="F54" s="30"/>
      <c r="I54" s="25"/>
      <c r="T54" s="30"/>
      <c r="U54" s="30"/>
      <c r="V54" s="30"/>
      <c r="W54" s="30"/>
      <c r="X54" s="30"/>
    </row>
    <row r="55">
      <c r="A55" s="30"/>
      <c r="B55" s="30"/>
      <c r="C55" s="30"/>
      <c r="D55" s="30"/>
      <c r="E55" s="30"/>
      <c r="F55" s="30"/>
      <c r="I55" s="25"/>
      <c r="T55" s="30"/>
      <c r="U55" s="30"/>
      <c r="V55" s="30"/>
      <c r="W55" s="30"/>
      <c r="X55" s="30"/>
    </row>
    <row r="56">
      <c r="A56" s="30"/>
      <c r="B56" s="30"/>
      <c r="C56" s="30"/>
      <c r="D56" s="30"/>
      <c r="E56" s="30"/>
      <c r="F56" s="30"/>
      <c r="I56" s="25"/>
      <c r="T56" s="30"/>
      <c r="U56" s="30"/>
      <c r="V56" s="30"/>
      <c r="W56" s="30"/>
      <c r="X56" s="30"/>
    </row>
    <row r="57">
      <c r="A57" s="30"/>
      <c r="B57" s="30"/>
      <c r="C57" s="30"/>
      <c r="D57" s="30"/>
      <c r="E57" s="30"/>
      <c r="F57" s="30"/>
      <c r="I57" s="25"/>
      <c r="T57" s="30"/>
      <c r="U57" s="30"/>
      <c r="V57" s="30"/>
      <c r="W57" s="30"/>
      <c r="X57" s="30"/>
    </row>
    <row r="58">
      <c r="A58" s="30"/>
      <c r="B58" s="30"/>
      <c r="C58" s="30"/>
      <c r="D58" s="30"/>
      <c r="E58" s="30"/>
      <c r="F58" s="30"/>
      <c r="I58" s="25"/>
      <c r="T58" s="30"/>
      <c r="U58" s="30"/>
      <c r="V58" s="30"/>
      <c r="W58" s="30"/>
      <c r="X58" s="30"/>
    </row>
    <row r="59">
      <c r="A59" s="30"/>
      <c r="B59" s="30"/>
      <c r="C59" s="30"/>
      <c r="D59" s="30"/>
      <c r="E59" s="30"/>
      <c r="F59" s="30"/>
      <c r="I59" s="25"/>
      <c r="T59" s="30"/>
      <c r="U59" s="30"/>
      <c r="V59" s="30"/>
      <c r="W59" s="30"/>
      <c r="X59" s="30"/>
    </row>
    <row r="60">
      <c r="A60" s="30"/>
      <c r="B60" s="30"/>
      <c r="C60" s="30"/>
      <c r="D60" s="30"/>
      <c r="E60" s="30"/>
      <c r="F60" s="30"/>
      <c r="I60" s="25"/>
      <c r="T60" s="30"/>
      <c r="U60" s="30"/>
      <c r="V60" s="30"/>
      <c r="W60" s="30"/>
      <c r="X60" s="30"/>
    </row>
    <row r="61">
      <c r="A61" s="30"/>
      <c r="B61" s="30"/>
      <c r="C61" s="30"/>
      <c r="D61" s="30"/>
      <c r="E61" s="30"/>
      <c r="F61" s="30"/>
      <c r="I61" s="25"/>
      <c r="T61" s="30"/>
      <c r="U61" s="30"/>
      <c r="V61" s="30"/>
      <c r="W61" s="30"/>
      <c r="X61" s="30"/>
    </row>
    <row r="62">
      <c r="A62" s="30"/>
      <c r="B62" s="30"/>
      <c r="C62" s="30"/>
      <c r="D62" s="30"/>
      <c r="E62" s="30"/>
      <c r="F62" s="30"/>
      <c r="I62" s="25"/>
      <c r="T62" s="30"/>
      <c r="U62" s="30"/>
      <c r="V62" s="30"/>
      <c r="W62" s="30"/>
      <c r="X62" s="30"/>
    </row>
    <row r="63">
      <c r="A63" s="30"/>
      <c r="B63" s="30"/>
      <c r="C63" s="30"/>
      <c r="D63" s="30"/>
      <c r="E63" s="30"/>
      <c r="F63" s="30"/>
      <c r="I63" s="25"/>
      <c r="T63" s="30"/>
      <c r="U63" s="30"/>
      <c r="V63" s="30"/>
      <c r="W63" s="30"/>
      <c r="X63" s="30"/>
    </row>
    <row r="64">
      <c r="A64" s="30"/>
      <c r="B64" s="30"/>
      <c r="C64" s="30"/>
      <c r="D64" s="30"/>
      <c r="E64" s="30"/>
      <c r="F64" s="30"/>
      <c r="I64" s="25"/>
      <c r="T64" s="30"/>
      <c r="U64" s="30"/>
      <c r="V64" s="30"/>
      <c r="W64" s="30"/>
      <c r="X64" s="30"/>
    </row>
    <row r="65">
      <c r="A65" s="30"/>
      <c r="B65" s="30"/>
      <c r="C65" s="30"/>
      <c r="D65" s="30"/>
      <c r="E65" s="30"/>
      <c r="F65" s="30"/>
      <c r="I65" s="25"/>
      <c r="T65" s="30"/>
      <c r="U65" s="30"/>
      <c r="V65" s="30"/>
      <c r="W65" s="30"/>
      <c r="X65" s="30"/>
    </row>
    <row r="66">
      <c r="A66" s="30"/>
      <c r="B66" s="30"/>
      <c r="C66" s="30"/>
      <c r="D66" s="30"/>
      <c r="E66" s="30"/>
      <c r="F66" s="30"/>
      <c r="I66" s="25"/>
      <c r="T66" s="30"/>
      <c r="U66" s="30"/>
      <c r="V66" s="30"/>
      <c r="W66" s="30"/>
      <c r="X66" s="30"/>
    </row>
    <row r="67">
      <c r="A67" s="30"/>
      <c r="B67" s="30"/>
      <c r="C67" s="30"/>
      <c r="D67" s="30"/>
      <c r="E67" s="30"/>
      <c r="F67" s="30"/>
      <c r="I67" s="25"/>
      <c r="T67" s="30"/>
      <c r="U67" s="30"/>
      <c r="V67" s="30"/>
      <c r="W67" s="30"/>
      <c r="X67" s="30"/>
    </row>
    <row r="68">
      <c r="A68" s="30"/>
      <c r="B68" s="30"/>
      <c r="C68" s="30"/>
      <c r="D68" s="30"/>
      <c r="E68" s="30"/>
      <c r="F68" s="30"/>
      <c r="I68" s="25"/>
      <c r="T68" s="30"/>
      <c r="U68" s="30"/>
      <c r="V68" s="30"/>
      <c r="W68" s="30"/>
      <c r="X68" s="30"/>
    </row>
    <row r="69">
      <c r="A69" s="30"/>
      <c r="B69" s="30"/>
      <c r="C69" s="30"/>
      <c r="D69" s="30"/>
      <c r="E69" s="30"/>
      <c r="F69" s="30"/>
      <c r="I69" s="25"/>
      <c r="T69" s="30"/>
      <c r="U69" s="30"/>
      <c r="V69" s="30"/>
      <c r="W69" s="30"/>
      <c r="X69" s="30"/>
    </row>
    <row r="70">
      <c r="A70" s="30"/>
      <c r="B70" s="30"/>
      <c r="C70" s="30"/>
      <c r="D70" s="30"/>
      <c r="E70" s="30"/>
      <c r="F70" s="30"/>
      <c r="I70" s="25"/>
      <c r="T70" s="30"/>
      <c r="U70" s="30"/>
      <c r="V70" s="30"/>
      <c r="W70" s="30"/>
      <c r="X70" s="30"/>
    </row>
    <row r="71">
      <c r="A71" s="30"/>
      <c r="B71" s="30"/>
      <c r="C71" s="30"/>
      <c r="D71" s="30"/>
      <c r="E71" s="30"/>
      <c r="F71" s="30"/>
      <c r="I71" s="25"/>
      <c r="T71" s="30"/>
      <c r="U71" s="30"/>
      <c r="V71" s="30"/>
      <c r="W71" s="30"/>
      <c r="X71" s="30"/>
    </row>
    <row r="72">
      <c r="A72" s="30"/>
      <c r="B72" s="30"/>
      <c r="C72" s="30"/>
      <c r="D72" s="30"/>
      <c r="E72" s="30"/>
      <c r="F72" s="30"/>
      <c r="I72" s="25"/>
      <c r="T72" s="30"/>
      <c r="U72" s="30"/>
      <c r="V72" s="30"/>
      <c r="W72" s="30"/>
      <c r="X72" s="30"/>
    </row>
    <row r="73">
      <c r="A73" s="30"/>
      <c r="B73" s="30"/>
      <c r="C73" s="30"/>
      <c r="D73" s="30"/>
      <c r="E73" s="30"/>
      <c r="F73" s="30"/>
      <c r="I73" s="25"/>
      <c r="T73" s="30"/>
      <c r="U73" s="30"/>
      <c r="V73" s="30"/>
      <c r="W73" s="30"/>
      <c r="X73" s="30"/>
    </row>
    <row r="74">
      <c r="A74" s="30"/>
      <c r="B74" s="30"/>
      <c r="C74" s="30"/>
      <c r="D74" s="30"/>
      <c r="E74" s="30"/>
      <c r="F74" s="30"/>
      <c r="I74" s="25"/>
      <c r="T74" s="30"/>
      <c r="U74" s="30"/>
      <c r="V74" s="30"/>
      <c r="W74" s="30"/>
      <c r="X74" s="30"/>
    </row>
    <row r="75">
      <c r="A75" s="30"/>
      <c r="B75" s="30"/>
      <c r="C75" s="30"/>
      <c r="D75" s="30"/>
      <c r="E75" s="30"/>
      <c r="F75" s="30"/>
      <c r="I75" s="25"/>
      <c r="T75" s="30"/>
      <c r="U75" s="30"/>
      <c r="V75" s="30"/>
      <c r="W75" s="30"/>
      <c r="X75" s="30"/>
    </row>
    <row r="76">
      <c r="A76" s="30"/>
      <c r="B76" s="30"/>
      <c r="C76" s="30"/>
      <c r="D76" s="30"/>
      <c r="E76" s="30"/>
      <c r="F76" s="30"/>
      <c r="I76" s="25"/>
      <c r="T76" s="30"/>
      <c r="U76" s="30"/>
      <c r="V76" s="30"/>
      <c r="W76" s="30"/>
      <c r="X76" s="30"/>
    </row>
    <row r="77">
      <c r="A77" s="30"/>
      <c r="B77" s="30"/>
      <c r="C77" s="30"/>
      <c r="D77" s="30"/>
      <c r="E77" s="30"/>
      <c r="F77" s="30"/>
      <c r="I77" s="25"/>
      <c r="T77" s="30"/>
      <c r="U77" s="30"/>
      <c r="V77" s="30"/>
      <c r="W77" s="30"/>
      <c r="X77" s="30"/>
    </row>
    <row r="78">
      <c r="A78" s="30"/>
      <c r="B78" s="30"/>
      <c r="C78" s="30"/>
      <c r="D78" s="30"/>
      <c r="E78" s="30"/>
      <c r="F78" s="30"/>
      <c r="I78" s="25"/>
      <c r="T78" s="30"/>
      <c r="U78" s="30"/>
      <c r="V78" s="30"/>
      <c r="W78" s="30"/>
      <c r="X78" s="30"/>
    </row>
    <row r="79">
      <c r="A79" s="30"/>
      <c r="B79" s="30"/>
      <c r="C79" s="30"/>
      <c r="D79" s="30"/>
      <c r="E79" s="30"/>
      <c r="F79" s="30"/>
      <c r="I79" s="25"/>
      <c r="T79" s="30"/>
      <c r="U79" s="30"/>
      <c r="V79" s="30"/>
      <c r="W79" s="30"/>
      <c r="X79" s="30"/>
    </row>
    <row r="80">
      <c r="A80" s="30"/>
      <c r="B80" s="30"/>
      <c r="C80" s="30"/>
      <c r="D80" s="30"/>
      <c r="E80" s="30"/>
      <c r="F80" s="30"/>
      <c r="I80" s="25"/>
      <c r="T80" s="30"/>
      <c r="U80" s="30"/>
      <c r="V80" s="30"/>
      <c r="W80" s="30"/>
      <c r="X80" s="30"/>
    </row>
    <row r="81">
      <c r="A81" s="30"/>
      <c r="B81" s="30"/>
      <c r="C81" s="30"/>
      <c r="D81" s="30"/>
      <c r="E81" s="30"/>
      <c r="F81" s="30"/>
      <c r="I81" s="25"/>
      <c r="T81" s="30"/>
      <c r="U81" s="30"/>
      <c r="V81" s="30"/>
      <c r="W81" s="30"/>
      <c r="X81" s="30"/>
    </row>
    <row r="82">
      <c r="A82" s="30"/>
      <c r="B82" s="30"/>
      <c r="C82" s="30"/>
      <c r="D82" s="30"/>
      <c r="E82" s="30"/>
      <c r="F82" s="30"/>
      <c r="I82" s="25"/>
      <c r="T82" s="30"/>
      <c r="U82" s="30"/>
      <c r="V82" s="30"/>
      <c r="W82" s="30"/>
      <c r="X82" s="30"/>
    </row>
    <row r="83">
      <c r="A83" s="30"/>
      <c r="B83" s="30"/>
      <c r="C83" s="30"/>
      <c r="D83" s="30"/>
      <c r="E83" s="30"/>
      <c r="F83" s="30"/>
      <c r="I83" s="25"/>
      <c r="T83" s="30"/>
      <c r="U83" s="30"/>
      <c r="V83" s="30"/>
      <c r="W83" s="30"/>
      <c r="X83" s="30"/>
    </row>
    <row r="84">
      <c r="A84" s="30"/>
      <c r="B84" s="30"/>
      <c r="C84" s="30"/>
      <c r="D84" s="30"/>
      <c r="E84" s="30"/>
      <c r="F84" s="30"/>
      <c r="I84" s="25"/>
      <c r="T84" s="30"/>
      <c r="U84" s="30"/>
      <c r="V84" s="30"/>
      <c r="W84" s="30"/>
      <c r="X84" s="30"/>
    </row>
    <row r="85">
      <c r="A85" s="30"/>
      <c r="B85" s="30"/>
      <c r="C85" s="30"/>
      <c r="D85" s="30"/>
      <c r="E85" s="30"/>
      <c r="F85" s="30"/>
      <c r="I85" s="25"/>
      <c r="T85" s="30"/>
      <c r="U85" s="30"/>
      <c r="V85" s="30"/>
      <c r="W85" s="30"/>
      <c r="X85" s="30"/>
    </row>
    <row r="86">
      <c r="A86" s="30"/>
      <c r="B86" s="30"/>
      <c r="C86" s="30"/>
      <c r="D86" s="30"/>
      <c r="E86" s="30"/>
      <c r="F86" s="30"/>
      <c r="I86" s="25"/>
      <c r="T86" s="30"/>
      <c r="U86" s="30"/>
      <c r="V86" s="30"/>
      <c r="W86" s="30"/>
      <c r="X86" s="30"/>
    </row>
    <row r="87">
      <c r="A87" s="30"/>
      <c r="B87" s="30"/>
      <c r="C87" s="30"/>
      <c r="D87" s="30"/>
      <c r="E87" s="30"/>
      <c r="F87" s="30"/>
      <c r="I87" s="25"/>
      <c r="T87" s="30"/>
      <c r="U87" s="30"/>
      <c r="V87" s="30"/>
      <c r="W87" s="30"/>
      <c r="X87" s="30"/>
    </row>
    <row r="88">
      <c r="A88" s="30"/>
      <c r="B88" s="30"/>
      <c r="C88" s="30"/>
      <c r="D88" s="30"/>
      <c r="E88" s="30"/>
      <c r="F88" s="30"/>
      <c r="I88" s="25"/>
      <c r="T88" s="30"/>
      <c r="U88" s="30"/>
      <c r="V88" s="30"/>
      <c r="W88" s="30"/>
      <c r="X88" s="30"/>
    </row>
    <row r="89">
      <c r="A89" s="30"/>
      <c r="B89" s="30"/>
      <c r="C89" s="30"/>
      <c r="D89" s="30"/>
      <c r="E89" s="30"/>
      <c r="F89" s="30"/>
      <c r="I89" s="25"/>
      <c r="T89" s="30"/>
      <c r="U89" s="30"/>
      <c r="V89" s="30"/>
      <c r="W89" s="30"/>
      <c r="X89" s="30"/>
    </row>
    <row r="90">
      <c r="A90" s="30"/>
      <c r="B90" s="30"/>
      <c r="C90" s="30"/>
      <c r="D90" s="30"/>
      <c r="E90" s="30"/>
      <c r="F90" s="30"/>
      <c r="I90" s="25"/>
      <c r="T90" s="30"/>
      <c r="U90" s="30"/>
      <c r="V90" s="30"/>
      <c r="W90" s="30"/>
      <c r="X90" s="30"/>
    </row>
    <row r="91">
      <c r="A91" s="30"/>
      <c r="B91" s="30"/>
      <c r="C91" s="30"/>
      <c r="D91" s="30"/>
      <c r="E91" s="30"/>
      <c r="F91" s="30"/>
      <c r="I91" s="25"/>
      <c r="T91" s="30"/>
      <c r="U91" s="30"/>
      <c r="V91" s="30"/>
      <c r="W91" s="30"/>
      <c r="X91" s="30"/>
    </row>
    <row r="92">
      <c r="A92" s="30"/>
      <c r="B92" s="30"/>
      <c r="C92" s="30"/>
      <c r="D92" s="30"/>
      <c r="E92" s="30"/>
      <c r="F92" s="30"/>
      <c r="I92" s="25"/>
      <c r="T92" s="30"/>
      <c r="U92" s="30"/>
      <c r="V92" s="30"/>
      <c r="W92" s="30"/>
      <c r="X92" s="30"/>
    </row>
    <row r="93">
      <c r="A93" s="30"/>
      <c r="B93" s="30"/>
      <c r="C93" s="30"/>
      <c r="D93" s="30"/>
      <c r="E93" s="30"/>
      <c r="F93" s="30"/>
      <c r="I93" s="25"/>
      <c r="T93" s="30"/>
      <c r="U93" s="30"/>
      <c r="V93" s="30"/>
      <c r="W93" s="30"/>
      <c r="X93" s="30"/>
    </row>
    <row r="94">
      <c r="A94" s="30"/>
      <c r="B94" s="30"/>
      <c r="C94" s="30"/>
      <c r="D94" s="30"/>
      <c r="E94" s="30"/>
      <c r="F94" s="30"/>
      <c r="I94" s="25"/>
      <c r="T94" s="30"/>
      <c r="U94" s="30"/>
      <c r="V94" s="30"/>
      <c r="W94" s="30"/>
      <c r="X94" s="30"/>
    </row>
    <row r="95">
      <c r="A95" s="30"/>
      <c r="B95" s="30"/>
      <c r="C95" s="30"/>
      <c r="D95" s="30"/>
      <c r="E95" s="30"/>
      <c r="F95" s="30"/>
      <c r="I95" s="25"/>
      <c r="T95" s="30"/>
      <c r="U95" s="30"/>
      <c r="V95" s="30"/>
      <c r="W95" s="30"/>
      <c r="X95" s="30"/>
    </row>
    <row r="96">
      <c r="A96" s="30"/>
      <c r="B96" s="30"/>
      <c r="C96" s="30"/>
      <c r="D96" s="30"/>
      <c r="E96" s="30"/>
      <c r="F96" s="30"/>
      <c r="I96" s="25"/>
      <c r="T96" s="30"/>
      <c r="U96" s="30"/>
      <c r="V96" s="30"/>
      <c r="W96" s="30"/>
      <c r="X96" s="30"/>
    </row>
    <row r="97">
      <c r="A97" s="30"/>
      <c r="B97" s="30"/>
      <c r="C97" s="30"/>
      <c r="D97" s="30"/>
      <c r="E97" s="30"/>
      <c r="F97" s="30"/>
      <c r="I97" s="25"/>
      <c r="T97" s="30"/>
      <c r="U97" s="30"/>
      <c r="V97" s="30"/>
      <c r="W97" s="30"/>
      <c r="X97" s="30"/>
    </row>
    <row r="98">
      <c r="A98" s="30"/>
      <c r="B98" s="30"/>
      <c r="C98" s="30"/>
      <c r="D98" s="30"/>
      <c r="E98" s="30"/>
      <c r="F98" s="30"/>
      <c r="I98" s="25"/>
      <c r="T98" s="30"/>
      <c r="U98" s="30"/>
      <c r="V98" s="30"/>
      <c r="W98" s="30"/>
      <c r="X98" s="30"/>
    </row>
    <row r="99">
      <c r="A99" s="30"/>
      <c r="B99" s="30"/>
      <c r="C99" s="30"/>
      <c r="D99" s="30"/>
      <c r="E99" s="30"/>
      <c r="F99" s="30"/>
      <c r="I99" s="25"/>
      <c r="T99" s="30"/>
      <c r="U99" s="30"/>
      <c r="V99" s="30"/>
      <c r="W99" s="30"/>
      <c r="X99" s="30"/>
    </row>
    <row r="100">
      <c r="A100" s="30"/>
      <c r="B100" s="30"/>
      <c r="C100" s="30"/>
      <c r="D100" s="30"/>
      <c r="E100" s="30"/>
      <c r="F100" s="30"/>
      <c r="I100" s="25"/>
      <c r="T100" s="30"/>
      <c r="U100" s="30"/>
      <c r="V100" s="30"/>
      <c r="W100" s="30"/>
      <c r="X100" s="30"/>
    </row>
    <row r="101">
      <c r="A101" s="30"/>
      <c r="B101" s="30"/>
      <c r="C101" s="30"/>
      <c r="D101" s="30"/>
      <c r="E101" s="30"/>
      <c r="F101" s="30"/>
      <c r="I101" s="25"/>
      <c r="T101" s="30"/>
      <c r="U101" s="30"/>
      <c r="V101" s="30"/>
      <c r="W101" s="30"/>
      <c r="X101" s="30"/>
    </row>
    <row r="102">
      <c r="A102" s="30"/>
      <c r="B102" s="30"/>
      <c r="C102" s="30"/>
      <c r="D102" s="30"/>
      <c r="E102" s="30"/>
      <c r="F102" s="30"/>
      <c r="I102" s="25"/>
      <c r="T102" s="30"/>
      <c r="U102" s="30"/>
      <c r="V102" s="30"/>
      <c r="W102" s="30"/>
      <c r="X102" s="30"/>
    </row>
    <row r="103">
      <c r="A103" s="30"/>
      <c r="B103" s="30"/>
      <c r="C103" s="30"/>
      <c r="D103" s="30"/>
      <c r="E103" s="30"/>
      <c r="F103" s="30"/>
      <c r="I103" s="25"/>
      <c r="T103" s="30"/>
      <c r="U103" s="30"/>
      <c r="V103" s="30"/>
      <c r="W103" s="30"/>
      <c r="X103" s="30"/>
    </row>
    <row r="104">
      <c r="A104" s="30"/>
      <c r="B104" s="30"/>
      <c r="C104" s="30"/>
      <c r="D104" s="30"/>
      <c r="E104" s="30"/>
      <c r="F104" s="30"/>
      <c r="I104" s="25"/>
      <c r="T104" s="30"/>
      <c r="U104" s="30"/>
      <c r="V104" s="30"/>
      <c r="W104" s="30"/>
      <c r="X104" s="30"/>
    </row>
    <row r="105">
      <c r="A105" s="30"/>
      <c r="B105" s="30"/>
      <c r="C105" s="30"/>
      <c r="D105" s="30"/>
      <c r="E105" s="30"/>
      <c r="F105" s="30"/>
      <c r="I105" s="25"/>
      <c r="T105" s="30"/>
      <c r="U105" s="30"/>
      <c r="V105" s="30"/>
      <c r="W105" s="30"/>
      <c r="X105" s="30"/>
    </row>
    <row r="106">
      <c r="A106" s="30"/>
      <c r="B106" s="30"/>
      <c r="C106" s="30"/>
      <c r="D106" s="30"/>
      <c r="E106" s="30"/>
      <c r="F106" s="30"/>
      <c r="I106" s="25"/>
      <c r="T106" s="30"/>
      <c r="U106" s="30"/>
      <c r="V106" s="30"/>
      <c r="W106" s="30"/>
      <c r="X106" s="30"/>
    </row>
    <row r="107">
      <c r="A107" s="30"/>
      <c r="B107" s="30"/>
      <c r="C107" s="30"/>
      <c r="D107" s="30"/>
      <c r="E107" s="30"/>
      <c r="F107" s="30"/>
      <c r="I107" s="25"/>
      <c r="T107" s="30"/>
      <c r="U107" s="30"/>
      <c r="V107" s="30"/>
      <c r="W107" s="30"/>
      <c r="X107" s="30"/>
    </row>
    <row r="108">
      <c r="A108" s="30"/>
      <c r="B108" s="30"/>
      <c r="C108" s="30"/>
      <c r="D108" s="30"/>
      <c r="E108" s="30"/>
      <c r="F108" s="30"/>
      <c r="I108" s="25"/>
      <c r="T108" s="30"/>
      <c r="U108" s="30"/>
      <c r="V108" s="30"/>
      <c r="W108" s="30"/>
      <c r="X108" s="30"/>
    </row>
    <row r="109">
      <c r="A109" s="30"/>
      <c r="B109" s="30"/>
      <c r="C109" s="30"/>
      <c r="D109" s="30"/>
      <c r="E109" s="30"/>
      <c r="F109" s="30"/>
      <c r="I109" s="25"/>
      <c r="T109" s="30"/>
      <c r="U109" s="30"/>
      <c r="V109" s="30"/>
      <c r="W109" s="30"/>
      <c r="X109" s="30"/>
    </row>
    <row r="110">
      <c r="A110" s="30"/>
      <c r="B110" s="30"/>
      <c r="C110" s="30"/>
      <c r="D110" s="30"/>
      <c r="E110" s="30"/>
      <c r="F110" s="30"/>
      <c r="I110" s="25"/>
      <c r="T110" s="30"/>
      <c r="U110" s="30"/>
      <c r="V110" s="30"/>
      <c r="W110" s="30"/>
      <c r="X110" s="30"/>
    </row>
    <row r="111">
      <c r="A111" s="30"/>
      <c r="B111" s="30"/>
      <c r="C111" s="30"/>
      <c r="D111" s="30"/>
      <c r="E111" s="30"/>
      <c r="F111" s="30"/>
      <c r="I111" s="25"/>
      <c r="T111" s="30"/>
      <c r="U111" s="30"/>
      <c r="V111" s="30"/>
      <c r="W111" s="30"/>
      <c r="X111" s="30"/>
    </row>
    <row r="112">
      <c r="A112" s="30"/>
      <c r="B112" s="30"/>
      <c r="C112" s="30"/>
      <c r="D112" s="30"/>
      <c r="E112" s="30"/>
      <c r="F112" s="30"/>
      <c r="I112" s="25"/>
      <c r="T112" s="30"/>
      <c r="U112" s="30"/>
      <c r="V112" s="30"/>
      <c r="W112" s="30"/>
      <c r="X112" s="30"/>
    </row>
    <row r="113">
      <c r="A113" s="30"/>
      <c r="B113" s="30"/>
      <c r="C113" s="30"/>
      <c r="D113" s="30"/>
      <c r="E113" s="30"/>
      <c r="F113" s="30"/>
      <c r="I113" s="25"/>
      <c r="T113" s="30"/>
      <c r="U113" s="30"/>
      <c r="V113" s="30"/>
      <c r="W113" s="30"/>
      <c r="X113" s="30"/>
    </row>
    <row r="114">
      <c r="A114" s="30"/>
      <c r="B114" s="30"/>
      <c r="C114" s="30"/>
      <c r="D114" s="30"/>
      <c r="E114" s="30"/>
      <c r="F114" s="30"/>
      <c r="I114" s="25"/>
      <c r="T114" s="30"/>
      <c r="U114" s="30"/>
      <c r="V114" s="30"/>
      <c r="W114" s="30"/>
      <c r="X114" s="30"/>
    </row>
    <row r="115">
      <c r="A115" s="30"/>
      <c r="B115" s="30"/>
      <c r="C115" s="30"/>
      <c r="D115" s="30"/>
      <c r="E115" s="30"/>
      <c r="F115" s="30"/>
      <c r="I115" s="25"/>
      <c r="T115" s="30"/>
      <c r="U115" s="30"/>
      <c r="V115" s="30"/>
      <c r="W115" s="30"/>
      <c r="X115" s="30"/>
    </row>
    <row r="116">
      <c r="A116" s="30"/>
      <c r="B116" s="30"/>
      <c r="C116" s="30"/>
      <c r="D116" s="30"/>
      <c r="E116" s="30"/>
      <c r="F116" s="30"/>
      <c r="I116" s="25"/>
      <c r="T116" s="30"/>
      <c r="U116" s="30"/>
      <c r="V116" s="30"/>
      <c r="W116" s="30"/>
      <c r="X116" s="30"/>
    </row>
    <row r="117">
      <c r="A117" s="30"/>
      <c r="B117" s="30"/>
      <c r="C117" s="30"/>
      <c r="D117" s="30"/>
      <c r="E117" s="30"/>
      <c r="F117" s="30"/>
      <c r="I117" s="25"/>
      <c r="T117" s="30"/>
      <c r="U117" s="30"/>
      <c r="V117" s="30"/>
      <c r="W117" s="30"/>
      <c r="X117" s="30"/>
    </row>
    <row r="118">
      <c r="A118" s="30"/>
      <c r="B118" s="30"/>
      <c r="C118" s="30"/>
      <c r="D118" s="30"/>
      <c r="E118" s="30"/>
      <c r="F118" s="30"/>
      <c r="I118" s="25"/>
      <c r="T118" s="30"/>
      <c r="U118" s="30"/>
      <c r="V118" s="30"/>
      <c r="W118" s="30"/>
      <c r="X118" s="30"/>
    </row>
    <row r="119">
      <c r="A119" s="30"/>
      <c r="B119" s="30"/>
      <c r="C119" s="30"/>
      <c r="D119" s="30"/>
      <c r="E119" s="30"/>
      <c r="F119" s="30"/>
      <c r="I119" s="25"/>
      <c r="T119" s="30"/>
      <c r="U119" s="30"/>
      <c r="V119" s="30"/>
      <c r="W119" s="30"/>
      <c r="X119" s="30"/>
    </row>
    <row r="120">
      <c r="A120" s="30"/>
      <c r="B120" s="30"/>
      <c r="C120" s="30"/>
      <c r="D120" s="30"/>
      <c r="E120" s="30"/>
      <c r="F120" s="30"/>
      <c r="I120" s="25"/>
      <c r="T120" s="30"/>
      <c r="U120" s="30"/>
      <c r="V120" s="30"/>
      <c r="W120" s="30"/>
      <c r="X120" s="30"/>
    </row>
    <row r="121">
      <c r="A121" s="30"/>
      <c r="B121" s="30"/>
      <c r="C121" s="30"/>
      <c r="D121" s="30"/>
      <c r="E121" s="30"/>
      <c r="F121" s="30"/>
      <c r="I121" s="25"/>
      <c r="T121" s="30"/>
      <c r="U121" s="30"/>
      <c r="V121" s="30"/>
      <c r="W121" s="30"/>
      <c r="X121" s="30"/>
    </row>
    <row r="122">
      <c r="A122" s="30"/>
      <c r="B122" s="30"/>
      <c r="C122" s="30"/>
      <c r="D122" s="30"/>
      <c r="E122" s="30"/>
      <c r="F122" s="30"/>
      <c r="I122" s="25"/>
      <c r="T122" s="30"/>
      <c r="U122" s="30"/>
      <c r="V122" s="30"/>
      <c r="W122" s="30"/>
      <c r="X122" s="30"/>
    </row>
    <row r="123">
      <c r="A123" s="30"/>
      <c r="B123" s="30"/>
      <c r="C123" s="30"/>
      <c r="D123" s="30"/>
      <c r="E123" s="30"/>
      <c r="F123" s="30"/>
      <c r="I123" s="25"/>
      <c r="T123" s="30"/>
      <c r="U123" s="30"/>
      <c r="V123" s="30"/>
      <c r="W123" s="30"/>
      <c r="X123" s="30"/>
    </row>
    <row r="124">
      <c r="A124" s="30"/>
      <c r="B124" s="30"/>
      <c r="C124" s="30"/>
      <c r="D124" s="30"/>
      <c r="E124" s="30"/>
      <c r="F124" s="30"/>
      <c r="I124" s="25"/>
      <c r="T124" s="30"/>
      <c r="U124" s="30"/>
      <c r="V124" s="30"/>
      <c r="W124" s="30"/>
      <c r="X124" s="30"/>
    </row>
    <row r="125">
      <c r="A125" s="30"/>
      <c r="B125" s="30"/>
      <c r="C125" s="30"/>
      <c r="D125" s="30"/>
      <c r="E125" s="30"/>
      <c r="F125" s="30"/>
      <c r="I125" s="25"/>
      <c r="T125" s="30"/>
      <c r="U125" s="30"/>
      <c r="V125" s="30"/>
      <c r="W125" s="30"/>
      <c r="X125" s="30"/>
    </row>
    <row r="126">
      <c r="A126" s="30"/>
      <c r="B126" s="30"/>
      <c r="C126" s="30"/>
      <c r="D126" s="30"/>
      <c r="E126" s="30"/>
      <c r="F126" s="30"/>
      <c r="I126" s="25"/>
      <c r="T126" s="30"/>
      <c r="U126" s="30"/>
      <c r="V126" s="30"/>
      <c r="W126" s="30"/>
      <c r="X126" s="30"/>
    </row>
    <row r="127">
      <c r="A127" s="30"/>
      <c r="B127" s="30"/>
      <c r="C127" s="30"/>
      <c r="D127" s="30"/>
      <c r="E127" s="30"/>
      <c r="F127" s="30"/>
      <c r="I127" s="25"/>
      <c r="T127" s="30"/>
      <c r="U127" s="30"/>
      <c r="V127" s="30"/>
      <c r="W127" s="30"/>
      <c r="X127" s="30"/>
    </row>
    <row r="128">
      <c r="A128" s="30"/>
      <c r="B128" s="30"/>
      <c r="C128" s="30"/>
      <c r="D128" s="30"/>
      <c r="E128" s="30"/>
      <c r="F128" s="30"/>
      <c r="I128" s="25"/>
      <c r="T128" s="30"/>
      <c r="U128" s="30"/>
      <c r="V128" s="30"/>
      <c r="W128" s="30"/>
      <c r="X128" s="30"/>
    </row>
    <row r="129">
      <c r="A129" s="30"/>
      <c r="B129" s="30"/>
      <c r="C129" s="30"/>
      <c r="D129" s="30"/>
      <c r="E129" s="30"/>
      <c r="F129" s="30"/>
      <c r="I129" s="25"/>
      <c r="T129" s="30"/>
      <c r="U129" s="30"/>
      <c r="V129" s="30"/>
      <c r="W129" s="30"/>
      <c r="X129" s="30"/>
    </row>
    <row r="130">
      <c r="A130" s="30"/>
      <c r="B130" s="30"/>
      <c r="C130" s="30"/>
      <c r="D130" s="30"/>
      <c r="E130" s="30"/>
      <c r="F130" s="30"/>
      <c r="I130" s="25"/>
      <c r="T130" s="30"/>
      <c r="U130" s="30"/>
      <c r="V130" s="30"/>
      <c r="W130" s="30"/>
      <c r="X130" s="30"/>
    </row>
    <row r="131">
      <c r="A131" s="30"/>
      <c r="B131" s="30"/>
      <c r="C131" s="30"/>
      <c r="D131" s="30"/>
      <c r="E131" s="30"/>
      <c r="F131" s="30"/>
      <c r="I131" s="25"/>
      <c r="T131" s="30"/>
      <c r="U131" s="30"/>
      <c r="V131" s="30"/>
      <c r="W131" s="30"/>
      <c r="X131" s="30"/>
    </row>
    <row r="132">
      <c r="A132" s="30"/>
      <c r="B132" s="30"/>
      <c r="C132" s="30"/>
      <c r="D132" s="30"/>
      <c r="E132" s="30"/>
      <c r="F132" s="30"/>
      <c r="I132" s="25"/>
      <c r="T132" s="30"/>
      <c r="U132" s="30"/>
      <c r="V132" s="30"/>
      <c r="W132" s="30"/>
      <c r="X132" s="30"/>
    </row>
    <row r="133">
      <c r="A133" s="30"/>
      <c r="B133" s="30"/>
      <c r="C133" s="30"/>
      <c r="D133" s="30"/>
      <c r="E133" s="30"/>
      <c r="F133" s="30"/>
      <c r="I133" s="25"/>
      <c r="T133" s="30"/>
      <c r="U133" s="30"/>
      <c r="V133" s="30"/>
      <c r="W133" s="30"/>
      <c r="X133" s="30"/>
    </row>
    <row r="134">
      <c r="A134" s="30"/>
      <c r="B134" s="30"/>
      <c r="C134" s="30"/>
      <c r="D134" s="30"/>
      <c r="E134" s="30"/>
      <c r="F134" s="30"/>
      <c r="I134" s="25"/>
      <c r="T134" s="30"/>
      <c r="U134" s="30"/>
      <c r="V134" s="30"/>
      <c r="W134" s="30"/>
      <c r="X134" s="30"/>
    </row>
    <row r="135">
      <c r="A135" s="30"/>
      <c r="B135" s="30"/>
      <c r="C135" s="30"/>
      <c r="D135" s="30"/>
      <c r="E135" s="30"/>
      <c r="F135" s="30"/>
      <c r="I135" s="25"/>
      <c r="T135" s="30"/>
      <c r="U135" s="30"/>
      <c r="V135" s="30"/>
      <c r="W135" s="30"/>
      <c r="X135" s="30"/>
    </row>
    <row r="136">
      <c r="A136" s="30"/>
      <c r="B136" s="30"/>
      <c r="C136" s="30"/>
      <c r="D136" s="30"/>
      <c r="E136" s="30"/>
      <c r="F136" s="30"/>
      <c r="I136" s="25"/>
      <c r="T136" s="30"/>
      <c r="U136" s="30"/>
      <c r="V136" s="30"/>
      <c r="W136" s="30"/>
      <c r="X136" s="30"/>
    </row>
    <row r="137">
      <c r="A137" s="30"/>
      <c r="B137" s="30"/>
      <c r="C137" s="30"/>
      <c r="D137" s="30"/>
      <c r="E137" s="30"/>
      <c r="F137" s="30"/>
      <c r="I137" s="25"/>
      <c r="T137" s="30"/>
      <c r="U137" s="30"/>
      <c r="V137" s="30"/>
      <c r="W137" s="30"/>
      <c r="X137" s="30"/>
    </row>
    <row r="138">
      <c r="A138" s="30"/>
      <c r="B138" s="30"/>
      <c r="C138" s="30"/>
      <c r="D138" s="30"/>
      <c r="E138" s="30"/>
      <c r="F138" s="30"/>
      <c r="I138" s="25"/>
      <c r="T138" s="30"/>
      <c r="U138" s="30"/>
      <c r="V138" s="30"/>
      <c r="W138" s="30"/>
      <c r="X138" s="30"/>
    </row>
    <row r="139">
      <c r="A139" s="30"/>
      <c r="B139" s="30"/>
      <c r="C139" s="30"/>
      <c r="D139" s="30"/>
      <c r="E139" s="30"/>
      <c r="F139" s="30"/>
      <c r="I139" s="25"/>
      <c r="T139" s="30"/>
      <c r="U139" s="30"/>
      <c r="V139" s="30"/>
      <c r="W139" s="30"/>
      <c r="X139" s="30"/>
    </row>
    <row r="140">
      <c r="A140" s="30"/>
      <c r="B140" s="30"/>
      <c r="C140" s="30"/>
      <c r="D140" s="30"/>
      <c r="E140" s="30"/>
      <c r="F140" s="30"/>
      <c r="I140" s="25"/>
      <c r="T140" s="30"/>
      <c r="U140" s="30"/>
      <c r="V140" s="30"/>
      <c r="W140" s="30"/>
      <c r="X140" s="30"/>
    </row>
    <row r="141">
      <c r="A141" s="30"/>
      <c r="B141" s="30"/>
      <c r="C141" s="30"/>
      <c r="D141" s="30"/>
      <c r="E141" s="30"/>
      <c r="F141" s="30"/>
      <c r="I141" s="25"/>
      <c r="T141" s="30"/>
      <c r="U141" s="30"/>
      <c r="V141" s="30"/>
      <c r="W141" s="30"/>
      <c r="X141" s="30"/>
    </row>
    <row r="142">
      <c r="A142" s="30"/>
      <c r="B142" s="30"/>
      <c r="C142" s="30"/>
      <c r="D142" s="30"/>
      <c r="E142" s="30"/>
      <c r="F142" s="30"/>
      <c r="I142" s="25"/>
      <c r="T142" s="30"/>
      <c r="U142" s="30"/>
      <c r="V142" s="30"/>
      <c r="W142" s="30"/>
      <c r="X142" s="30"/>
    </row>
    <row r="143">
      <c r="A143" s="30"/>
      <c r="B143" s="30"/>
      <c r="C143" s="30"/>
      <c r="D143" s="30"/>
      <c r="E143" s="30"/>
      <c r="F143" s="30"/>
      <c r="I143" s="25"/>
      <c r="T143" s="30"/>
      <c r="U143" s="30"/>
      <c r="V143" s="30"/>
      <c r="W143" s="30"/>
      <c r="X143" s="30"/>
    </row>
    <row r="144">
      <c r="A144" s="30"/>
      <c r="B144" s="30"/>
      <c r="C144" s="30"/>
      <c r="D144" s="30"/>
      <c r="E144" s="30"/>
      <c r="F144" s="30"/>
      <c r="I144" s="25"/>
      <c r="T144" s="30"/>
      <c r="U144" s="30"/>
      <c r="V144" s="30"/>
      <c r="W144" s="30"/>
      <c r="X144" s="30"/>
    </row>
    <row r="145">
      <c r="A145" s="30"/>
      <c r="B145" s="30"/>
      <c r="C145" s="30"/>
      <c r="D145" s="30"/>
      <c r="E145" s="30"/>
      <c r="F145" s="30"/>
      <c r="I145" s="25"/>
      <c r="T145" s="30"/>
      <c r="U145" s="30"/>
      <c r="V145" s="30"/>
      <c r="W145" s="30"/>
      <c r="X145" s="30"/>
    </row>
    <row r="146">
      <c r="A146" s="30"/>
      <c r="B146" s="30"/>
      <c r="C146" s="30"/>
      <c r="D146" s="30"/>
      <c r="E146" s="30"/>
      <c r="F146" s="30"/>
      <c r="I146" s="25"/>
      <c r="T146" s="30"/>
      <c r="U146" s="30"/>
      <c r="V146" s="30"/>
      <c r="W146" s="30"/>
      <c r="X146" s="30"/>
    </row>
    <row r="147">
      <c r="A147" s="30"/>
      <c r="B147" s="30"/>
      <c r="C147" s="30"/>
      <c r="D147" s="30"/>
      <c r="E147" s="30"/>
      <c r="F147" s="30"/>
      <c r="I147" s="25"/>
      <c r="T147" s="30"/>
      <c r="U147" s="30"/>
      <c r="V147" s="30"/>
      <c r="W147" s="30"/>
      <c r="X147" s="30"/>
    </row>
    <row r="148">
      <c r="A148" s="30"/>
      <c r="B148" s="30"/>
      <c r="C148" s="30"/>
      <c r="D148" s="30"/>
      <c r="E148" s="30"/>
      <c r="F148" s="30"/>
      <c r="I148" s="25"/>
      <c r="T148" s="30"/>
      <c r="U148" s="30"/>
      <c r="V148" s="30"/>
      <c r="W148" s="30"/>
      <c r="X148" s="30"/>
    </row>
    <row r="149">
      <c r="A149" s="30"/>
      <c r="B149" s="30"/>
      <c r="C149" s="30"/>
      <c r="D149" s="30"/>
      <c r="E149" s="30"/>
      <c r="F149" s="30"/>
      <c r="I149" s="25"/>
      <c r="T149" s="30"/>
      <c r="U149" s="30"/>
      <c r="V149" s="30"/>
      <c r="W149" s="30"/>
      <c r="X149" s="30"/>
    </row>
    <row r="150">
      <c r="A150" s="30"/>
      <c r="B150" s="30"/>
      <c r="C150" s="30"/>
      <c r="D150" s="30"/>
      <c r="E150" s="30"/>
      <c r="F150" s="30"/>
      <c r="I150" s="25"/>
      <c r="T150" s="30"/>
      <c r="U150" s="30"/>
      <c r="V150" s="30"/>
      <c r="W150" s="30"/>
      <c r="X150" s="30"/>
    </row>
    <row r="151">
      <c r="A151" s="30"/>
      <c r="B151" s="30"/>
      <c r="C151" s="30"/>
      <c r="D151" s="30"/>
      <c r="E151" s="30"/>
      <c r="F151" s="30"/>
      <c r="I151" s="25"/>
      <c r="T151" s="30"/>
      <c r="U151" s="30"/>
      <c r="V151" s="30"/>
      <c r="W151" s="30"/>
      <c r="X151" s="30"/>
    </row>
    <row r="152">
      <c r="A152" s="30"/>
      <c r="B152" s="30"/>
      <c r="C152" s="30"/>
      <c r="D152" s="30"/>
      <c r="E152" s="30"/>
      <c r="F152" s="30"/>
      <c r="I152" s="25"/>
      <c r="T152" s="30"/>
      <c r="U152" s="30"/>
      <c r="V152" s="30"/>
      <c r="W152" s="30"/>
      <c r="X152" s="30"/>
    </row>
    <row r="153">
      <c r="A153" s="30"/>
      <c r="B153" s="30"/>
      <c r="C153" s="30"/>
      <c r="D153" s="30"/>
      <c r="E153" s="30"/>
      <c r="F153" s="30"/>
      <c r="I153" s="25"/>
      <c r="T153" s="30"/>
      <c r="U153" s="30"/>
      <c r="V153" s="30"/>
      <c r="W153" s="30"/>
      <c r="X153" s="30"/>
    </row>
    <row r="154">
      <c r="A154" s="30"/>
      <c r="B154" s="30"/>
      <c r="C154" s="30"/>
      <c r="D154" s="30"/>
      <c r="E154" s="30"/>
      <c r="F154" s="30"/>
      <c r="I154" s="25"/>
      <c r="T154" s="30"/>
      <c r="U154" s="30"/>
      <c r="V154" s="30"/>
      <c r="W154" s="30"/>
      <c r="X154" s="30"/>
    </row>
    <row r="155">
      <c r="A155" s="30"/>
      <c r="B155" s="30"/>
      <c r="C155" s="30"/>
      <c r="D155" s="30"/>
      <c r="E155" s="30"/>
      <c r="F155" s="30"/>
      <c r="I155" s="25"/>
      <c r="T155" s="30"/>
      <c r="U155" s="30"/>
      <c r="V155" s="30"/>
      <c r="W155" s="30"/>
      <c r="X155" s="30"/>
    </row>
    <row r="156">
      <c r="A156" s="30"/>
      <c r="B156" s="30"/>
      <c r="C156" s="30"/>
      <c r="D156" s="30"/>
      <c r="E156" s="30"/>
      <c r="F156" s="30"/>
      <c r="I156" s="25"/>
      <c r="T156" s="30"/>
      <c r="U156" s="30"/>
      <c r="V156" s="30"/>
      <c r="W156" s="30"/>
      <c r="X156" s="30"/>
    </row>
    <row r="157">
      <c r="A157" s="30"/>
      <c r="B157" s="30"/>
      <c r="C157" s="30"/>
      <c r="D157" s="30"/>
      <c r="E157" s="30"/>
      <c r="F157" s="30"/>
      <c r="I157" s="25"/>
      <c r="T157" s="30"/>
      <c r="U157" s="30"/>
      <c r="V157" s="30"/>
      <c r="W157" s="30"/>
      <c r="X157" s="30"/>
    </row>
    <row r="158">
      <c r="A158" s="30"/>
      <c r="B158" s="30"/>
      <c r="C158" s="30"/>
      <c r="D158" s="30"/>
      <c r="E158" s="30"/>
      <c r="F158" s="30"/>
      <c r="I158" s="25"/>
      <c r="T158" s="30"/>
      <c r="U158" s="30"/>
      <c r="V158" s="30"/>
      <c r="W158" s="30"/>
      <c r="X158" s="30"/>
    </row>
    <row r="159">
      <c r="A159" s="30"/>
      <c r="B159" s="30"/>
      <c r="C159" s="30"/>
      <c r="D159" s="30"/>
      <c r="E159" s="30"/>
      <c r="F159" s="30"/>
      <c r="I159" s="25"/>
      <c r="T159" s="30"/>
      <c r="U159" s="30"/>
      <c r="V159" s="30"/>
      <c r="W159" s="30"/>
      <c r="X159" s="30"/>
    </row>
    <row r="160">
      <c r="A160" s="30"/>
      <c r="B160" s="30"/>
      <c r="C160" s="30"/>
      <c r="D160" s="30"/>
      <c r="E160" s="30"/>
      <c r="F160" s="30"/>
      <c r="I160" s="25"/>
      <c r="T160" s="30"/>
      <c r="U160" s="30"/>
      <c r="V160" s="30"/>
      <c r="W160" s="30"/>
      <c r="X160" s="30"/>
    </row>
    <row r="161">
      <c r="A161" s="30"/>
      <c r="B161" s="30"/>
      <c r="C161" s="30"/>
      <c r="D161" s="30"/>
      <c r="E161" s="30"/>
      <c r="F161" s="30"/>
      <c r="I161" s="25"/>
      <c r="T161" s="30"/>
      <c r="U161" s="30"/>
      <c r="V161" s="30"/>
      <c r="W161" s="30"/>
      <c r="X161" s="30"/>
    </row>
    <row r="162">
      <c r="A162" s="30"/>
      <c r="B162" s="30"/>
      <c r="C162" s="30"/>
      <c r="D162" s="30"/>
      <c r="E162" s="30"/>
      <c r="F162" s="30"/>
      <c r="I162" s="25"/>
      <c r="T162" s="30"/>
      <c r="U162" s="30"/>
      <c r="V162" s="30"/>
      <c r="W162" s="30"/>
      <c r="X162" s="30"/>
    </row>
    <row r="163">
      <c r="A163" s="30"/>
      <c r="B163" s="30"/>
      <c r="C163" s="30"/>
      <c r="D163" s="30"/>
      <c r="E163" s="30"/>
      <c r="F163" s="30"/>
      <c r="I163" s="25"/>
      <c r="T163" s="30"/>
      <c r="U163" s="30"/>
      <c r="V163" s="30"/>
      <c r="W163" s="30"/>
      <c r="X163" s="30"/>
    </row>
    <row r="164">
      <c r="A164" s="30"/>
      <c r="B164" s="30"/>
      <c r="C164" s="30"/>
      <c r="D164" s="30"/>
      <c r="E164" s="30"/>
      <c r="F164" s="30"/>
      <c r="I164" s="25"/>
      <c r="T164" s="30"/>
      <c r="U164" s="30"/>
      <c r="V164" s="30"/>
      <c r="W164" s="30"/>
      <c r="X164" s="30"/>
    </row>
    <row r="165">
      <c r="A165" s="30"/>
      <c r="B165" s="30"/>
      <c r="C165" s="30"/>
      <c r="D165" s="30"/>
      <c r="E165" s="30"/>
      <c r="F165" s="30"/>
      <c r="I165" s="25"/>
      <c r="T165" s="30"/>
      <c r="U165" s="30"/>
      <c r="V165" s="30"/>
      <c r="W165" s="30"/>
      <c r="X165" s="30"/>
    </row>
    <row r="166">
      <c r="A166" s="30"/>
      <c r="B166" s="30"/>
      <c r="C166" s="30"/>
      <c r="D166" s="30"/>
      <c r="E166" s="30"/>
      <c r="F166" s="30"/>
      <c r="I166" s="25"/>
      <c r="T166" s="30"/>
      <c r="U166" s="30"/>
      <c r="V166" s="30"/>
      <c r="W166" s="30"/>
      <c r="X166" s="30"/>
    </row>
    <row r="167">
      <c r="A167" s="30"/>
      <c r="B167" s="30"/>
      <c r="C167" s="30"/>
      <c r="D167" s="30"/>
      <c r="E167" s="30"/>
      <c r="F167" s="30"/>
      <c r="I167" s="25"/>
      <c r="T167" s="30"/>
      <c r="U167" s="30"/>
      <c r="V167" s="30"/>
      <c r="W167" s="30"/>
      <c r="X167" s="30"/>
    </row>
    <row r="168">
      <c r="A168" s="30"/>
      <c r="B168" s="30"/>
      <c r="C168" s="30"/>
      <c r="D168" s="30"/>
      <c r="E168" s="30"/>
      <c r="F168" s="30"/>
      <c r="I168" s="25"/>
      <c r="T168" s="30"/>
      <c r="U168" s="30"/>
      <c r="V168" s="30"/>
      <c r="W168" s="30"/>
      <c r="X168" s="30"/>
    </row>
    <row r="169">
      <c r="A169" s="30"/>
      <c r="B169" s="30"/>
      <c r="C169" s="30"/>
      <c r="D169" s="30"/>
      <c r="E169" s="30"/>
      <c r="F169" s="30"/>
      <c r="I169" s="25"/>
      <c r="T169" s="30"/>
      <c r="U169" s="30"/>
      <c r="V169" s="30"/>
      <c r="W169" s="30"/>
      <c r="X169" s="30"/>
    </row>
    <row r="170">
      <c r="A170" s="30"/>
      <c r="B170" s="30"/>
      <c r="C170" s="30"/>
      <c r="D170" s="30"/>
      <c r="E170" s="30"/>
      <c r="F170" s="30"/>
      <c r="I170" s="25"/>
      <c r="T170" s="30"/>
      <c r="U170" s="30"/>
      <c r="V170" s="30"/>
      <c r="W170" s="30"/>
      <c r="X170" s="30"/>
    </row>
    <row r="171">
      <c r="A171" s="30"/>
      <c r="B171" s="30"/>
      <c r="C171" s="30"/>
      <c r="D171" s="30"/>
      <c r="E171" s="30"/>
      <c r="F171" s="30"/>
      <c r="I171" s="25"/>
      <c r="T171" s="30"/>
      <c r="U171" s="30"/>
      <c r="V171" s="30"/>
      <c r="W171" s="30"/>
      <c r="X171" s="30"/>
    </row>
    <row r="172">
      <c r="A172" s="30"/>
      <c r="B172" s="30"/>
      <c r="C172" s="30"/>
      <c r="D172" s="30"/>
      <c r="E172" s="30"/>
      <c r="F172" s="30"/>
      <c r="I172" s="25"/>
      <c r="T172" s="30"/>
      <c r="U172" s="30"/>
      <c r="V172" s="30"/>
      <c r="W172" s="30"/>
      <c r="X172" s="30"/>
    </row>
    <row r="173">
      <c r="A173" s="30"/>
      <c r="B173" s="30"/>
      <c r="C173" s="30"/>
      <c r="D173" s="30"/>
      <c r="E173" s="30"/>
      <c r="F173" s="30"/>
      <c r="I173" s="25"/>
      <c r="T173" s="30"/>
      <c r="U173" s="30"/>
      <c r="V173" s="30"/>
      <c r="W173" s="30"/>
      <c r="X173" s="30"/>
    </row>
    <row r="174">
      <c r="A174" s="30"/>
      <c r="B174" s="30"/>
      <c r="C174" s="30"/>
      <c r="D174" s="30"/>
      <c r="E174" s="30"/>
      <c r="F174" s="30"/>
      <c r="I174" s="25"/>
      <c r="T174" s="30"/>
      <c r="U174" s="30"/>
      <c r="V174" s="30"/>
      <c r="W174" s="30"/>
      <c r="X174" s="30"/>
    </row>
    <row r="175">
      <c r="A175" s="30"/>
      <c r="B175" s="30"/>
      <c r="C175" s="30"/>
      <c r="D175" s="30"/>
      <c r="E175" s="30"/>
      <c r="F175" s="30"/>
      <c r="I175" s="25"/>
      <c r="T175" s="30"/>
      <c r="U175" s="30"/>
      <c r="V175" s="30"/>
      <c r="W175" s="30"/>
      <c r="X175" s="30"/>
    </row>
    <row r="176">
      <c r="A176" s="30"/>
      <c r="B176" s="30"/>
      <c r="C176" s="30"/>
      <c r="D176" s="30"/>
      <c r="E176" s="30"/>
      <c r="F176" s="30"/>
      <c r="I176" s="25"/>
      <c r="T176" s="30"/>
      <c r="U176" s="30"/>
      <c r="V176" s="30"/>
      <c r="W176" s="30"/>
      <c r="X176" s="30"/>
    </row>
    <row r="177">
      <c r="A177" s="30"/>
      <c r="B177" s="30"/>
      <c r="C177" s="30"/>
      <c r="D177" s="30"/>
      <c r="E177" s="30"/>
      <c r="F177" s="30"/>
      <c r="I177" s="25"/>
      <c r="T177" s="30"/>
      <c r="U177" s="30"/>
      <c r="V177" s="30"/>
      <c r="W177" s="30"/>
      <c r="X177" s="30"/>
    </row>
    <row r="178">
      <c r="A178" s="30"/>
      <c r="B178" s="30"/>
      <c r="C178" s="30"/>
      <c r="D178" s="30"/>
      <c r="E178" s="30"/>
      <c r="F178" s="30"/>
      <c r="I178" s="25"/>
      <c r="T178" s="30"/>
      <c r="U178" s="30"/>
      <c r="V178" s="30"/>
      <c r="W178" s="30"/>
      <c r="X178" s="30"/>
    </row>
    <row r="179">
      <c r="A179" s="30"/>
      <c r="B179" s="30"/>
      <c r="C179" s="30"/>
      <c r="D179" s="30"/>
      <c r="E179" s="30"/>
      <c r="F179" s="30"/>
      <c r="I179" s="25"/>
      <c r="T179" s="30"/>
      <c r="U179" s="30"/>
      <c r="V179" s="30"/>
      <c r="W179" s="30"/>
      <c r="X179" s="30"/>
    </row>
    <row r="180">
      <c r="A180" s="30"/>
      <c r="B180" s="30"/>
      <c r="C180" s="30"/>
      <c r="D180" s="30"/>
      <c r="E180" s="30"/>
      <c r="F180" s="30"/>
      <c r="I180" s="25"/>
      <c r="T180" s="30"/>
      <c r="U180" s="30"/>
      <c r="V180" s="30"/>
      <c r="W180" s="30"/>
      <c r="X180" s="30"/>
    </row>
    <row r="181">
      <c r="A181" s="30"/>
      <c r="B181" s="30"/>
      <c r="C181" s="30"/>
      <c r="D181" s="30"/>
      <c r="E181" s="30"/>
      <c r="F181" s="30"/>
      <c r="I181" s="25"/>
      <c r="T181" s="30"/>
      <c r="U181" s="30"/>
      <c r="V181" s="30"/>
      <c r="W181" s="30"/>
      <c r="X181" s="30"/>
    </row>
    <row r="182">
      <c r="A182" s="30"/>
      <c r="B182" s="30"/>
      <c r="C182" s="30"/>
      <c r="D182" s="30"/>
      <c r="E182" s="30"/>
      <c r="F182" s="30"/>
      <c r="I182" s="25"/>
      <c r="T182" s="30"/>
      <c r="U182" s="30"/>
      <c r="V182" s="30"/>
      <c r="W182" s="30"/>
      <c r="X182" s="30"/>
    </row>
    <row r="183">
      <c r="A183" s="30"/>
      <c r="B183" s="30"/>
      <c r="C183" s="30"/>
      <c r="D183" s="30"/>
      <c r="E183" s="30"/>
      <c r="F183" s="30"/>
      <c r="I183" s="25"/>
      <c r="T183" s="30"/>
      <c r="U183" s="30"/>
      <c r="V183" s="30"/>
      <c r="W183" s="30"/>
      <c r="X183" s="30"/>
    </row>
    <row r="184">
      <c r="A184" s="30"/>
      <c r="B184" s="30"/>
      <c r="C184" s="30"/>
      <c r="D184" s="30"/>
      <c r="E184" s="30"/>
      <c r="F184" s="30"/>
      <c r="I184" s="25"/>
      <c r="T184" s="30"/>
      <c r="U184" s="30"/>
      <c r="V184" s="30"/>
      <c r="W184" s="30"/>
      <c r="X184" s="30"/>
    </row>
    <row r="185">
      <c r="A185" s="30"/>
      <c r="B185" s="30"/>
      <c r="C185" s="30"/>
      <c r="D185" s="30"/>
      <c r="E185" s="30"/>
      <c r="F185" s="30"/>
      <c r="I185" s="25"/>
      <c r="T185" s="30"/>
      <c r="U185" s="30"/>
      <c r="V185" s="30"/>
      <c r="W185" s="30"/>
      <c r="X185" s="30"/>
    </row>
    <row r="186">
      <c r="A186" s="30"/>
      <c r="B186" s="30"/>
      <c r="C186" s="30"/>
      <c r="D186" s="30"/>
      <c r="E186" s="30"/>
      <c r="F186" s="30"/>
      <c r="I186" s="25"/>
      <c r="T186" s="30"/>
      <c r="U186" s="30"/>
      <c r="V186" s="30"/>
      <c r="W186" s="30"/>
      <c r="X186" s="30"/>
    </row>
    <row r="187">
      <c r="A187" s="30"/>
      <c r="B187" s="30"/>
      <c r="C187" s="30"/>
      <c r="D187" s="30"/>
      <c r="E187" s="30"/>
      <c r="F187" s="30"/>
      <c r="I187" s="25"/>
      <c r="T187" s="30"/>
      <c r="U187" s="30"/>
      <c r="V187" s="30"/>
      <c r="W187" s="30"/>
      <c r="X187" s="30"/>
    </row>
    <row r="188">
      <c r="A188" s="30"/>
      <c r="B188" s="30"/>
      <c r="C188" s="30"/>
      <c r="D188" s="30"/>
      <c r="E188" s="30"/>
      <c r="F188" s="30"/>
      <c r="I188" s="25"/>
      <c r="T188" s="30"/>
      <c r="U188" s="30"/>
      <c r="V188" s="30"/>
      <c r="W188" s="30"/>
      <c r="X188" s="30"/>
    </row>
    <row r="189">
      <c r="A189" s="30"/>
      <c r="B189" s="30"/>
      <c r="C189" s="30"/>
      <c r="D189" s="30"/>
      <c r="E189" s="30"/>
      <c r="F189" s="30"/>
      <c r="I189" s="25"/>
      <c r="T189" s="30"/>
      <c r="U189" s="30"/>
      <c r="V189" s="30"/>
      <c r="W189" s="30"/>
      <c r="X189" s="30"/>
    </row>
    <row r="190">
      <c r="A190" s="30"/>
      <c r="B190" s="30"/>
      <c r="C190" s="30"/>
      <c r="D190" s="30"/>
      <c r="E190" s="30"/>
      <c r="F190" s="30"/>
      <c r="I190" s="25"/>
      <c r="T190" s="30"/>
      <c r="U190" s="30"/>
      <c r="V190" s="30"/>
      <c r="W190" s="30"/>
      <c r="X190" s="30"/>
    </row>
    <row r="191">
      <c r="A191" s="30"/>
      <c r="B191" s="30"/>
      <c r="C191" s="30"/>
      <c r="D191" s="30"/>
      <c r="E191" s="30"/>
      <c r="F191" s="30"/>
      <c r="I191" s="25"/>
      <c r="T191" s="30"/>
      <c r="U191" s="30"/>
      <c r="V191" s="30"/>
      <c r="W191" s="30"/>
      <c r="X191" s="30"/>
    </row>
    <row r="192">
      <c r="A192" s="30"/>
      <c r="B192" s="30"/>
      <c r="C192" s="30"/>
      <c r="D192" s="30"/>
      <c r="E192" s="30"/>
      <c r="F192" s="30"/>
      <c r="I192" s="25"/>
      <c r="T192" s="30"/>
      <c r="U192" s="30"/>
      <c r="V192" s="30"/>
      <c r="W192" s="30"/>
      <c r="X192" s="30"/>
    </row>
    <row r="193">
      <c r="A193" s="30"/>
      <c r="B193" s="30"/>
      <c r="C193" s="30"/>
      <c r="D193" s="30"/>
      <c r="E193" s="30"/>
      <c r="F193" s="30"/>
      <c r="I193" s="25"/>
      <c r="T193" s="30"/>
      <c r="U193" s="30"/>
      <c r="V193" s="30"/>
      <c r="W193" s="30"/>
      <c r="X193" s="30"/>
    </row>
    <row r="194">
      <c r="A194" s="30"/>
      <c r="B194" s="30"/>
      <c r="C194" s="30"/>
      <c r="D194" s="30"/>
      <c r="E194" s="30"/>
      <c r="F194" s="30"/>
      <c r="I194" s="25"/>
      <c r="T194" s="30"/>
      <c r="U194" s="30"/>
      <c r="V194" s="30"/>
      <c r="W194" s="30"/>
      <c r="X194" s="30"/>
    </row>
    <row r="195">
      <c r="A195" s="30"/>
      <c r="B195" s="30"/>
      <c r="C195" s="30"/>
      <c r="D195" s="30"/>
      <c r="E195" s="30"/>
      <c r="F195" s="30"/>
      <c r="I195" s="25"/>
      <c r="T195" s="30"/>
      <c r="U195" s="30"/>
      <c r="V195" s="30"/>
      <c r="W195" s="30"/>
      <c r="X195" s="30"/>
    </row>
    <row r="196">
      <c r="A196" s="30"/>
      <c r="B196" s="30"/>
      <c r="C196" s="30"/>
      <c r="D196" s="30"/>
      <c r="E196" s="30"/>
      <c r="F196" s="30"/>
      <c r="I196" s="25"/>
      <c r="T196" s="30"/>
      <c r="U196" s="30"/>
      <c r="V196" s="30"/>
      <c r="W196" s="30"/>
      <c r="X196" s="30"/>
    </row>
    <row r="197">
      <c r="A197" s="30"/>
      <c r="B197" s="30"/>
      <c r="C197" s="30"/>
      <c r="D197" s="30"/>
      <c r="E197" s="30"/>
      <c r="F197" s="30"/>
      <c r="I197" s="25"/>
      <c r="T197" s="30"/>
      <c r="U197" s="30"/>
      <c r="V197" s="30"/>
      <c r="W197" s="30"/>
      <c r="X197" s="30"/>
    </row>
    <row r="198">
      <c r="A198" s="30"/>
      <c r="B198" s="30"/>
      <c r="C198" s="30"/>
      <c r="D198" s="30"/>
      <c r="E198" s="30"/>
      <c r="F198" s="30"/>
      <c r="I198" s="25"/>
      <c r="T198" s="30"/>
      <c r="U198" s="30"/>
      <c r="V198" s="30"/>
      <c r="W198" s="30"/>
      <c r="X198" s="30"/>
    </row>
    <row r="199">
      <c r="A199" s="30"/>
      <c r="B199" s="30"/>
      <c r="C199" s="30"/>
      <c r="D199" s="30"/>
      <c r="E199" s="30"/>
      <c r="F199" s="30"/>
      <c r="I199" s="25"/>
      <c r="T199" s="30"/>
      <c r="U199" s="30"/>
      <c r="V199" s="30"/>
      <c r="W199" s="30"/>
      <c r="X199" s="30"/>
    </row>
    <row r="200">
      <c r="A200" s="30"/>
      <c r="B200" s="30"/>
      <c r="C200" s="30"/>
      <c r="D200" s="30"/>
      <c r="E200" s="30"/>
      <c r="F200" s="30"/>
      <c r="I200" s="25"/>
      <c r="T200" s="30"/>
      <c r="U200" s="30"/>
      <c r="V200" s="30"/>
      <c r="W200" s="30"/>
      <c r="X200" s="30"/>
    </row>
    <row r="201">
      <c r="A201" s="30"/>
      <c r="B201" s="30"/>
      <c r="C201" s="30"/>
      <c r="D201" s="30"/>
      <c r="E201" s="30"/>
      <c r="F201" s="30"/>
      <c r="I201" s="25"/>
      <c r="T201" s="30"/>
      <c r="U201" s="30"/>
      <c r="V201" s="30"/>
      <c r="W201" s="30"/>
      <c r="X201" s="30"/>
    </row>
    <row r="202">
      <c r="A202" s="30"/>
      <c r="B202" s="30"/>
      <c r="C202" s="30"/>
      <c r="D202" s="30"/>
      <c r="E202" s="30"/>
      <c r="F202" s="30"/>
      <c r="I202" s="25"/>
      <c r="T202" s="30"/>
      <c r="U202" s="30"/>
      <c r="V202" s="30"/>
      <c r="W202" s="30"/>
      <c r="X202" s="30"/>
    </row>
    <row r="203">
      <c r="A203" s="30"/>
      <c r="B203" s="30"/>
      <c r="C203" s="30"/>
      <c r="D203" s="30"/>
      <c r="E203" s="30"/>
      <c r="F203" s="30"/>
      <c r="I203" s="25"/>
      <c r="T203" s="30"/>
      <c r="U203" s="30"/>
      <c r="V203" s="30"/>
      <c r="W203" s="30"/>
      <c r="X203" s="30"/>
    </row>
    <row r="204">
      <c r="A204" s="30"/>
      <c r="B204" s="30"/>
      <c r="C204" s="30"/>
      <c r="D204" s="30"/>
      <c r="E204" s="30"/>
      <c r="F204" s="30"/>
      <c r="I204" s="25"/>
      <c r="T204" s="30"/>
      <c r="U204" s="30"/>
      <c r="V204" s="30"/>
      <c r="W204" s="30"/>
      <c r="X204" s="30"/>
    </row>
    <row r="205">
      <c r="A205" s="30"/>
      <c r="B205" s="30"/>
      <c r="C205" s="30"/>
      <c r="D205" s="30"/>
      <c r="E205" s="30"/>
      <c r="F205" s="30"/>
      <c r="I205" s="25"/>
      <c r="T205" s="30"/>
      <c r="U205" s="30"/>
      <c r="V205" s="30"/>
      <c r="W205" s="30"/>
      <c r="X205" s="30"/>
    </row>
    <row r="206">
      <c r="A206" s="30"/>
      <c r="B206" s="30"/>
      <c r="C206" s="30"/>
      <c r="D206" s="30"/>
      <c r="E206" s="30"/>
      <c r="F206" s="30"/>
      <c r="I206" s="25"/>
      <c r="T206" s="30"/>
      <c r="U206" s="30"/>
      <c r="V206" s="30"/>
      <c r="W206" s="30"/>
      <c r="X206" s="30"/>
    </row>
    <row r="207">
      <c r="A207" s="30"/>
      <c r="B207" s="30"/>
      <c r="C207" s="30"/>
      <c r="D207" s="30"/>
      <c r="E207" s="30"/>
      <c r="F207" s="30"/>
      <c r="I207" s="25"/>
      <c r="T207" s="30"/>
      <c r="U207" s="30"/>
      <c r="V207" s="30"/>
      <c r="W207" s="30"/>
      <c r="X207" s="30"/>
    </row>
    <row r="208">
      <c r="A208" s="30"/>
      <c r="B208" s="30"/>
      <c r="C208" s="30"/>
      <c r="D208" s="30"/>
      <c r="E208" s="30"/>
      <c r="F208" s="30"/>
      <c r="I208" s="25"/>
      <c r="T208" s="30"/>
      <c r="U208" s="30"/>
      <c r="V208" s="30"/>
      <c r="W208" s="30"/>
      <c r="X208" s="30"/>
    </row>
    <row r="209">
      <c r="A209" s="30"/>
      <c r="B209" s="30"/>
      <c r="C209" s="30"/>
      <c r="D209" s="30"/>
      <c r="E209" s="30"/>
      <c r="F209" s="30"/>
      <c r="I209" s="25"/>
      <c r="T209" s="30"/>
      <c r="U209" s="30"/>
      <c r="V209" s="30"/>
      <c r="W209" s="30"/>
      <c r="X209" s="30"/>
    </row>
    <row r="210">
      <c r="A210" s="30"/>
      <c r="B210" s="30"/>
      <c r="C210" s="30"/>
      <c r="D210" s="30"/>
      <c r="E210" s="30"/>
      <c r="F210" s="30"/>
      <c r="I210" s="25"/>
      <c r="T210" s="30"/>
      <c r="U210" s="30"/>
      <c r="V210" s="30"/>
      <c r="W210" s="30"/>
      <c r="X210" s="30"/>
    </row>
    <row r="211">
      <c r="A211" s="30"/>
      <c r="B211" s="30"/>
      <c r="C211" s="30"/>
      <c r="D211" s="30"/>
      <c r="E211" s="30"/>
      <c r="F211" s="30"/>
      <c r="I211" s="25"/>
      <c r="T211" s="30"/>
      <c r="U211" s="30"/>
      <c r="V211" s="30"/>
      <c r="W211" s="30"/>
      <c r="X211" s="30"/>
    </row>
    <row r="212">
      <c r="A212" s="30"/>
      <c r="B212" s="30"/>
      <c r="C212" s="30"/>
      <c r="D212" s="30"/>
      <c r="E212" s="30"/>
      <c r="F212" s="30"/>
      <c r="I212" s="25"/>
      <c r="T212" s="30"/>
      <c r="U212" s="30"/>
      <c r="V212" s="30"/>
      <c r="W212" s="30"/>
      <c r="X212" s="30"/>
    </row>
    <row r="213">
      <c r="A213" s="30"/>
      <c r="B213" s="30"/>
      <c r="C213" s="30"/>
      <c r="D213" s="30"/>
      <c r="E213" s="30"/>
      <c r="F213" s="30"/>
      <c r="I213" s="25"/>
      <c r="T213" s="30"/>
      <c r="U213" s="30"/>
      <c r="V213" s="30"/>
      <c r="W213" s="30"/>
      <c r="X213" s="30"/>
    </row>
    <row r="214">
      <c r="A214" s="30"/>
      <c r="B214" s="30"/>
      <c r="C214" s="30"/>
      <c r="D214" s="30"/>
      <c r="E214" s="30"/>
      <c r="F214" s="30"/>
      <c r="I214" s="25"/>
      <c r="T214" s="30"/>
      <c r="U214" s="30"/>
      <c r="V214" s="30"/>
      <c r="W214" s="30"/>
      <c r="X214" s="30"/>
    </row>
    <row r="215">
      <c r="A215" s="30"/>
      <c r="B215" s="30"/>
      <c r="C215" s="30"/>
      <c r="D215" s="30"/>
      <c r="E215" s="30"/>
      <c r="F215" s="30"/>
      <c r="I215" s="25"/>
      <c r="T215" s="30"/>
      <c r="U215" s="30"/>
      <c r="V215" s="30"/>
      <c r="W215" s="30"/>
      <c r="X215" s="30"/>
    </row>
    <row r="216">
      <c r="A216" s="30"/>
      <c r="B216" s="30"/>
      <c r="C216" s="30"/>
      <c r="D216" s="30"/>
      <c r="E216" s="30"/>
      <c r="F216" s="30"/>
      <c r="I216" s="25"/>
      <c r="T216" s="30"/>
      <c r="U216" s="30"/>
      <c r="V216" s="30"/>
      <c r="W216" s="30"/>
      <c r="X216" s="30"/>
    </row>
    <row r="217">
      <c r="A217" s="30"/>
      <c r="B217" s="30"/>
      <c r="C217" s="30"/>
      <c r="D217" s="30"/>
      <c r="E217" s="30"/>
      <c r="F217" s="30"/>
      <c r="I217" s="25"/>
      <c r="T217" s="30"/>
      <c r="U217" s="30"/>
      <c r="V217" s="30"/>
      <c r="W217" s="30"/>
      <c r="X217" s="30"/>
    </row>
    <row r="218">
      <c r="A218" s="30"/>
      <c r="B218" s="30"/>
      <c r="C218" s="30"/>
      <c r="D218" s="30"/>
      <c r="E218" s="30"/>
      <c r="F218" s="30"/>
      <c r="I218" s="25"/>
      <c r="T218" s="30"/>
      <c r="U218" s="30"/>
      <c r="V218" s="30"/>
      <c r="W218" s="30"/>
      <c r="X218" s="30"/>
    </row>
    <row r="219">
      <c r="A219" s="30"/>
      <c r="B219" s="30"/>
      <c r="C219" s="30"/>
      <c r="D219" s="30"/>
      <c r="E219" s="30"/>
      <c r="F219" s="30"/>
      <c r="I219" s="25"/>
      <c r="T219" s="30"/>
      <c r="U219" s="30"/>
      <c r="V219" s="30"/>
      <c r="W219" s="30"/>
      <c r="X219" s="30"/>
    </row>
    <row r="220">
      <c r="A220" s="30"/>
      <c r="B220" s="30"/>
      <c r="C220" s="30"/>
      <c r="D220" s="30"/>
      <c r="E220" s="30"/>
      <c r="F220" s="30"/>
      <c r="I220" s="25"/>
      <c r="T220" s="30"/>
      <c r="U220" s="30"/>
      <c r="V220" s="30"/>
      <c r="W220" s="30"/>
      <c r="X220" s="30"/>
    </row>
    <row r="221">
      <c r="A221" s="30"/>
      <c r="B221" s="30"/>
      <c r="C221" s="30"/>
      <c r="D221" s="30"/>
      <c r="E221" s="30"/>
      <c r="F221" s="30"/>
      <c r="I221" s="25"/>
      <c r="T221" s="30"/>
      <c r="U221" s="30"/>
      <c r="V221" s="30"/>
      <c r="W221" s="30"/>
      <c r="X221" s="30"/>
    </row>
    <row r="222">
      <c r="A222" s="30"/>
      <c r="B222" s="30"/>
      <c r="C222" s="30"/>
      <c r="D222" s="30"/>
      <c r="E222" s="30"/>
      <c r="F222" s="30"/>
      <c r="I222" s="25"/>
      <c r="T222" s="30"/>
      <c r="U222" s="30"/>
      <c r="V222" s="30"/>
      <c r="W222" s="30"/>
      <c r="X222" s="30"/>
    </row>
    <row r="223">
      <c r="A223" s="30"/>
      <c r="B223" s="30"/>
      <c r="C223" s="30"/>
      <c r="D223" s="30"/>
      <c r="E223" s="30"/>
      <c r="F223" s="30"/>
      <c r="I223" s="25"/>
      <c r="T223" s="30"/>
      <c r="U223" s="30"/>
      <c r="V223" s="30"/>
      <c r="W223" s="30"/>
      <c r="X223" s="30"/>
    </row>
    <row r="224">
      <c r="A224" s="30"/>
      <c r="B224" s="30"/>
      <c r="C224" s="30"/>
      <c r="D224" s="30"/>
      <c r="E224" s="30"/>
      <c r="F224" s="30"/>
      <c r="I224" s="25"/>
      <c r="T224" s="30"/>
      <c r="U224" s="30"/>
      <c r="V224" s="30"/>
      <c r="W224" s="30"/>
      <c r="X224" s="30"/>
    </row>
    <row r="225">
      <c r="A225" s="30"/>
      <c r="B225" s="30"/>
      <c r="C225" s="30"/>
      <c r="D225" s="30"/>
      <c r="E225" s="30"/>
      <c r="F225" s="30"/>
      <c r="I225" s="25"/>
      <c r="T225" s="30"/>
      <c r="U225" s="30"/>
      <c r="V225" s="30"/>
      <c r="W225" s="30"/>
      <c r="X225" s="30"/>
    </row>
    <row r="226">
      <c r="A226" s="30"/>
      <c r="B226" s="30"/>
      <c r="C226" s="30"/>
      <c r="D226" s="30"/>
      <c r="E226" s="30"/>
      <c r="F226" s="30"/>
      <c r="I226" s="25"/>
      <c r="T226" s="30"/>
      <c r="U226" s="30"/>
      <c r="V226" s="30"/>
      <c r="W226" s="30"/>
      <c r="X226" s="30"/>
    </row>
    <row r="227">
      <c r="A227" s="30"/>
      <c r="B227" s="30"/>
      <c r="C227" s="30"/>
      <c r="D227" s="30"/>
      <c r="E227" s="30"/>
      <c r="F227" s="30"/>
      <c r="I227" s="25"/>
      <c r="T227" s="30"/>
      <c r="U227" s="30"/>
      <c r="V227" s="30"/>
      <c r="W227" s="30"/>
      <c r="X227" s="30"/>
    </row>
    <row r="228">
      <c r="A228" s="30"/>
      <c r="B228" s="30"/>
      <c r="C228" s="30"/>
      <c r="D228" s="30"/>
      <c r="E228" s="30"/>
      <c r="F228" s="30"/>
      <c r="I228" s="25"/>
      <c r="T228" s="30"/>
      <c r="U228" s="30"/>
      <c r="V228" s="30"/>
      <c r="W228" s="30"/>
      <c r="X228" s="30"/>
    </row>
    <row r="229">
      <c r="A229" s="30"/>
      <c r="B229" s="30"/>
      <c r="C229" s="30"/>
      <c r="D229" s="30"/>
      <c r="E229" s="30"/>
      <c r="F229" s="30"/>
      <c r="I229" s="25"/>
      <c r="T229" s="30"/>
      <c r="U229" s="30"/>
      <c r="V229" s="30"/>
      <c r="W229" s="30"/>
      <c r="X229" s="30"/>
    </row>
    <row r="230">
      <c r="A230" s="30"/>
      <c r="B230" s="30"/>
      <c r="C230" s="30"/>
      <c r="D230" s="30"/>
      <c r="E230" s="30"/>
      <c r="F230" s="30"/>
      <c r="I230" s="25"/>
      <c r="T230" s="30"/>
      <c r="U230" s="30"/>
      <c r="V230" s="30"/>
      <c r="W230" s="30"/>
      <c r="X230" s="30"/>
    </row>
    <row r="231">
      <c r="A231" s="30"/>
      <c r="B231" s="30"/>
      <c r="C231" s="30"/>
      <c r="D231" s="30"/>
      <c r="E231" s="30"/>
      <c r="F231" s="30"/>
      <c r="I231" s="25"/>
      <c r="T231" s="30"/>
      <c r="U231" s="30"/>
      <c r="V231" s="30"/>
      <c r="W231" s="30"/>
      <c r="X231" s="30"/>
    </row>
    <row r="232">
      <c r="A232" s="30"/>
      <c r="B232" s="30"/>
      <c r="C232" s="30"/>
      <c r="D232" s="30"/>
      <c r="E232" s="30"/>
      <c r="F232" s="30"/>
      <c r="I232" s="25"/>
      <c r="T232" s="30"/>
      <c r="U232" s="30"/>
      <c r="V232" s="30"/>
      <c r="W232" s="30"/>
      <c r="X232" s="30"/>
    </row>
    <row r="233">
      <c r="A233" s="30"/>
      <c r="B233" s="30"/>
      <c r="C233" s="30"/>
      <c r="D233" s="30"/>
      <c r="E233" s="30"/>
      <c r="F233" s="30"/>
      <c r="I233" s="25"/>
      <c r="T233" s="30"/>
      <c r="U233" s="30"/>
      <c r="V233" s="30"/>
      <c r="W233" s="30"/>
      <c r="X233" s="30"/>
    </row>
    <row r="234">
      <c r="A234" s="30"/>
      <c r="B234" s="30"/>
      <c r="C234" s="30"/>
      <c r="D234" s="30"/>
      <c r="E234" s="30"/>
      <c r="F234" s="30"/>
      <c r="I234" s="25"/>
      <c r="T234" s="30"/>
      <c r="U234" s="30"/>
      <c r="V234" s="30"/>
      <c r="W234" s="30"/>
      <c r="X234" s="30"/>
    </row>
    <row r="235">
      <c r="A235" s="30"/>
      <c r="B235" s="30"/>
      <c r="C235" s="30"/>
      <c r="D235" s="30"/>
      <c r="E235" s="30"/>
      <c r="F235" s="30"/>
      <c r="I235" s="25"/>
      <c r="T235" s="30"/>
      <c r="U235" s="30"/>
      <c r="V235" s="30"/>
      <c r="W235" s="30"/>
      <c r="X235" s="30"/>
    </row>
    <row r="236">
      <c r="A236" s="30"/>
      <c r="B236" s="30"/>
      <c r="C236" s="30"/>
      <c r="D236" s="30"/>
      <c r="E236" s="30"/>
      <c r="F236" s="30"/>
      <c r="I236" s="25"/>
      <c r="T236" s="30"/>
      <c r="U236" s="30"/>
      <c r="V236" s="30"/>
      <c r="W236" s="30"/>
      <c r="X236" s="30"/>
    </row>
    <row r="237">
      <c r="A237" s="30"/>
      <c r="B237" s="30"/>
      <c r="C237" s="30"/>
      <c r="D237" s="30"/>
      <c r="E237" s="30"/>
      <c r="F237" s="30"/>
      <c r="I237" s="25"/>
      <c r="T237" s="30"/>
      <c r="U237" s="30"/>
      <c r="V237" s="30"/>
      <c r="W237" s="30"/>
      <c r="X237" s="30"/>
    </row>
    <row r="238">
      <c r="A238" s="30"/>
      <c r="B238" s="30"/>
      <c r="C238" s="30"/>
      <c r="D238" s="30"/>
      <c r="E238" s="30"/>
      <c r="F238" s="30"/>
      <c r="I238" s="25"/>
      <c r="T238" s="30"/>
      <c r="U238" s="30"/>
      <c r="V238" s="30"/>
      <c r="W238" s="30"/>
      <c r="X238" s="30"/>
    </row>
    <row r="239">
      <c r="A239" s="30"/>
      <c r="B239" s="30"/>
      <c r="C239" s="30"/>
      <c r="D239" s="30"/>
      <c r="E239" s="30"/>
      <c r="F239" s="30"/>
      <c r="I239" s="25"/>
      <c r="T239" s="30"/>
      <c r="U239" s="30"/>
      <c r="V239" s="30"/>
      <c r="W239" s="30"/>
      <c r="X239" s="30"/>
    </row>
    <row r="240">
      <c r="A240" s="30"/>
      <c r="B240" s="30"/>
      <c r="C240" s="30"/>
      <c r="D240" s="30"/>
      <c r="E240" s="30"/>
      <c r="F240" s="30"/>
      <c r="I240" s="25"/>
      <c r="T240" s="30"/>
      <c r="U240" s="30"/>
      <c r="V240" s="30"/>
      <c r="W240" s="30"/>
      <c r="X240" s="30"/>
    </row>
    <row r="241">
      <c r="A241" s="30"/>
      <c r="B241" s="30"/>
      <c r="C241" s="30"/>
      <c r="D241" s="30"/>
      <c r="E241" s="30"/>
      <c r="F241" s="30"/>
      <c r="I241" s="25"/>
      <c r="T241" s="30"/>
      <c r="U241" s="30"/>
      <c r="V241" s="30"/>
      <c r="W241" s="30"/>
      <c r="X241" s="30"/>
    </row>
    <row r="242">
      <c r="A242" s="30"/>
      <c r="B242" s="30"/>
      <c r="C242" s="30"/>
      <c r="D242" s="30"/>
      <c r="E242" s="30"/>
      <c r="F242" s="30"/>
      <c r="I242" s="25"/>
      <c r="T242" s="30"/>
      <c r="U242" s="30"/>
      <c r="V242" s="30"/>
      <c r="W242" s="30"/>
      <c r="X242" s="30"/>
    </row>
    <row r="243">
      <c r="A243" s="30"/>
      <c r="B243" s="30"/>
      <c r="C243" s="30"/>
      <c r="D243" s="30"/>
      <c r="E243" s="30"/>
      <c r="F243" s="30"/>
      <c r="I243" s="25"/>
      <c r="T243" s="30"/>
      <c r="U243" s="30"/>
      <c r="V243" s="30"/>
      <c r="W243" s="30"/>
      <c r="X243" s="30"/>
    </row>
    <row r="244">
      <c r="A244" s="30"/>
      <c r="B244" s="30"/>
      <c r="C244" s="30"/>
      <c r="D244" s="30"/>
      <c r="E244" s="30"/>
      <c r="F244" s="30"/>
      <c r="I244" s="25"/>
      <c r="T244" s="30"/>
      <c r="U244" s="30"/>
      <c r="V244" s="30"/>
      <c r="W244" s="30"/>
      <c r="X244" s="30"/>
    </row>
    <row r="245">
      <c r="A245" s="30"/>
      <c r="B245" s="30"/>
      <c r="C245" s="30"/>
      <c r="D245" s="30"/>
      <c r="E245" s="30"/>
      <c r="F245" s="30"/>
      <c r="I245" s="25"/>
      <c r="T245" s="30"/>
      <c r="U245" s="30"/>
      <c r="V245" s="30"/>
      <c r="W245" s="30"/>
      <c r="X245" s="30"/>
    </row>
    <row r="246">
      <c r="A246" s="30"/>
      <c r="B246" s="30"/>
      <c r="C246" s="30"/>
      <c r="D246" s="30"/>
      <c r="E246" s="30"/>
      <c r="F246" s="30"/>
      <c r="I246" s="25"/>
      <c r="T246" s="30"/>
      <c r="U246" s="30"/>
      <c r="V246" s="30"/>
      <c r="W246" s="30"/>
      <c r="X246" s="30"/>
    </row>
    <row r="247">
      <c r="A247" s="30"/>
      <c r="B247" s="30"/>
      <c r="C247" s="30"/>
      <c r="D247" s="30"/>
      <c r="E247" s="30"/>
      <c r="F247" s="30"/>
      <c r="I247" s="25"/>
      <c r="T247" s="30"/>
      <c r="U247" s="30"/>
      <c r="V247" s="30"/>
      <c r="W247" s="30"/>
      <c r="X247" s="30"/>
    </row>
    <row r="248">
      <c r="A248" s="30"/>
      <c r="B248" s="30"/>
      <c r="C248" s="30"/>
      <c r="D248" s="30"/>
      <c r="E248" s="30"/>
      <c r="F248" s="30"/>
      <c r="I248" s="25"/>
      <c r="T248" s="30"/>
      <c r="U248" s="30"/>
      <c r="V248" s="30"/>
      <c r="W248" s="30"/>
      <c r="X248" s="30"/>
    </row>
    <row r="249">
      <c r="A249" s="30"/>
      <c r="B249" s="30"/>
      <c r="C249" s="30"/>
      <c r="D249" s="30"/>
      <c r="E249" s="30"/>
      <c r="F249" s="30"/>
      <c r="I249" s="25"/>
      <c r="T249" s="30"/>
      <c r="U249" s="30"/>
      <c r="V249" s="30"/>
      <c r="W249" s="30"/>
      <c r="X249" s="30"/>
    </row>
    <row r="250">
      <c r="A250" s="30"/>
      <c r="B250" s="30"/>
      <c r="C250" s="30"/>
      <c r="D250" s="30"/>
      <c r="E250" s="30"/>
      <c r="F250" s="30"/>
      <c r="I250" s="25"/>
      <c r="T250" s="30"/>
      <c r="U250" s="30"/>
      <c r="V250" s="30"/>
      <c r="W250" s="30"/>
      <c r="X250" s="30"/>
    </row>
    <row r="251">
      <c r="A251" s="30"/>
      <c r="B251" s="30"/>
      <c r="C251" s="30"/>
      <c r="D251" s="30"/>
      <c r="E251" s="30"/>
      <c r="F251" s="30"/>
      <c r="I251" s="25"/>
      <c r="T251" s="30"/>
      <c r="U251" s="30"/>
      <c r="V251" s="30"/>
      <c r="W251" s="30"/>
      <c r="X251" s="30"/>
    </row>
    <row r="252">
      <c r="A252" s="30"/>
      <c r="B252" s="30"/>
      <c r="C252" s="30"/>
      <c r="D252" s="30"/>
      <c r="E252" s="30"/>
      <c r="F252" s="30"/>
      <c r="I252" s="25"/>
      <c r="T252" s="30"/>
      <c r="U252" s="30"/>
      <c r="V252" s="30"/>
      <c r="W252" s="30"/>
      <c r="X252" s="30"/>
    </row>
    <row r="253">
      <c r="A253" s="30"/>
      <c r="B253" s="30"/>
      <c r="C253" s="30"/>
      <c r="D253" s="30"/>
      <c r="E253" s="30"/>
      <c r="F253" s="30"/>
      <c r="I253" s="25"/>
      <c r="T253" s="30"/>
      <c r="U253" s="30"/>
      <c r="V253" s="30"/>
      <c r="W253" s="30"/>
      <c r="X253" s="30"/>
    </row>
    <row r="254">
      <c r="A254" s="30"/>
      <c r="B254" s="30"/>
      <c r="C254" s="30"/>
      <c r="D254" s="30"/>
      <c r="E254" s="30"/>
      <c r="F254" s="30"/>
      <c r="I254" s="25"/>
      <c r="T254" s="30"/>
      <c r="U254" s="30"/>
      <c r="V254" s="30"/>
      <c r="W254" s="30"/>
      <c r="X254" s="30"/>
    </row>
    <row r="255">
      <c r="A255" s="30"/>
      <c r="B255" s="30"/>
      <c r="C255" s="30"/>
      <c r="D255" s="30"/>
      <c r="E255" s="30"/>
      <c r="F255" s="30"/>
      <c r="I255" s="25"/>
      <c r="T255" s="30"/>
      <c r="U255" s="30"/>
      <c r="V255" s="30"/>
      <c r="W255" s="30"/>
      <c r="X255" s="30"/>
    </row>
    <row r="256">
      <c r="A256" s="30"/>
      <c r="B256" s="30"/>
      <c r="C256" s="30"/>
      <c r="D256" s="30"/>
      <c r="E256" s="30"/>
      <c r="F256" s="30"/>
      <c r="I256" s="25"/>
      <c r="T256" s="30"/>
      <c r="U256" s="30"/>
      <c r="V256" s="30"/>
      <c r="W256" s="30"/>
      <c r="X256" s="30"/>
    </row>
    <row r="257">
      <c r="A257" s="30"/>
      <c r="B257" s="30"/>
      <c r="C257" s="30"/>
      <c r="D257" s="30"/>
      <c r="E257" s="30"/>
      <c r="F257" s="30"/>
      <c r="I257" s="25"/>
      <c r="T257" s="30"/>
      <c r="U257" s="30"/>
      <c r="V257" s="30"/>
      <c r="W257" s="30"/>
      <c r="X257" s="30"/>
    </row>
    <row r="258">
      <c r="A258" s="30"/>
      <c r="B258" s="30"/>
      <c r="C258" s="30"/>
      <c r="D258" s="30"/>
      <c r="E258" s="30"/>
      <c r="F258" s="30"/>
      <c r="I258" s="25"/>
      <c r="T258" s="30"/>
      <c r="U258" s="30"/>
      <c r="V258" s="30"/>
      <c r="W258" s="30"/>
      <c r="X258" s="30"/>
    </row>
    <row r="259">
      <c r="A259" s="30"/>
      <c r="B259" s="30"/>
      <c r="C259" s="30"/>
      <c r="D259" s="30"/>
      <c r="E259" s="30"/>
      <c r="F259" s="30"/>
      <c r="I259" s="25"/>
      <c r="T259" s="30"/>
      <c r="U259" s="30"/>
      <c r="V259" s="30"/>
      <c r="W259" s="30"/>
      <c r="X259" s="30"/>
    </row>
    <row r="260">
      <c r="A260" s="30"/>
      <c r="B260" s="30"/>
      <c r="C260" s="30"/>
      <c r="D260" s="30"/>
      <c r="E260" s="30"/>
      <c r="F260" s="30"/>
      <c r="I260" s="25"/>
      <c r="T260" s="30"/>
      <c r="U260" s="30"/>
      <c r="V260" s="30"/>
      <c r="W260" s="30"/>
      <c r="X260" s="30"/>
    </row>
    <row r="261">
      <c r="A261" s="30"/>
      <c r="B261" s="30"/>
      <c r="C261" s="30"/>
      <c r="D261" s="30"/>
      <c r="E261" s="30"/>
      <c r="F261" s="30"/>
      <c r="I261" s="25"/>
      <c r="T261" s="30"/>
      <c r="U261" s="30"/>
      <c r="V261" s="30"/>
      <c r="W261" s="30"/>
      <c r="X261" s="30"/>
    </row>
    <row r="262">
      <c r="A262" s="30"/>
      <c r="B262" s="30"/>
      <c r="C262" s="30"/>
      <c r="D262" s="30"/>
      <c r="E262" s="30"/>
      <c r="F262" s="30"/>
      <c r="I262" s="25"/>
      <c r="T262" s="30"/>
      <c r="U262" s="30"/>
      <c r="V262" s="30"/>
      <c r="W262" s="30"/>
      <c r="X262" s="30"/>
    </row>
    <row r="263">
      <c r="A263" s="30"/>
      <c r="B263" s="30"/>
      <c r="C263" s="30"/>
      <c r="D263" s="30"/>
      <c r="E263" s="30"/>
      <c r="F263" s="30"/>
      <c r="I263" s="25"/>
      <c r="T263" s="30"/>
      <c r="U263" s="30"/>
      <c r="V263" s="30"/>
      <c r="W263" s="30"/>
      <c r="X263" s="30"/>
    </row>
    <row r="264">
      <c r="A264" s="30"/>
      <c r="B264" s="30"/>
      <c r="C264" s="30"/>
      <c r="D264" s="30"/>
      <c r="E264" s="30"/>
      <c r="F264" s="30"/>
      <c r="I264" s="25"/>
      <c r="T264" s="30"/>
      <c r="U264" s="30"/>
      <c r="V264" s="30"/>
      <c r="W264" s="30"/>
      <c r="X264" s="30"/>
    </row>
    <row r="265">
      <c r="A265" s="30"/>
      <c r="B265" s="30"/>
      <c r="C265" s="30"/>
      <c r="D265" s="30"/>
      <c r="E265" s="30"/>
      <c r="F265" s="30"/>
      <c r="I265" s="25"/>
      <c r="T265" s="30"/>
      <c r="U265" s="30"/>
      <c r="V265" s="30"/>
      <c r="W265" s="30"/>
      <c r="X265" s="30"/>
    </row>
    <row r="266">
      <c r="A266" s="30"/>
      <c r="B266" s="30"/>
      <c r="C266" s="30"/>
      <c r="D266" s="30"/>
      <c r="E266" s="30"/>
      <c r="F266" s="30"/>
      <c r="I266" s="25"/>
      <c r="T266" s="30"/>
      <c r="U266" s="30"/>
      <c r="V266" s="30"/>
      <c r="W266" s="30"/>
      <c r="X266" s="30"/>
    </row>
    <row r="267">
      <c r="A267" s="30"/>
      <c r="B267" s="30"/>
      <c r="C267" s="30"/>
      <c r="D267" s="30"/>
      <c r="E267" s="30"/>
      <c r="F267" s="30"/>
      <c r="I267" s="25"/>
      <c r="T267" s="30"/>
      <c r="U267" s="30"/>
      <c r="V267" s="30"/>
      <c r="W267" s="30"/>
      <c r="X267" s="30"/>
    </row>
    <row r="268">
      <c r="A268" s="30"/>
      <c r="B268" s="30"/>
      <c r="C268" s="30"/>
      <c r="D268" s="30"/>
      <c r="E268" s="30"/>
      <c r="F268" s="30"/>
      <c r="I268" s="25"/>
      <c r="T268" s="30"/>
      <c r="U268" s="30"/>
      <c r="V268" s="30"/>
      <c r="W268" s="30"/>
      <c r="X268" s="30"/>
    </row>
    <row r="269">
      <c r="A269" s="30"/>
      <c r="B269" s="30"/>
      <c r="C269" s="30"/>
      <c r="D269" s="30"/>
      <c r="E269" s="30"/>
      <c r="F269" s="30"/>
      <c r="I269" s="25"/>
      <c r="T269" s="30"/>
      <c r="U269" s="30"/>
      <c r="V269" s="30"/>
      <c r="W269" s="30"/>
      <c r="X269" s="30"/>
    </row>
    <row r="270">
      <c r="A270" s="30"/>
      <c r="B270" s="30"/>
      <c r="C270" s="30"/>
      <c r="D270" s="30"/>
      <c r="E270" s="30"/>
      <c r="F270" s="30"/>
      <c r="I270" s="25"/>
      <c r="T270" s="30"/>
      <c r="U270" s="30"/>
      <c r="V270" s="30"/>
      <c r="W270" s="30"/>
      <c r="X270" s="30"/>
    </row>
    <row r="271">
      <c r="A271" s="30"/>
      <c r="B271" s="30"/>
      <c r="C271" s="30"/>
      <c r="D271" s="30"/>
      <c r="E271" s="30"/>
      <c r="F271" s="30"/>
      <c r="I271" s="25"/>
      <c r="T271" s="30"/>
      <c r="U271" s="30"/>
      <c r="V271" s="30"/>
      <c r="W271" s="30"/>
      <c r="X271" s="30"/>
    </row>
    <row r="272">
      <c r="A272" s="30"/>
      <c r="B272" s="30"/>
      <c r="C272" s="30"/>
      <c r="D272" s="30"/>
      <c r="E272" s="30"/>
      <c r="F272" s="30"/>
      <c r="I272" s="25"/>
      <c r="T272" s="30"/>
      <c r="U272" s="30"/>
      <c r="V272" s="30"/>
      <c r="W272" s="30"/>
      <c r="X272" s="30"/>
    </row>
    <row r="273">
      <c r="A273" s="30"/>
      <c r="B273" s="30"/>
      <c r="C273" s="30"/>
      <c r="D273" s="30"/>
      <c r="E273" s="30"/>
      <c r="F273" s="30"/>
      <c r="I273" s="25"/>
      <c r="T273" s="30"/>
      <c r="U273" s="30"/>
      <c r="V273" s="30"/>
      <c r="W273" s="30"/>
      <c r="X273" s="30"/>
    </row>
    <row r="274">
      <c r="A274" s="30"/>
      <c r="B274" s="30"/>
      <c r="C274" s="30"/>
      <c r="D274" s="30"/>
      <c r="E274" s="30"/>
      <c r="F274" s="30"/>
      <c r="I274" s="25"/>
      <c r="T274" s="30"/>
      <c r="U274" s="30"/>
      <c r="V274" s="30"/>
      <c r="W274" s="30"/>
      <c r="X274" s="30"/>
    </row>
    <row r="275">
      <c r="A275" s="30"/>
      <c r="B275" s="30"/>
      <c r="C275" s="30"/>
      <c r="D275" s="30"/>
      <c r="E275" s="30"/>
      <c r="F275" s="30"/>
      <c r="I275" s="25"/>
      <c r="T275" s="30"/>
      <c r="U275" s="30"/>
      <c r="V275" s="30"/>
      <c r="W275" s="30"/>
      <c r="X275" s="30"/>
    </row>
    <row r="276">
      <c r="A276" s="30"/>
      <c r="B276" s="30"/>
      <c r="C276" s="30"/>
      <c r="D276" s="30"/>
      <c r="E276" s="30"/>
      <c r="F276" s="30"/>
      <c r="I276" s="25"/>
      <c r="T276" s="30"/>
      <c r="U276" s="30"/>
      <c r="V276" s="30"/>
      <c r="W276" s="30"/>
      <c r="X276" s="30"/>
    </row>
    <row r="277">
      <c r="A277" s="30"/>
      <c r="B277" s="30"/>
      <c r="C277" s="30"/>
      <c r="D277" s="30"/>
      <c r="E277" s="30"/>
      <c r="F277" s="30"/>
      <c r="I277" s="25"/>
      <c r="T277" s="30"/>
      <c r="U277" s="30"/>
      <c r="V277" s="30"/>
      <c r="W277" s="30"/>
      <c r="X277" s="30"/>
    </row>
    <row r="278">
      <c r="A278" s="30"/>
      <c r="B278" s="30"/>
      <c r="C278" s="30"/>
      <c r="D278" s="30"/>
      <c r="E278" s="30"/>
      <c r="F278" s="30"/>
      <c r="I278" s="25"/>
      <c r="T278" s="30"/>
      <c r="U278" s="30"/>
      <c r="V278" s="30"/>
      <c r="W278" s="30"/>
      <c r="X278" s="30"/>
    </row>
    <row r="279">
      <c r="A279" s="30"/>
      <c r="B279" s="30"/>
      <c r="C279" s="30"/>
      <c r="D279" s="30"/>
      <c r="E279" s="30"/>
      <c r="F279" s="30"/>
      <c r="I279" s="25"/>
      <c r="T279" s="30"/>
      <c r="U279" s="30"/>
      <c r="V279" s="30"/>
      <c r="W279" s="30"/>
      <c r="X279" s="30"/>
    </row>
    <row r="280">
      <c r="A280" s="30"/>
      <c r="B280" s="30"/>
      <c r="C280" s="30"/>
      <c r="D280" s="30"/>
      <c r="E280" s="30"/>
      <c r="F280" s="30"/>
      <c r="I280" s="25"/>
      <c r="T280" s="30"/>
      <c r="U280" s="30"/>
      <c r="V280" s="30"/>
      <c r="W280" s="30"/>
      <c r="X280" s="30"/>
    </row>
    <row r="281">
      <c r="A281" s="30"/>
      <c r="B281" s="30"/>
      <c r="C281" s="30"/>
      <c r="D281" s="30"/>
      <c r="E281" s="30"/>
      <c r="F281" s="30"/>
      <c r="I281" s="25"/>
      <c r="T281" s="30"/>
      <c r="U281" s="30"/>
      <c r="V281" s="30"/>
      <c r="W281" s="30"/>
      <c r="X281" s="30"/>
    </row>
    <row r="282">
      <c r="A282" s="30"/>
      <c r="B282" s="30"/>
      <c r="C282" s="30"/>
      <c r="D282" s="30"/>
      <c r="E282" s="30"/>
      <c r="F282" s="30"/>
      <c r="I282" s="25"/>
      <c r="T282" s="30"/>
      <c r="U282" s="30"/>
      <c r="V282" s="30"/>
      <c r="W282" s="30"/>
      <c r="X282" s="30"/>
    </row>
    <row r="283">
      <c r="A283" s="30"/>
      <c r="B283" s="30"/>
      <c r="C283" s="30"/>
      <c r="D283" s="30"/>
      <c r="E283" s="30"/>
      <c r="F283" s="30"/>
      <c r="I283" s="25"/>
      <c r="T283" s="30"/>
      <c r="U283" s="30"/>
      <c r="V283" s="30"/>
      <c r="W283" s="30"/>
      <c r="X283" s="30"/>
    </row>
    <row r="284">
      <c r="A284" s="30"/>
      <c r="B284" s="30"/>
      <c r="C284" s="30"/>
      <c r="D284" s="30"/>
      <c r="E284" s="30"/>
      <c r="F284" s="30"/>
      <c r="I284" s="25"/>
      <c r="T284" s="30"/>
      <c r="U284" s="30"/>
      <c r="V284" s="30"/>
      <c r="W284" s="30"/>
      <c r="X284" s="30"/>
    </row>
    <row r="285">
      <c r="A285" s="30"/>
      <c r="B285" s="30"/>
      <c r="C285" s="30"/>
      <c r="D285" s="30"/>
      <c r="E285" s="30"/>
      <c r="F285" s="30"/>
      <c r="I285" s="25"/>
      <c r="T285" s="30"/>
      <c r="U285" s="30"/>
      <c r="V285" s="30"/>
      <c r="W285" s="30"/>
      <c r="X285" s="30"/>
    </row>
    <row r="286">
      <c r="A286" s="30"/>
      <c r="B286" s="30"/>
      <c r="C286" s="30"/>
      <c r="D286" s="30"/>
      <c r="E286" s="30"/>
      <c r="F286" s="30"/>
      <c r="I286" s="25"/>
      <c r="T286" s="30"/>
      <c r="U286" s="30"/>
      <c r="V286" s="30"/>
      <c r="W286" s="30"/>
      <c r="X286" s="30"/>
    </row>
    <row r="287">
      <c r="A287" s="30"/>
      <c r="B287" s="30"/>
      <c r="C287" s="30"/>
      <c r="D287" s="30"/>
      <c r="E287" s="30"/>
      <c r="F287" s="30"/>
      <c r="I287" s="25"/>
      <c r="T287" s="30"/>
      <c r="U287" s="30"/>
      <c r="V287" s="30"/>
      <c r="W287" s="30"/>
      <c r="X287" s="30"/>
    </row>
    <row r="288">
      <c r="A288" s="30"/>
      <c r="B288" s="30"/>
      <c r="C288" s="30"/>
      <c r="D288" s="30"/>
      <c r="E288" s="30"/>
      <c r="F288" s="30"/>
      <c r="I288" s="25"/>
      <c r="T288" s="30"/>
      <c r="U288" s="30"/>
      <c r="V288" s="30"/>
      <c r="W288" s="30"/>
      <c r="X288" s="30"/>
    </row>
    <row r="289">
      <c r="A289" s="30"/>
      <c r="B289" s="30"/>
      <c r="C289" s="30"/>
      <c r="D289" s="30"/>
      <c r="E289" s="30"/>
      <c r="F289" s="30"/>
      <c r="I289" s="25"/>
      <c r="T289" s="30"/>
      <c r="U289" s="30"/>
      <c r="V289" s="30"/>
      <c r="W289" s="30"/>
      <c r="X289" s="30"/>
    </row>
    <row r="290">
      <c r="A290" s="30"/>
      <c r="B290" s="30"/>
      <c r="C290" s="30"/>
      <c r="D290" s="30"/>
      <c r="E290" s="30"/>
      <c r="F290" s="30"/>
      <c r="I290" s="25"/>
      <c r="T290" s="30"/>
      <c r="U290" s="30"/>
      <c r="V290" s="30"/>
      <c r="W290" s="30"/>
      <c r="X290" s="30"/>
    </row>
    <row r="291">
      <c r="A291" s="30"/>
      <c r="B291" s="30"/>
      <c r="C291" s="30"/>
      <c r="D291" s="30"/>
      <c r="E291" s="30"/>
      <c r="F291" s="30"/>
      <c r="I291" s="25"/>
      <c r="T291" s="30"/>
      <c r="U291" s="30"/>
      <c r="V291" s="30"/>
      <c r="W291" s="30"/>
      <c r="X291" s="30"/>
    </row>
    <row r="292">
      <c r="A292" s="30"/>
      <c r="B292" s="30"/>
      <c r="C292" s="30"/>
      <c r="D292" s="30"/>
      <c r="E292" s="30"/>
      <c r="F292" s="30"/>
      <c r="I292" s="25"/>
      <c r="T292" s="30"/>
      <c r="U292" s="30"/>
      <c r="V292" s="30"/>
      <c r="W292" s="30"/>
      <c r="X292" s="30"/>
    </row>
    <row r="293">
      <c r="A293" s="30"/>
      <c r="B293" s="30"/>
      <c r="C293" s="30"/>
      <c r="D293" s="30"/>
      <c r="E293" s="30"/>
      <c r="F293" s="30"/>
      <c r="I293" s="25"/>
      <c r="T293" s="30"/>
      <c r="U293" s="30"/>
      <c r="V293" s="30"/>
      <c r="W293" s="30"/>
      <c r="X293" s="30"/>
    </row>
    <row r="294">
      <c r="A294" s="30"/>
      <c r="B294" s="30"/>
      <c r="C294" s="30"/>
      <c r="D294" s="30"/>
      <c r="E294" s="30"/>
      <c r="F294" s="30"/>
      <c r="I294" s="25"/>
      <c r="T294" s="30"/>
      <c r="U294" s="30"/>
      <c r="V294" s="30"/>
      <c r="W294" s="30"/>
      <c r="X294" s="30"/>
    </row>
    <row r="295">
      <c r="A295" s="30"/>
      <c r="B295" s="30"/>
      <c r="C295" s="30"/>
      <c r="D295" s="30"/>
      <c r="E295" s="30"/>
      <c r="F295" s="30"/>
      <c r="I295" s="25"/>
      <c r="T295" s="30"/>
      <c r="U295" s="30"/>
      <c r="V295" s="30"/>
      <c r="W295" s="30"/>
      <c r="X295" s="30"/>
    </row>
    <row r="296">
      <c r="A296" s="30"/>
      <c r="B296" s="30"/>
      <c r="C296" s="30"/>
      <c r="D296" s="30"/>
      <c r="E296" s="30"/>
      <c r="F296" s="30"/>
      <c r="I296" s="25"/>
      <c r="T296" s="30"/>
      <c r="U296" s="30"/>
      <c r="V296" s="30"/>
      <c r="W296" s="30"/>
      <c r="X296" s="30"/>
    </row>
    <row r="297">
      <c r="A297" s="30"/>
      <c r="B297" s="30"/>
      <c r="C297" s="30"/>
      <c r="D297" s="30"/>
      <c r="E297" s="30"/>
      <c r="F297" s="30"/>
      <c r="I297" s="25"/>
      <c r="T297" s="30"/>
      <c r="U297" s="30"/>
      <c r="V297" s="30"/>
      <c r="W297" s="30"/>
      <c r="X297" s="30"/>
    </row>
    <row r="298">
      <c r="A298" s="30"/>
      <c r="B298" s="30"/>
      <c r="C298" s="30"/>
      <c r="D298" s="30"/>
      <c r="E298" s="30"/>
      <c r="F298" s="30"/>
      <c r="I298" s="25"/>
      <c r="T298" s="30"/>
      <c r="U298" s="30"/>
      <c r="V298" s="30"/>
      <c r="W298" s="30"/>
      <c r="X298" s="30"/>
    </row>
    <row r="299">
      <c r="A299" s="30"/>
      <c r="B299" s="30"/>
      <c r="C299" s="30"/>
      <c r="D299" s="30"/>
      <c r="E299" s="30"/>
      <c r="F299" s="30"/>
      <c r="I299" s="25"/>
      <c r="T299" s="30"/>
      <c r="U299" s="30"/>
      <c r="V299" s="30"/>
      <c r="W299" s="30"/>
      <c r="X299" s="30"/>
    </row>
    <row r="300">
      <c r="A300" s="30"/>
      <c r="B300" s="30"/>
      <c r="C300" s="30"/>
      <c r="D300" s="30"/>
      <c r="E300" s="30"/>
      <c r="F300" s="30"/>
      <c r="I300" s="25"/>
      <c r="T300" s="30"/>
      <c r="U300" s="30"/>
      <c r="V300" s="30"/>
      <c r="W300" s="30"/>
      <c r="X300" s="30"/>
    </row>
    <row r="301">
      <c r="A301" s="30"/>
      <c r="B301" s="30"/>
      <c r="C301" s="30"/>
      <c r="D301" s="30"/>
      <c r="E301" s="30"/>
      <c r="F301" s="30"/>
      <c r="I301" s="25"/>
      <c r="T301" s="30"/>
      <c r="U301" s="30"/>
      <c r="V301" s="30"/>
      <c r="W301" s="30"/>
      <c r="X301" s="30"/>
    </row>
    <row r="302">
      <c r="A302" s="30"/>
      <c r="B302" s="30"/>
      <c r="C302" s="30"/>
      <c r="D302" s="30"/>
      <c r="E302" s="30"/>
      <c r="F302" s="30"/>
      <c r="I302" s="25"/>
      <c r="T302" s="30"/>
      <c r="U302" s="30"/>
      <c r="V302" s="30"/>
      <c r="W302" s="30"/>
      <c r="X302" s="30"/>
    </row>
    <row r="303">
      <c r="A303" s="30"/>
      <c r="B303" s="30"/>
      <c r="C303" s="30"/>
      <c r="D303" s="30"/>
      <c r="E303" s="30"/>
      <c r="F303" s="30"/>
      <c r="I303" s="25"/>
      <c r="T303" s="30"/>
      <c r="U303" s="30"/>
      <c r="V303" s="30"/>
      <c r="W303" s="30"/>
      <c r="X303" s="30"/>
    </row>
    <row r="304">
      <c r="A304" s="30"/>
      <c r="B304" s="30"/>
      <c r="C304" s="30"/>
      <c r="D304" s="30"/>
      <c r="E304" s="30"/>
      <c r="F304" s="30"/>
      <c r="I304" s="25"/>
      <c r="T304" s="30"/>
      <c r="U304" s="30"/>
      <c r="V304" s="30"/>
      <c r="W304" s="30"/>
      <c r="X304" s="30"/>
    </row>
    <row r="305">
      <c r="A305" s="30"/>
      <c r="B305" s="30"/>
      <c r="C305" s="30"/>
      <c r="D305" s="30"/>
      <c r="E305" s="30"/>
      <c r="F305" s="30"/>
      <c r="I305" s="25"/>
      <c r="T305" s="30"/>
      <c r="U305" s="30"/>
      <c r="V305" s="30"/>
      <c r="W305" s="30"/>
      <c r="X305" s="30"/>
    </row>
    <row r="306">
      <c r="A306" s="30"/>
      <c r="B306" s="30"/>
      <c r="C306" s="30"/>
      <c r="D306" s="30"/>
      <c r="E306" s="30"/>
      <c r="F306" s="30"/>
      <c r="I306" s="25"/>
      <c r="T306" s="30"/>
      <c r="U306" s="30"/>
      <c r="V306" s="30"/>
      <c r="W306" s="30"/>
      <c r="X306" s="30"/>
    </row>
    <row r="307">
      <c r="A307" s="30"/>
      <c r="B307" s="30"/>
      <c r="C307" s="30"/>
      <c r="D307" s="30"/>
      <c r="E307" s="30"/>
      <c r="F307" s="30"/>
      <c r="I307" s="25"/>
      <c r="T307" s="30"/>
      <c r="U307" s="30"/>
      <c r="V307" s="30"/>
      <c r="W307" s="30"/>
      <c r="X307" s="30"/>
    </row>
    <row r="308">
      <c r="A308" s="30"/>
      <c r="B308" s="30"/>
      <c r="C308" s="30"/>
      <c r="D308" s="30"/>
      <c r="E308" s="30"/>
      <c r="F308" s="30"/>
      <c r="I308" s="25"/>
      <c r="T308" s="30"/>
      <c r="U308" s="30"/>
      <c r="V308" s="30"/>
      <c r="W308" s="30"/>
      <c r="X308" s="30"/>
    </row>
    <row r="309">
      <c r="A309" s="30"/>
      <c r="B309" s="30"/>
      <c r="C309" s="30"/>
      <c r="D309" s="30"/>
      <c r="E309" s="30"/>
      <c r="F309" s="30"/>
      <c r="I309" s="25"/>
      <c r="T309" s="30"/>
      <c r="U309" s="30"/>
      <c r="V309" s="30"/>
      <c r="W309" s="30"/>
      <c r="X309" s="30"/>
    </row>
    <row r="310">
      <c r="A310" s="30"/>
      <c r="B310" s="30"/>
      <c r="C310" s="30"/>
      <c r="D310" s="30"/>
      <c r="E310" s="30"/>
      <c r="F310" s="30"/>
      <c r="I310" s="25"/>
      <c r="T310" s="30"/>
      <c r="U310" s="30"/>
      <c r="V310" s="30"/>
      <c r="W310" s="30"/>
      <c r="X310" s="30"/>
    </row>
    <row r="311">
      <c r="A311" s="30"/>
      <c r="B311" s="30"/>
      <c r="C311" s="30"/>
      <c r="D311" s="30"/>
      <c r="E311" s="30"/>
      <c r="F311" s="30"/>
      <c r="I311" s="25"/>
      <c r="T311" s="30"/>
      <c r="U311" s="30"/>
      <c r="V311" s="30"/>
      <c r="W311" s="30"/>
      <c r="X311" s="30"/>
    </row>
    <row r="312">
      <c r="A312" s="30"/>
      <c r="B312" s="30"/>
      <c r="C312" s="30"/>
      <c r="D312" s="30"/>
      <c r="E312" s="30"/>
      <c r="F312" s="30"/>
      <c r="I312" s="25"/>
      <c r="T312" s="30"/>
      <c r="U312" s="30"/>
      <c r="V312" s="30"/>
      <c r="W312" s="30"/>
      <c r="X312" s="30"/>
    </row>
    <row r="313">
      <c r="A313" s="30"/>
      <c r="B313" s="30"/>
      <c r="C313" s="30"/>
      <c r="D313" s="30"/>
      <c r="E313" s="30"/>
      <c r="F313" s="30"/>
      <c r="I313" s="25"/>
      <c r="T313" s="30"/>
      <c r="U313" s="30"/>
      <c r="V313" s="30"/>
      <c r="W313" s="30"/>
      <c r="X313" s="30"/>
    </row>
    <row r="314">
      <c r="A314" s="30"/>
      <c r="B314" s="30"/>
      <c r="C314" s="30"/>
      <c r="D314" s="30"/>
      <c r="E314" s="30"/>
      <c r="F314" s="30"/>
      <c r="I314" s="25"/>
      <c r="T314" s="30"/>
      <c r="U314" s="30"/>
      <c r="V314" s="30"/>
      <c r="W314" s="30"/>
      <c r="X314" s="30"/>
    </row>
    <row r="315">
      <c r="A315" s="30"/>
      <c r="B315" s="30"/>
      <c r="C315" s="30"/>
      <c r="D315" s="30"/>
      <c r="E315" s="30"/>
      <c r="F315" s="30"/>
      <c r="I315" s="25"/>
      <c r="T315" s="30"/>
      <c r="U315" s="30"/>
      <c r="V315" s="30"/>
      <c r="W315" s="30"/>
      <c r="X315" s="30"/>
    </row>
    <row r="316">
      <c r="A316" s="30"/>
      <c r="B316" s="30"/>
      <c r="C316" s="30"/>
      <c r="D316" s="30"/>
      <c r="E316" s="30"/>
      <c r="F316" s="30"/>
      <c r="I316" s="25"/>
      <c r="T316" s="30"/>
      <c r="U316" s="30"/>
      <c r="V316" s="30"/>
      <c r="W316" s="30"/>
      <c r="X316" s="30"/>
    </row>
    <row r="317">
      <c r="A317" s="30"/>
      <c r="B317" s="30"/>
      <c r="C317" s="30"/>
      <c r="D317" s="30"/>
      <c r="E317" s="30"/>
      <c r="F317" s="30"/>
      <c r="I317" s="25"/>
      <c r="T317" s="30"/>
      <c r="U317" s="30"/>
      <c r="V317" s="30"/>
      <c r="W317" s="30"/>
      <c r="X317" s="30"/>
    </row>
    <row r="318">
      <c r="A318" s="30"/>
      <c r="B318" s="30"/>
      <c r="C318" s="30"/>
      <c r="D318" s="30"/>
      <c r="E318" s="30"/>
      <c r="F318" s="30"/>
      <c r="I318" s="25"/>
      <c r="T318" s="30"/>
      <c r="U318" s="30"/>
      <c r="V318" s="30"/>
      <c r="W318" s="30"/>
      <c r="X318" s="30"/>
    </row>
    <row r="319">
      <c r="A319" s="30"/>
      <c r="B319" s="30"/>
      <c r="C319" s="30"/>
      <c r="D319" s="30"/>
      <c r="E319" s="30"/>
      <c r="F319" s="30"/>
      <c r="I319" s="25"/>
      <c r="T319" s="30"/>
      <c r="U319" s="30"/>
      <c r="V319" s="30"/>
      <c r="W319" s="30"/>
      <c r="X319" s="30"/>
    </row>
    <row r="320">
      <c r="A320" s="30"/>
      <c r="B320" s="30"/>
      <c r="C320" s="30"/>
      <c r="D320" s="30"/>
      <c r="E320" s="30"/>
      <c r="F320" s="30"/>
      <c r="I320" s="25"/>
      <c r="T320" s="30"/>
      <c r="U320" s="30"/>
      <c r="V320" s="30"/>
      <c r="W320" s="30"/>
      <c r="X320" s="30"/>
    </row>
    <row r="321">
      <c r="A321" s="30"/>
      <c r="B321" s="30"/>
      <c r="C321" s="30"/>
      <c r="D321" s="30"/>
      <c r="E321" s="30"/>
      <c r="F321" s="30"/>
      <c r="I321" s="25"/>
      <c r="T321" s="30"/>
      <c r="U321" s="30"/>
      <c r="V321" s="30"/>
      <c r="W321" s="30"/>
      <c r="X321" s="30"/>
    </row>
    <row r="322">
      <c r="A322" s="30"/>
      <c r="B322" s="30"/>
      <c r="C322" s="30"/>
      <c r="D322" s="30"/>
      <c r="E322" s="30"/>
      <c r="F322" s="30"/>
      <c r="I322" s="25"/>
      <c r="T322" s="30"/>
      <c r="U322" s="30"/>
      <c r="V322" s="30"/>
      <c r="W322" s="30"/>
      <c r="X322" s="30"/>
    </row>
    <row r="323">
      <c r="A323" s="30"/>
      <c r="B323" s="30"/>
      <c r="C323" s="30"/>
      <c r="D323" s="30"/>
      <c r="E323" s="30"/>
      <c r="F323" s="30"/>
      <c r="I323" s="25"/>
      <c r="T323" s="30"/>
      <c r="U323" s="30"/>
      <c r="V323" s="30"/>
      <c r="W323" s="30"/>
      <c r="X323" s="30"/>
    </row>
    <row r="324">
      <c r="A324" s="30"/>
      <c r="B324" s="30"/>
      <c r="C324" s="30"/>
      <c r="D324" s="30"/>
      <c r="E324" s="30"/>
      <c r="F324" s="30"/>
      <c r="I324" s="25"/>
      <c r="T324" s="30"/>
      <c r="U324" s="30"/>
      <c r="V324" s="30"/>
      <c r="W324" s="30"/>
      <c r="X324" s="30"/>
    </row>
    <row r="325">
      <c r="A325" s="30"/>
      <c r="B325" s="30"/>
      <c r="C325" s="30"/>
      <c r="D325" s="30"/>
      <c r="E325" s="30"/>
      <c r="F325" s="30"/>
      <c r="I325" s="25"/>
      <c r="T325" s="30"/>
      <c r="U325" s="30"/>
      <c r="V325" s="30"/>
      <c r="W325" s="30"/>
      <c r="X325" s="30"/>
    </row>
    <row r="326">
      <c r="A326" s="30"/>
      <c r="B326" s="30"/>
      <c r="C326" s="30"/>
      <c r="D326" s="30"/>
      <c r="E326" s="30"/>
      <c r="F326" s="30"/>
      <c r="I326" s="25"/>
      <c r="T326" s="30"/>
      <c r="U326" s="30"/>
      <c r="V326" s="30"/>
      <c r="W326" s="30"/>
      <c r="X326" s="30"/>
    </row>
    <row r="327">
      <c r="A327" s="30"/>
      <c r="B327" s="30"/>
      <c r="C327" s="30"/>
      <c r="D327" s="30"/>
      <c r="E327" s="30"/>
      <c r="F327" s="30"/>
      <c r="I327" s="25"/>
      <c r="T327" s="30"/>
      <c r="U327" s="30"/>
      <c r="V327" s="30"/>
      <c r="W327" s="30"/>
      <c r="X327" s="30"/>
    </row>
    <row r="328">
      <c r="A328" s="30"/>
      <c r="B328" s="30"/>
      <c r="C328" s="30"/>
      <c r="D328" s="30"/>
      <c r="E328" s="30"/>
      <c r="F328" s="30"/>
      <c r="I328" s="25"/>
      <c r="T328" s="30"/>
      <c r="U328" s="30"/>
      <c r="V328" s="30"/>
      <c r="W328" s="30"/>
      <c r="X328" s="30"/>
    </row>
    <row r="329">
      <c r="A329" s="30"/>
      <c r="B329" s="30"/>
      <c r="C329" s="30"/>
      <c r="D329" s="30"/>
      <c r="E329" s="30"/>
      <c r="F329" s="30"/>
      <c r="I329" s="25"/>
      <c r="T329" s="30"/>
      <c r="U329" s="30"/>
      <c r="V329" s="30"/>
      <c r="W329" s="30"/>
      <c r="X329" s="30"/>
    </row>
    <row r="330">
      <c r="A330" s="30"/>
      <c r="B330" s="30"/>
      <c r="C330" s="30"/>
      <c r="D330" s="30"/>
      <c r="E330" s="30"/>
      <c r="F330" s="30"/>
      <c r="I330" s="25"/>
      <c r="T330" s="30"/>
      <c r="U330" s="30"/>
      <c r="V330" s="30"/>
      <c r="W330" s="30"/>
      <c r="X330" s="30"/>
    </row>
    <row r="331">
      <c r="A331" s="30"/>
      <c r="B331" s="30"/>
      <c r="C331" s="30"/>
      <c r="D331" s="30"/>
      <c r="E331" s="30"/>
      <c r="F331" s="30"/>
      <c r="I331" s="25"/>
      <c r="T331" s="30"/>
      <c r="U331" s="30"/>
      <c r="V331" s="30"/>
      <c r="W331" s="30"/>
      <c r="X331" s="30"/>
    </row>
    <row r="332">
      <c r="A332" s="30"/>
      <c r="B332" s="30"/>
      <c r="C332" s="30"/>
      <c r="D332" s="30"/>
      <c r="E332" s="30"/>
      <c r="F332" s="30"/>
      <c r="I332" s="25"/>
      <c r="T332" s="30"/>
      <c r="U332" s="30"/>
      <c r="V332" s="30"/>
      <c r="W332" s="30"/>
      <c r="X332" s="30"/>
    </row>
    <row r="333">
      <c r="A333" s="30"/>
      <c r="B333" s="30"/>
      <c r="C333" s="30"/>
      <c r="D333" s="30"/>
      <c r="E333" s="30"/>
      <c r="F333" s="30"/>
      <c r="I333" s="25"/>
      <c r="T333" s="30"/>
      <c r="U333" s="30"/>
      <c r="V333" s="30"/>
      <c r="W333" s="30"/>
      <c r="X333" s="30"/>
    </row>
    <row r="334">
      <c r="A334" s="30"/>
      <c r="B334" s="30"/>
      <c r="C334" s="30"/>
      <c r="D334" s="30"/>
      <c r="E334" s="30"/>
      <c r="F334" s="30"/>
      <c r="I334" s="25"/>
      <c r="T334" s="30"/>
      <c r="U334" s="30"/>
      <c r="V334" s="30"/>
      <c r="W334" s="30"/>
      <c r="X334" s="30"/>
    </row>
    <row r="335">
      <c r="A335" s="30"/>
      <c r="B335" s="30"/>
      <c r="C335" s="30"/>
      <c r="D335" s="30"/>
      <c r="E335" s="30"/>
      <c r="F335" s="30"/>
      <c r="I335" s="25"/>
      <c r="T335" s="30"/>
      <c r="U335" s="30"/>
      <c r="V335" s="30"/>
      <c r="W335" s="30"/>
      <c r="X335" s="30"/>
    </row>
    <row r="336">
      <c r="A336" s="30"/>
      <c r="B336" s="30"/>
      <c r="C336" s="30"/>
      <c r="D336" s="30"/>
      <c r="E336" s="30"/>
      <c r="F336" s="30"/>
      <c r="I336" s="25"/>
      <c r="T336" s="30"/>
      <c r="U336" s="30"/>
      <c r="V336" s="30"/>
      <c r="W336" s="30"/>
      <c r="X336" s="30"/>
    </row>
    <row r="337">
      <c r="A337" s="30"/>
      <c r="B337" s="30"/>
      <c r="C337" s="30"/>
      <c r="D337" s="30"/>
      <c r="E337" s="30"/>
      <c r="F337" s="30"/>
      <c r="I337" s="25"/>
      <c r="T337" s="30"/>
      <c r="U337" s="30"/>
      <c r="V337" s="30"/>
      <c r="W337" s="30"/>
      <c r="X337" s="30"/>
    </row>
    <row r="338">
      <c r="A338" s="30"/>
      <c r="B338" s="30"/>
      <c r="C338" s="30"/>
      <c r="D338" s="30"/>
      <c r="E338" s="30"/>
      <c r="F338" s="30"/>
      <c r="I338" s="25"/>
      <c r="T338" s="30"/>
      <c r="U338" s="30"/>
      <c r="V338" s="30"/>
      <c r="W338" s="30"/>
      <c r="X338" s="30"/>
    </row>
    <row r="339">
      <c r="A339" s="30"/>
      <c r="B339" s="30"/>
      <c r="C339" s="30"/>
      <c r="D339" s="30"/>
      <c r="E339" s="30"/>
      <c r="F339" s="30"/>
      <c r="I339" s="25"/>
      <c r="T339" s="30"/>
      <c r="U339" s="30"/>
      <c r="V339" s="30"/>
      <c r="W339" s="30"/>
      <c r="X339" s="30"/>
    </row>
    <row r="340">
      <c r="A340" s="30"/>
      <c r="B340" s="30"/>
      <c r="C340" s="30"/>
      <c r="D340" s="30"/>
      <c r="E340" s="30"/>
      <c r="F340" s="30"/>
      <c r="I340" s="25"/>
      <c r="T340" s="30"/>
      <c r="U340" s="30"/>
      <c r="V340" s="30"/>
      <c r="W340" s="30"/>
      <c r="X340" s="30"/>
    </row>
    <row r="341">
      <c r="A341" s="30"/>
      <c r="B341" s="30"/>
      <c r="C341" s="30"/>
      <c r="D341" s="30"/>
      <c r="E341" s="30"/>
      <c r="F341" s="30"/>
      <c r="I341" s="25"/>
      <c r="T341" s="30"/>
      <c r="U341" s="30"/>
      <c r="V341" s="30"/>
      <c r="W341" s="30"/>
      <c r="X341" s="30"/>
    </row>
    <row r="342">
      <c r="A342" s="30"/>
      <c r="B342" s="30"/>
      <c r="C342" s="30"/>
      <c r="D342" s="30"/>
      <c r="E342" s="30"/>
      <c r="F342" s="30"/>
      <c r="I342" s="25"/>
      <c r="T342" s="30"/>
      <c r="U342" s="30"/>
      <c r="V342" s="30"/>
      <c r="W342" s="30"/>
      <c r="X342" s="30"/>
    </row>
    <row r="343">
      <c r="A343" s="30"/>
      <c r="B343" s="30"/>
      <c r="C343" s="30"/>
      <c r="D343" s="30"/>
      <c r="E343" s="30"/>
      <c r="F343" s="30"/>
      <c r="I343" s="25"/>
      <c r="T343" s="30"/>
      <c r="U343" s="30"/>
      <c r="V343" s="30"/>
      <c r="W343" s="30"/>
      <c r="X343" s="30"/>
    </row>
    <row r="344">
      <c r="A344" s="30"/>
      <c r="B344" s="30"/>
      <c r="C344" s="30"/>
      <c r="D344" s="30"/>
      <c r="E344" s="30"/>
      <c r="F344" s="30"/>
      <c r="I344" s="25"/>
      <c r="T344" s="30"/>
      <c r="U344" s="30"/>
      <c r="V344" s="30"/>
      <c r="W344" s="30"/>
      <c r="X344" s="30"/>
    </row>
    <row r="345">
      <c r="A345" s="30"/>
      <c r="B345" s="30"/>
      <c r="C345" s="30"/>
      <c r="D345" s="30"/>
      <c r="E345" s="30"/>
      <c r="F345" s="30"/>
      <c r="I345" s="25"/>
      <c r="T345" s="30"/>
      <c r="U345" s="30"/>
      <c r="V345" s="30"/>
      <c r="W345" s="30"/>
      <c r="X345" s="30"/>
    </row>
    <row r="346">
      <c r="A346" s="30"/>
      <c r="B346" s="30"/>
      <c r="C346" s="30"/>
      <c r="D346" s="30"/>
      <c r="E346" s="30"/>
      <c r="F346" s="30"/>
      <c r="I346" s="25"/>
      <c r="T346" s="30"/>
      <c r="U346" s="30"/>
      <c r="V346" s="30"/>
      <c r="W346" s="30"/>
      <c r="X346" s="30"/>
    </row>
    <row r="347">
      <c r="A347" s="30"/>
      <c r="B347" s="30"/>
      <c r="C347" s="30"/>
      <c r="D347" s="30"/>
      <c r="E347" s="30"/>
      <c r="F347" s="30"/>
      <c r="I347" s="25"/>
      <c r="T347" s="30"/>
      <c r="U347" s="30"/>
      <c r="V347" s="30"/>
      <c r="W347" s="30"/>
      <c r="X347" s="30"/>
    </row>
    <row r="348">
      <c r="A348" s="30"/>
      <c r="B348" s="30"/>
      <c r="C348" s="30"/>
      <c r="D348" s="30"/>
      <c r="E348" s="30"/>
      <c r="F348" s="30"/>
      <c r="I348" s="25"/>
      <c r="T348" s="30"/>
      <c r="U348" s="30"/>
      <c r="V348" s="30"/>
      <c r="W348" s="30"/>
      <c r="X348" s="30"/>
    </row>
    <row r="349">
      <c r="A349" s="30"/>
      <c r="B349" s="30"/>
      <c r="C349" s="30"/>
      <c r="D349" s="30"/>
      <c r="E349" s="30"/>
      <c r="F349" s="30"/>
      <c r="I349" s="25"/>
      <c r="T349" s="30"/>
      <c r="U349" s="30"/>
      <c r="V349" s="30"/>
      <c r="W349" s="30"/>
      <c r="X349" s="30"/>
    </row>
    <row r="350">
      <c r="A350" s="30"/>
      <c r="B350" s="30"/>
      <c r="C350" s="30"/>
      <c r="D350" s="30"/>
      <c r="E350" s="30"/>
      <c r="F350" s="30"/>
      <c r="I350" s="25"/>
      <c r="T350" s="30"/>
      <c r="U350" s="30"/>
      <c r="V350" s="30"/>
      <c r="W350" s="30"/>
      <c r="X350" s="30"/>
    </row>
    <row r="351">
      <c r="A351" s="30"/>
      <c r="B351" s="30"/>
      <c r="C351" s="30"/>
      <c r="D351" s="30"/>
      <c r="E351" s="30"/>
      <c r="F351" s="30"/>
      <c r="I351" s="25"/>
      <c r="T351" s="30"/>
      <c r="U351" s="30"/>
      <c r="V351" s="30"/>
      <c r="W351" s="30"/>
      <c r="X351" s="30"/>
    </row>
    <row r="352">
      <c r="A352" s="30"/>
      <c r="B352" s="30"/>
      <c r="C352" s="30"/>
      <c r="D352" s="30"/>
      <c r="E352" s="30"/>
      <c r="F352" s="30"/>
      <c r="I352" s="25"/>
      <c r="T352" s="30"/>
      <c r="U352" s="30"/>
      <c r="V352" s="30"/>
      <c r="W352" s="30"/>
      <c r="X352" s="30"/>
    </row>
    <row r="353">
      <c r="A353" s="30"/>
      <c r="B353" s="30"/>
      <c r="C353" s="30"/>
      <c r="D353" s="30"/>
      <c r="E353" s="30"/>
      <c r="F353" s="30"/>
      <c r="I353" s="25"/>
      <c r="T353" s="30"/>
      <c r="U353" s="30"/>
      <c r="V353" s="30"/>
      <c r="W353" s="30"/>
      <c r="X353" s="30"/>
    </row>
    <row r="354">
      <c r="A354" s="30"/>
      <c r="B354" s="30"/>
      <c r="C354" s="30"/>
      <c r="D354" s="30"/>
      <c r="E354" s="30"/>
      <c r="F354" s="30"/>
      <c r="I354" s="25"/>
      <c r="T354" s="30"/>
      <c r="U354" s="30"/>
      <c r="V354" s="30"/>
      <c r="W354" s="30"/>
      <c r="X354" s="30"/>
    </row>
    <row r="355">
      <c r="A355" s="30"/>
      <c r="B355" s="30"/>
      <c r="C355" s="30"/>
      <c r="D355" s="30"/>
      <c r="E355" s="30"/>
      <c r="F355" s="30"/>
      <c r="I355" s="25"/>
      <c r="T355" s="30"/>
      <c r="U355" s="30"/>
      <c r="V355" s="30"/>
      <c r="W355" s="30"/>
      <c r="X355" s="30"/>
    </row>
    <row r="356">
      <c r="A356" s="30"/>
      <c r="B356" s="30"/>
      <c r="C356" s="30"/>
      <c r="D356" s="30"/>
      <c r="E356" s="30"/>
      <c r="F356" s="30"/>
      <c r="I356" s="25"/>
      <c r="T356" s="30"/>
      <c r="U356" s="30"/>
      <c r="V356" s="30"/>
      <c r="W356" s="30"/>
      <c r="X356" s="30"/>
    </row>
    <row r="357">
      <c r="A357" s="30"/>
      <c r="B357" s="30"/>
      <c r="C357" s="30"/>
      <c r="D357" s="30"/>
      <c r="E357" s="30"/>
      <c r="F357" s="30"/>
      <c r="I357" s="25"/>
      <c r="T357" s="30"/>
      <c r="U357" s="30"/>
      <c r="V357" s="30"/>
      <c r="W357" s="30"/>
      <c r="X357" s="30"/>
    </row>
    <row r="358">
      <c r="A358" s="30"/>
      <c r="B358" s="30"/>
      <c r="C358" s="30"/>
      <c r="D358" s="30"/>
      <c r="E358" s="30"/>
      <c r="F358" s="30"/>
      <c r="I358" s="25"/>
      <c r="T358" s="30"/>
      <c r="U358" s="30"/>
      <c r="V358" s="30"/>
      <c r="W358" s="30"/>
      <c r="X358" s="30"/>
    </row>
    <row r="359">
      <c r="A359" s="30"/>
      <c r="B359" s="30"/>
      <c r="C359" s="30"/>
      <c r="D359" s="30"/>
      <c r="E359" s="30"/>
      <c r="F359" s="30"/>
      <c r="I359" s="25"/>
      <c r="T359" s="30"/>
      <c r="U359" s="30"/>
      <c r="V359" s="30"/>
      <c r="W359" s="30"/>
      <c r="X359" s="30"/>
    </row>
    <row r="360">
      <c r="A360" s="30"/>
      <c r="B360" s="30"/>
      <c r="C360" s="30"/>
      <c r="D360" s="30"/>
      <c r="E360" s="30"/>
      <c r="F360" s="30"/>
      <c r="I360" s="25"/>
      <c r="T360" s="30"/>
      <c r="U360" s="30"/>
      <c r="V360" s="30"/>
      <c r="W360" s="30"/>
      <c r="X360" s="30"/>
    </row>
    <row r="361">
      <c r="A361" s="30"/>
      <c r="B361" s="30"/>
      <c r="C361" s="30"/>
      <c r="D361" s="30"/>
      <c r="E361" s="30"/>
      <c r="F361" s="30"/>
      <c r="I361" s="25"/>
      <c r="T361" s="30"/>
      <c r="U361" s="30"/>
      <c r="V361" s="30"/>
      <c r="W361" s="30"/>
      <c r="X361" s="30"/>
    </row>
    <row r="362">
      <c r="A362" s="30"/>
      <c r="B362" s="30"/>
      <c r="C362" s="30"/>
      <c r="D362" s="30"/>
      <c r="E362" s="30"/>
      <c r="F362" s="30"/>
      <c r="I362" s="25"/>
      <c r="T362" s="30"/>
      <c r="U362" s="30"/>
      <c r="V362" s="30"/>
      <c r="W362" s="30"/>
      <c r="X362" s="30"/>
    </row>
    <row r="363">
      <c r="A363" s="30"/>
      <c r="B363" s="30"/>
      <c r="C363" s="30"/>
      <c r="D363" s="30"/>
      <c r="E363" s="30"/>
      <c r="F363" s="30"/>
      <c r="I363" s="25"/>
      <c r="T363" s="30"/>
      <c r="U363" s="30"/>
      <c r="V363" s="30"/>
      <c r="W363" s="30"/>
      <c r="X363" s="30"/>
    </row>
    <row r="364">
      <c r="A364" s="30"/>
      <c r="B364" s="30"/>
      <c r="C364" s="30"/>
      <c r="D364" s="30"/>
      <c r="E364" s="30"/>
      <c r="F364" s="30"/>
      <c r="I364" s="25"/>
      <c r="T364" s="30"/>
      <c r="U364" s="30"/>
      <c r="V364" s="30"/>
      <c r="W364" s="30"/>
      <c r="X364" s="30"/>
    </row>
    <row r="365">
      <c r="A365" s="30"/>
      <c r="B365" s="30"/>
      <c r="C365" s="30"/>
      <c r="D365" s="30"/>
      <c r="E365" s="30"/>
      <c r="F365" s="30"/>
      <c r="I365" s="25"/>
      <c r="T365" s="30"/>
      <c r="U365" s="30"/>
      <c r="V365" s="30"/>
      <c r="W365" s="30"/>
      <c r="X365" s="30"/>
    </row>
    <row r="366">
      <c r="A366" s="30"/>
      <c r="B366" s="30"/>
      <c r="C366" s="30"/>
      <c r="D366" s="30"/>
      <c r="E366" s="30"/>
      <c r="F366" s="30"/>
      <c r="I366" s="25"/>
      <c r="T366" s="30"/>
      <c r="U366" s="30"/>
      <c r="V366" s="30"/>
      <c r="W366" s="30"/>
      <c r="X366" s="30"/>
    </row>
    <row r="367">
      <c r="A367" s="30"/>
      <c r="B367" s="30"/>
      <c r="C367" s="30"/>
      <c r="D367" s="30"/>
      <c r="E367" s="30"/>
      <c r="F367" s="30"/>
      <c r="I367" s="25"/>
      <c r="T367" s="30"/>
      <c r="U367" s="30"/>
      <c r="V367" s="30"/>
      <c r="W367" s="30"/>
      <c r="X367" s="30"/>
    </row>
    <row r="368">
      <c r="A368" s="30"/>
      <c r="B368" s="30"/>
      <c r="C368" s="30"/>
      <c r="D368" s="30"/>
      <c r="E368" s="30"/>
      <c r="F368" s="30"/>
      <c r="I368" s="25"/>
      <c r="T368" s="30"/>
      <c r="U368" s="30"/>
      <c r="V368" s="30"/>
      <c r="W368" s="30"/>
      <c r="X368" s="30"/>
    </row>
    <row r="369">
      <c r="A369" s="30"/>
      <c r="B369" s="30"/>
      <c r="C369" s="30"/>
      <c r="D369" s="30"/>
      <c r="E369" s="30"/>
      <c r="F369" s="30"/>
      <c r="I369" s="25"/>
      <c r="T369" s="30"/>
      <c r="U369" s="30"/>
      <c r="V369" s="30"/>
      <c r="W369" s="30"/>
      <c r="X369" s="30"/>
    </row>
    <row r="370">
      <c r="A370" s="30"/>
      <c r="B370" s="30"/>
      <c r="C370" s="30"/>
      <c r="D370" s="30"/>
      <c r="E370" s="30"/>
      <c r="F370" s="30"/>
      <c r="I370" s="25"/>
      <c r="T370" s="30"/>
      <c r="U370" s="30"/>
      <c r="V370" s="30"/>
      <c r="W370" s="30"/>
      <c r="X370" s="30"/>
    </row>
    <row r="371">
      <c r="A371" s="30"/>
      <c r="B371" s="30"/>
      <c r="C371" s="30"/>
      <c r="D371" s="30"/>
      <c r="E371" s="30"/>
      <c r="F371" s="30"/>
      <c r="I371" s="25"/>
      <c r="T371" s="30"/>
      <c r="U371" s="30"/>
      <c r="V371" s="30"/>
      <c r="W371" s="30"/>
      <c r="X371" s="30"/>
    </row>
    <row r="372">
      <c r="A372" s="30"/>
      <c r="B372" s="30"/>
      <c r="C372" s="30"/>
      <c r="D372" s="30"/>
      <c r="E372" s="30"/>
      <c r="F372" s="30"/>
      <c r="I372" s="25"/>
      <c r="T372" s="30"/>
      <c r="U372" s="30"/>
      <c r="V372" s="30"/>
      <c r="W372" s="30"/>
      <c r="X372" s="30"/>
    </row>
    <row r="373">
      <c r="A373" s="30"/>
      <c r="B373" s="30"/>
      <c r="C373" s="30"/>
      <c r="D373" s="30"/>
      <c r="E373" s="30"/>
      <c r="F373" s="30"/>
      <c r="I373" s="25"/>
      <c r="T373" s="30"/>
      <c r="U373" s="30"/>
      <c r="V373" s="30"/>
      <c r="W373" s="30"/>
      <c r="X373" s="30"/>
    </row>
    <row r="374">
      <c r="A374" s="30"/>
      <c r="B374" s="30"/>
      <c r="C374" s="30"/>
      <c r="D374" s="30"/>
      <c r="E374" s="30"/>
      <c r="F374" s="30"/>
      <c r="I374" s="25"/>
      <c r="T374" s="30"/>
      <c r="U374" s="30"/>
      <c r="V374" s="30"/>
      <c r="W374" s="30"/>
      <c r="X374" s="30"/>
    </row>
    <row r="375">
      <c r="A375" s="30"/>
      <c r="B375" s="30"/>
      <c r="C375" s="30"/>
      <c r="D375" s="30"/>
      <c r="E375" s="30"/>
      <c r="F375" s="30"/>
      <c r="I375" s="25"/>
      <c r="T375" s="30"/>
      <c r="U375" s="30"/>
      <c r="V375" s="30"/>
      <c r="W375" s="30"/>
      <c r="X375" s="30"/>
    </row>
    <row r="376">
      <c r="A376" s="30"/>
      <c r="B376" s="30"/>
      <c r="C376" s="30"/>
      <c r="D376" s="30"/>
      <c r="E376" s="30"/>
      <c r="F376" s="30"/>
      <c r="I376" s="25"/>
      <c r="T376" s="30"/>
      <c r="U376" s="30"/>
      <c r="V376" s="30"/>
      <c r="W376" s="30"/>
      <c r="X376" s="30"/>
    </row>
    <row r="377">
      <c r="A377" s="30"/>
      <c r="B377" s="30"/>
      <c r="C377" s="30"/>
      <c r="D377" s="30"/>
      <c r="E377" s="30"/>
      <c r="F377" s="30"/>
      <c r="I377" s="25"/>
      <c r="T377" s="30"/>
      <c r="U377" s="30"/>
      <c r="V377" s="30"/>
      <c r="W377" s="30"/>
      <c r="X377" s="30"/>
    </row>
    <row r="378">
      <c r="A378" s="30"/>
      <c r="B378" s="30"/>
      <c r="C378" s="30"/>
      <c r="D378" s="30"/>
      <c r="E378" s="30"/>
      <c r="F378" s="30"/>
      <c r="I378" s="25"/>
      <c r="T378" s="30"/>
      <c r="U378" s="30"/>
      <c r="V378" s="30"/>
      <c r="W378" s="30"/>
      <c r="X378" s="30"/>
    </row>
    <row r="379">
      <c r="A379" s="30"/>
      <c r="B379" s="30"/>
      <c r="C379" s="30"/>
      <c r="D379" s="30"/>
      <c r="E379" s="30"/>
      <c r="F379" s="30"/>
      <c r="I379" s="25"/>
      <c r="T379" s="30"/>
      <c r="U379" s="30"/>
      <c r="V379" s="30"/>
      <c r="W379" s="30"/>
      <c r="X379" s="30"/>
    </row>
    <row r="380">
      <c r="A380" s="30"/>
      <c r="B380" s="30"/>
      <c r="C380" s="30"/>
      <c r="D380" s="30"/>
      <c r="E380" s="30"/>
      <c r="F380" s="30"/>
      <c r="I380" s="25"/>
      <c r="T380" s="30"/>
      <c r="U380" s="30"/>
      <c r="V380" s="30"/>
      <c r="W380" s="30"/>
      <c r="X380" s="30"/>
    </row>
    <row r="381">
      <c r="A381" s="30"/>
      <c r="B381" s="30"/>
      <c r="C381" s="30"/>
      <c r="D381" s="30"/>
      <c r="E381" s="30"/>
      <c r="F381" s="30"/>
      <c r="I381" s="25"/>
      <c r="T381" s="30"/>
      <c r="U381" s="30"/>
      <c r="V381" s="30"/>
      <c r="W381" s="30"/>
      <c r="X381" s="30"/>
    </row>
    <row r="382">
      <c r="A382" s="30"/>
      <c r="B382" s="30"/>
      <c r="C382" s="30"/>
      <c r="D382" s="30"/>
      <c r="E382" s="30"/>
      <c r="F382" s="30"/>
      <c r="I382" s="25"/>
      <c r="T382" s="30"/>
      <c r="U382" s="30"/>
      <c r="V382" s="30"/>
      <c r="W382" s="30"/>
      <c r="X382" s="30"/>
    </row>
    <row r="383">
      <c r="A383" s="30"/>
      <c r="B383" s="30"/>
      <c r="C383" s="30"/>
      <c r="D383" s="30"/>
      <c r="E383" s="30"/>
      <c r="F383" s="30"/>
      <c r="I383" s="25"/>
      <c r="T383" s="30"/>
      <c r="U383" s="30"/>
      <c r="V383" s="30"/>
      <c r="W383" s="30"/>
      <c r="X383" s="30"/>
    </row>
    <row r="384">
      <c r="A384" s="30"/>
      <c r="B384" s="30"/>
      <c r="C384" s="30"/>
      <c r="D384" s="30"/>
      <c r="E384" s="30"/>
      <c r="F384" s="30"/>
      <c r="I384" s="25"/>
      <c r="T384" s="30"/>
      <c r="U384" s="30"/>
      <c r="V384" s="30"/>
      <c r="W384" s="30"/>
      <c r="X384" s="30"/>
    </row>
    <row r="385">
      <c r="A385" s="30"/>
      <c r="B385" s="30"/>
      <c r="C385" s="30"/>
      <c r="D385" s="30"/>
      <c r="E385" s="30"/>
      <c r="F385" s="30"/>
      <c r="I385" s="25"/>
      <c r="T385" s="30"/>
      <c r="U385" s="30"/>
      <c r="V385" s="30"/>
      <c r="W385" s="30"/>
      <c r="X385" s="30"/>
    </row>
    <row r="386">
      <c r="A386" s="30"/>
      <c r="B386" s="30"/>
      <c r="C386" s="30"/>
      <c r="D386" s="30"/>
      <c r="E386" s="30"/>
      <c r="F386" s="30"/>
      <c r="I386" s="25"/>
      <c r="T386" s="30"/>
      <c r="U386" s="30"/>
      <c r="V386" s="30"/>
      <c r="W386" s="30"/>
      <c r="X386" s="30"/>
    </row>
    <row r="387">
      <c r="A387" s="30"/>
      <c r="B387" s="30"/>
      <c r="C387" s="30"/>
      <c r="D387" s="30"/>
      <c r="E387" s="30"/>
      <c r="F387" s="30"/>
      <c r="I387" s="25"/>
      <c r="T387" s="30"/>
      <c r="U387" s="30"/>
      <c r="V387" s="30"/>
      <c r="W387" s="30"/>
      <c r="X387" s="30"/>
    </row>
    <row r="388">
      <c r="A388" s="30"/>
      <c r="B388" s="30"/>
      <c r="C388" s="30"/>
      <c r="D388" s="30"/>
      <c r="E388" s="30"/>
      <c r="F388" s="30"/>
      <c r="I388" s="25"/>
      <c r="T388" s="30"/>
      <c r="U388" s="30"/>
      <c r="V388" s="30"/>
      <c r="W388" s="30"/>
      <c r="X388" s="30"/>
    </row>
    <row r="389">
      <c r="A389" s="30"/>
      <c r="B389" s="30"/>
      <c r="C389" s="30"/>
      <c r="D389" s="30"/>
      <c r="E389" s="30"/>
      <c r="F389" s="30"/>
      <c r="I389" s="25"/>
      <c r="T389" s="30"/>
      <c r="U389" s="30"/>
      <c r="V389" s="30"/>
      <c r="W389" s="30"/>
      <c r="X389" s="30"/>
    </row>
    <row r="390">
      <c r="A390" s="30"/>
      <c r="B390" s="30"/>
      <c r="C390" s="30"/>
      <c r="D390" s="30"/>
      <c r="E390" s="30"/>
      <c r="F390" s="30"/>
      <c r="I390" s="25"/>
      <c r="T390" s="30"/>
      <c r="U390" s="30"/>
      <c r="V390" s="30"/>
      <c r="W390" s="30"/>
      <c r="X390" s="30"/>
    </row>
    <row r="391">
      <c r="A391" s="30"/>
      <c r="B391" s="30"/>
      <c r="C391" s="30"/>
      <c r="D391" s="30"/>
      <c r="E391" s="30"/>
      <c r="F391" s="30"/>
      <c r="I391" s="25"/>
      <c r="T391" s="30"/>
      <c r="U391" s="30"/>
      <c r="V391" s="30"/>
      <c r="W391" s="30"/>
      <c r="X391" s="30"/>
    </row>
    <row r="392">
      <c r="A392" s="30"/>
      <c r="B392" s="30"/>
      <c r="C392" s="30"/>
      <c r="D392" s="30"/>
      <c r="E392" s="30"/>
      <c r="F392" s="30"/>
      <c r="I392" s="25"/>
      <c r="T392" s="30"/>
      <c r="U392" s="30"/>
      <c r="V392" s="30"/>
      <c r="W392" s="30"/>
      <c r="X392" s="30"/>
    </row>
    <row r="393">
      <c r="A393" s="30"/>
      <c r="B393" s="30"/>
      <c r="C393" s="30"/>
      <c r="D393" s="30"/>
      <c r="E393" s="30"/>
      <c r="F393" s="30"/>
      <c r="I393" s="25"/>
      <c r="T393" s="30"/>
      <c r="U393" s="30"/>
      <c r="V393" s="30"/>
      <c r="W393" s="30"/>
      <c r="X393" s="30"/>
    </row>
    <row r="394">
      <c r="A394" s="30"/>
      <c r="B394" s="30"/>
      <c r="C394" s="30"/>
      <c r="D394" s="30"/>
      <c r="E394" s="30"/>
      <c r="F394" s="30"/>
      <c r="I394" s="25"/>
      <c r="T394" s="30"/>
      <c r="U394" s="30"/>
      <c r="V394" s="30"/>
      <c r="W394" s="30"/>
      <c r="X394" s="30"/>
    </row>
    <row r="395">
      <c r="A395" s="30"/>
      <c r="B395" s="30"/>
      <c r="C395" s="30"/>
      <c r="D395" s="30"/>
      <c r="E395" s="30"/>
      <c r="F395" s="30"/>
      <c r="I395" s="25"/>
      <c r="T395" s="30"/>
      <c r="U395" s="30"/>
      <c r="V395" s="30"/>
      <c r="W395" s="30"/>
      <c r="X395" s="30"/>
    </row>
    <row r="396">
      <c r="A396" s="30"/>
      <c r="B396" s="30"/>
      <c r="C396" s="30"/>
      <c r="D396" s="30"/>
      <c r="E396" s="30"/>
      <c r="F396" s="30"/>
      <c r="I396" s="25"/>
      <c r="T396" s="30"/>
      <c r="U396" s="30"/>
      <c r="V396" s="30"/>
      <c r="W396" s="30"/>
      <c r="X396" s="30"/>
    </row>
    <row r="397">
      <c r="A397" s="30"/>
      <c r="B397" s="30"/>
      <c r="C397" s="30"/>
      <c r="D397" s="30"/>
      <c r="E397" s="30"/>
      <c r="F397" s="30"/>
      <c r="I397" s="25"/>
      <c r="T397" s="30"/>
      <c r="U397" s="30"/>
      <c r="V397" s="30"/>
      <c r="W397" s="30"/>
      <c r="X397" s="30"/>
    </row>
    <row r="398">
      <c r="A398" s="30"/>
      <c r="B398" s="30"/>
      <c r="C398" s="30"/>
      <c r="D398" s="30"/>
      <c r="E398" s="30"/>
      <c r="F398" s="30"/>
      <c r="I398" s="25"/>
      <c r="T398" s="30"/>
      <c r="U398" s="30"/>
      <c r="V398" s="30"/>
      <c r="W398" s="30"/>
      <c r="X398" s="30"/>
    </row>
    <row r="399">
      <c r="A399" s="30"/>
      <c r="B399" s="30"/>
      <c r="C399" s="30"/>
      <c r="D399" s="30"/>
      <c r="E399" s="30"/>
      <c r="F399" s="30"/>
      <c r="I399" s="25"/>
      <c r="T399" s="30"/>
      <c r="U399" s="30"/>
      <c r="V399" s="30"/>
      <c r="W399" s="30"/>
      <c r="X399" s="30"/>
    </row>
    <row r="400">
      <c r="A400" s="30"/>
      <c r="B400" s="30"/>
      <c r="C400" s="30"/>
      <c r="D400" s="30"/>
      <c r="E400" s="30"/>
      <c r="F400" s="30"/>
      <c r="I400" s="25"/>
      <c r="T400" s="30"/>
      <c r="U400" s="30"/>
      <c r="V400" s="30"/>
      <c r="W400" s="30"/>
      <c r="X400" s="30"/>
    </row>
    <row r="401">
      <c r="A401" s="30"/>
      <c r="B401" s="30"/>
      <c r="C401" s="30"/>
      <c r="D401" s="30"/>
      <c r="E401" s="30"/>
      <c r="F401" s="30"/>
      <c r="I401" s="25"/>
      <c r="T401" s="30"/>
      <c r="U401" s="30"/>
      <c r="V401" s="30"/>
      <c r="W401" s="30"/>
      <c r="X401" s="30"/>
    </row>
    <row r="402">
      <c r="A402" s="30"/>
      <c r="B402" s="30"/>
      <c r="C402" s="30"/>
      <c r="D402" s="30"/>
      <c r="E402" s="30"/>
      <c r="F402" s="30"/>
      <c r="I402" s="25"/>
      <c r="T402" s="30"/>
      <c r="U402" s="30"/>
      <c r="V402" s="30"/>
      <c r="W402" s="30"/>
      <c r="X402" s="30"/>
    </row>
    <row r="403">
      <c r="A403" s="30"/>
      <c r="B403" s="30"/>
      <c r="C403" s="30"/>
      <c r="D403" s="30"/>
      <c r="E403" s="30"/>
      <c r="F403" s="30"/>
      <c r="I403" s="25"/>
      <c r="T403" s="30"/>
      <c r="U403" s="30"/>
      <c r="V403" s="30"/>
      <c r="W403" s="30"/>
      <c r="X403" s="30"/>
    </row>
    <row r="404">
      <c r="A404" s="30"/>
      <c r="B404" s="30"/>
      <c r="C404" s="30"/>
      <c r="D404" s="30"/>
      <c r="E404" s="30"/>
      <c r="F404" s="30"/>
      <c r="I404" s="25"/>
      <c r="T404" s="30"/>
      <c r="U404" s="30"/>
      <c r="V404" s="30"/>
      <c r="W404" s="30"/>
      <c r="X404" s="30"/>
    </row>
    <row r="405">
      <c r="A405" s="30"/>
      <c r="B405" s="30"/>
      <c r="C405" s="30"/>
      <c r="D405" s="30"/>
      <c r="E405" s="30"/>
      <c r="F405" s="30"/>
      <c r="I405" s="25"/>
      <c r="T405" s="30"/>
      <c r="U405" s="30"/>
      <c r="V405" s="30"/>
      <c r="W405" s="30"/>
      <c r="X405" s="30"/>
    </row>
    <row r="406">
      <c r="A406" s="30"/>
      <c r="B406" s="30"/>
      <c r="C406" s="30"/>
      <c r="D406" s="30"/>
      <c r="E406" s="30"/>
      <c r="F406" s="30"/>
      <c r="I406" s="25"/>
      <c r="T406" s="30"/>
      <c r="U406" s="30"/>
      <c r="V406" s="30"/>
      <c r="W406" s="30"/>
      <c r="X406" s="30"/>
    </row>
    <row r="407">
      <c r="A407" s="30"/>
      <c r="B407" s="30"/>
      <c r="C407" s="30"/>
      <c r="D407" s="30"/>
      <c r="E407" s="30"/>
      <c r="F407" s="30"/>
      <c r="I407" s="25"/>
      <c r="T407" s="30"/>
      <c r="U407" s="30"/>
      <c r="V407" s="30"/>
      <c r="W407" s="30"/>
      <c r="X407" s="30"/>
    </row>
    <row r="408">
      <c r="A408" s="30"/>
      <c r="B408" s="30"/>
      <c r="C408" s="30"/>
      <c r="D408" s="30"/>
      <c r="E408" s="30"/>
      <c r="F408" s="30"/>
      <c r="I408" s="25"/>
      <c r="T408" s="30"/>
      <c r="U408" s="30"/>
      <c r="V408" s="30"/>
      <c r="W408" s="30"/>
      <c r="X408" s="30"/>
    </row>
    <row r="409">
      <c r="A409" s="30"/>
      <c r="B409" s="30"/>
      <c r="C409" s="30"/>
      <c r="D409" s="30"/>
      <c r="E409" s="30"/>
      <c r="F409" s="30"/>
      <c r="I409" s="25"/>
      <c r="T409" s="30"/>
      <c r="U409" s="30"/>
      <c r="V409" s="30"/>
      <c r="W409" s="30"/>
      <c r="X409" s="30"/>
    </row>
    <row r="410">
      <c r="A410" s="30"/>
      <c r="B410" s="30"/>
      <c r="C410" s="30"/>
      <c r="D410" s="30"/>
      <c r="E410" s="30"/>
      <c r="F410" s="30"/>
      <c r="I410" s="25"/>
      <c r="T410" s="30"/>
      <c r="U410" s="30"/>
      <c r="V410" s="30"/>
      <c r="W410" s="30"/>
      <c r="X410" s="30"/>
    </row>
    <row r="411">
      <c r="A411" s="30"/>
      <c r="B411" s="30"/>
      <c r="C411" s="30"/>
      <c r="D411" s="30"/>
      <c r="E411" s="30"/>
      <c r="F411" s="30"/>
      <c r="I411" s="25"/>
      <c r="T411" s="30"/>
      <c r="U411" s="30"/>
      <c r="V411" s="30"/>
      <c r="W411" s="30"/>
      <c r="X411" s="30"/>
    </row>
    <row r="412">
      <c r="A412" s="30"/>
      <c r="B412" s="30"/>
      <c r="C412" s="30"/>
      <c r="D412" s="30"/>
      <c r="E412" s="30"/>
      <c r="F412" s="30"/>
      <c r="I412" s="25"/>
      <c r="T412" s="30"/>
      <c r="U412" s="30"/>
      <c r="V412" s="30"/>
      <c r="W412" s="30"/>
      <c r="X412" s="30"/>
    </row>
    <row r="413">
      <c r="A413" s="30"/>
      <c r="B413" s="30"/>
      <c r="C413" s="30"/>
      <c r="D413" s="30"/>
      <c r="E413" s="30"/>
      <c r="F413" s="30"/>
      <c r="I413" s="25"/>
      <c r="T413" s="30"/>
      <c r="U413" s="30"/>
      <c r="V413" s="30"/>
      <c r="W413" s="30"/>
      <c r="X413" s="30"/>
    </row>
    <row r="414">
      <c r="A414" s="30"/>
      <c r="B414" s="30"/>
      <c r="C414" s="30"/>
      <c r="D414" s="30"/>
      <c r="E414" s="30"/>
      <c r="F414" s="30"/>
      <c r="I414" s="25"/>
      <c r="T414" s="30"/>
      <c r="U414" s="30"/>
      <c r="V414" s="30"/>
      <c r="W414" s="30"/>
      <c r="X414" s="30"/>
    </row>
    <row r="415">
      <c r="A415" s="30"/>
      <c r="B415" s="30"/>
      <c r="C415" s="30"/>
      <c r="D415" s="30"/>
      <c r="E415" s="30"/>
      <c r="F415" s="30"/>
      <c r="I415" s="25"/>
      <c r="T415" s="30"/>
      <c r="U415" s="30"/>
      <c r="V415" s="30"/>
      <c r="W415" s="30"/>
      <c r="X415" s="30"/>
    </row>
    <row r="416">
      <c r="A416" s="30"/>
      <c r="B416" s="30"/>
      <c r="C416" s="30"/>
      <c r="D416" s="30"/>
      <c r="E416" s="30"/>
      <c r="F416" s="30"/>
      <c r="I416" s="25"/>
      <c r="T416" s="30"/>
      <c r="U416" s="30"/>
      <c r="V416" s="30"/>
      <c r="W416" s="30"/>
      <c r="X416" s="30"/>
    </row>
    <row r="417">
      <c r="A417" s="30"/>
      <c r="B417" s="30"/>
      <c r="C417" s="30"/>
      <c r="D417" s="30"/>
      <c r="E417" s="30"/>
      <c r="F417" s="30"/>
      <c r="I417" s="25"/>
      <c r="T417" s="30"/>
      <c r="U417" s="30"/>
      <c r="V417" s="30"/>
      <c r="W417" s="30"/>
      <c r="X417" s="30"/>
    </row>
    <row r="418">
      <c r="A418" s="30"/>
      <c r="B418" s="30"/>
      <c r="C418" s="30"/>
      <c r="D418" s="30"/>
      <c r="E418" s="30"/>
      <c r="F418" s="30"/>
      <c r="I418" s="25"/>
      <c r="T418" s="30"/>
      <c r="U418" s="30"/>
      <c r="V418" s="30"/>
      <c r="W418" s="30"/>
      <c r="X418" s="30"/>
    </row>
    <row r="419">
      <c r="A419" s="30"/>
      <c r="B419" s="30"/>
      <c r="C419" s="30"/>
      <c r="D419" s="30"/>
      <c r="E419" s="30"/>
      <c r="F419" s="30"/>
      <c r="I419" s="25"/>
      <c r="T419" s="30"/>
      <c r="U419" s="30"/>
      <c r="V419" s="30"/>
      <c r="W419" s="30"/>
      <c r="X419" s="30"/>
    </row>
    <row r="420">
      <c r="A420" s="30"/>
      <c r="B420" s="30"/>
      <c r="C420" s="30"/>
      <c r="D420" s="30"/>
      <c r="E420" s="30"/>
      <c r="F420" s="30"/>
      <c r="I420" s="25"/>
      <c r="T420" s="30"/>
      <c r="U420" s="30"/>
      <c r="V420" s="30"/>
      <c r="W420" s="30"/>
      <c r="X420" s="30"/>
    </row>
    <row r="421">
      <c r="A421" s="30"/>
      <c r="B421" s="30"/>
      <c r="C421" s="30"/>
      <c r="D421" s="30"/>
      <c r="E421" s="30"/>
      <c r="F421" s="30"/>
      <c r="I421" s="25"/>
      <c r="T421" s="30"/>
      <c r="U421" s="30"/>
      <c r="V421" s="30"/>
      <c r="W421" s="30"/>
      <c r="X421" s="30"/>
    </row>
    <row r="422">
      <c r="A422" s="30"/>
      <c r="B422" s="30"/>
      <c r="C422" s="30"/>
      <c r="D422" s="30"/>
      <c r="E422" s="30"/>
      <c r="F422" s="30"/>
      <c r="I422" s="25"/>
      <c r="T422" s="30"/>
      <c r="U422" s="30"/>
      <c r="V422" s="30"/>
      <c r="W422" s="30"/>
      <c r="X422" s="30"/>
    </row>
    <row r="423">
      <c r="A423" s="30"/>
      <c r="B423" s="30"/>
      <c r="C423" s="30"/>
      <c r="D423" s="30"/>
      <c r="E423" s="30"/>
      <c r="F423" s="30"/>
      <c r="I423" s="25"/>
      <c r="T423" s="30"/>
      <c r="U423" s="30"/>
      <c r="V423" s="30"/>
      <c r="W423" s="30"/>
      <c r="X423" s="30"/>
    </row>
    <row r="424">
      <c r="A424" s="30"/>
      <c r="B424" s="30"/>
      <c r="C424" s="30"/>
      <c r="D424" s="30"/>
      <c r="E424" s="30"/>
      <c r="F424" s="30"/>
      <c r="I424" s="25"/>
      <c r="T424" s="30"/>
      <c r="U424" s="30"/>
      <c r="V424" s="30"/>
      <c r="W424" s="30"/>
      <c r="X424" s="30"/>
    </row>
    <row r="425">
      <c r="A425" s="30"/>
      <c r="B425" s="30"/>
      <c r="C425" s="30"/>
      <c r="D425" s="30"/>
      <c r="E425" s="30"/>
      <c r="F425" s="30"/>
      <c r="I425" s="25"/>
      <c r="T425" s="30"/>
      <c r="U425" s="30"/>
      <c r="V425" s="30"/>
      <c r="W425" s="30"/>
      <c r="X425" s="30"/>
    </row>
    <row r="426">
      <c r="A426" s="30"/>
      <c r="B426" s="30"/>
      <c r="C426" s="30"/>
      <c r="D426" s="30"/>
      <c r="E426" s="30"/>
      <c r="F426" s="30"/>
      <c r="I426" s="25"/>
      <c r="T426" s="30"/>
      <c r="U426" s="30"/>
      <c r="V426" s="30"/>
      <c r="W426" s="30"/>
      <c r="X426" s="30"/>
    </row>
    <row r="427">
      <c r="A427" s="30"/>
      <c r="B427" s="30"/>
      <c r="C427" s="30"/>
      <c r="D427" s="30"/>
      <c r="E427" s="30"/>
      <c r="F427" s="30"/>
      <c r="I427" s="25"/>
      <c r="T427" s="30"/>
      <c r="U427" s="30"/>
      <c r="V427" s="30"/>
      <c r="W427" s="30"/>
      <c r="X427" s="30"/>
    </row>
    <row r="428">
      <c r="A428" s="30"/>
      <c r="B428" s="30"/>
      <c r="C428" s="30"/>
      <c r="D428" s="30"/>
      <c r="E428" s="30"/>
      <c r="F428" s="30"/>
      <c r="I428" s="25"/>
      <c r="T428" s="30"/>
      <c r="U428" s="30"/>
      <c r="V428" s="30"/>
      <c r="W428" s="30"/>
      <c r="X428" s="30"/>
    </row>
    <row r="429">
      <c r="A429" s="30"/>
      <c r="B429" s="30"/>
      <c r="C429" s="30"/>
      <c r="D429" s="30"/>
      <c r="E429" s="30"/>
      <c r="F429" s="30"/>
      <c r="I429" s="25"/>
      <c r="T429" s="30"/>
      <c r="U429" s="30"/>
      <c r="V429" s="30"/>
      <c r="W429" s="30"/>
      <c r="X429" s="30"/>
    </row>
    <row r="430">
      <c r="A430" s="30"/>
      <c r="B430" s="30"/>
      <c r="C430" s="30"/>
      <c r="D430" s="30"/>
      <c r="E430" s="30"/>
      <c r="F430" s="30"/>
      <c r="I430" s="25"/>
      <c r="T430" s="30"/>
      <c r="U430" s="30"/>
      <c r="V430" s="30"/>
      <c r="W430" s="30"/>
      <c r="X430" s="30"/>
    </row>
    <row r="431">
      <c r="A431" s="30"/>
      <c r="B431" s="30"/>
      <c r="C431" s="30"/>
      <c r="D431" s="30"/>
      <c r="E431" s="30"/>
      <c r="F431" s="30"/>
      <c r="I431" s="25"/>
      <c r="T431" s="30"/>
      <c r="U431" s="30"/>
      <c r="V431" s="30"/>
      <c r="W431" s="30"/>
      <c r="X431" s="30"/>
    </row>
    <row r="432">
      <c r="A432" s="30"/>
      <c r="B432" s="30"/>
      <c r="C432" s="30"/>
      <c r="D432" s="30"/>
      <c r="E432" s="30"/>
      <c r="F432" s="30"/>
      <c r="I432" s="25"/>
      <c r="T432" s="30"/>
      <c r="U432" s="30"/>
      <c r="V432" s="30"/>
      <c r="W432" s="30"/>
      <c r="X432" s="30"/>
    </row>
    <row r="433">
      <c r="A433" s="30"/>
      <c r="B433" s="30"/>
      <c r="C433" s="30"/>
      <c r="D433" s="30"/>
      <c r="E433" s="30"/>
      <c r="F433" s="30"/>
      <c r="I433" s="25"/>
      <c r="T433" s="30"/>
      <c r="U433" s="30"/>
      <c r="V433" s="30"/>
      <c r="W433" s="30"/>
      <c r="X433" s="30"/>
    </row>
    <row r="434">
      <c r="A434" s="30"/>
      <c r="B434" s="30"/>
      <c r="C434" s="30"/>
      <c r="D434" s="30"/>
      <c r="E434" s="30"/>
      <c r="F434" s="30"/>
      <c r="I434" s="25"/>
      <c r="T434" s="30"/>
      <c r="U434" s="30"/>
      <c r="V434" s="30"/>
      <c r="W434" s="30"/>
      <c r="X434" s="30"/>
    </row>
    <row r="435">
      <c r="A435" s="30"/>
      <c r="B435" s="30"/>
      <c r="C435" s="30"/>
      <c r="D435" s="30"/>
      <c r="E435" s="30"/>
      <c r="F435" s="30"/>
      <c r="I435" s="25"/>
      <c r="T435" s="30"/>
      <c r="U435" s="30"/>
      <c r="V435" s="30"/>
      <c r="W435" s="30"/>
      <c r="X435" s="30"/>
    </row>
    <row r="436">
      <c r="A436" s="30"/>
      <c r="B436" s="30"/>
      <c r="C436" s="30"/>
      <c r="D436" s="30"/>
      <c r="E436" s="30"/>
      <c r="F436" s="30"/>
      <c r="I436" s="25"/>
      <c r="T436" s="30"/>
      <c r="U436" s="30"/>
      <c r="V436" s="30"/>
      <c r="W436" s="30"/>
      <c r="X436" s="30"/>
    </row>
    <row r="437">
      <c r="A437" s="30"/>
      <c r="B437" s="30"/>
      <c r="C437" s="30"/>
      <c r="D437" s="30"/>
      <c r="E437" s="30"/>
      <c r="F437" s="30"/>
      <c r="I437" s="25"/>
      <c r="T437" s="30"/>
      <c r="U437" s="30"/>
      <c r="V437" s="30"/>
      <c r="W437" s="30"/>
      <c r="X437" s="30"/>
    </row>
    <row r="438">
      <c r="A438" s="30"/>
      <c r="B438" s="30"/>
      <c r="C438" s="30"/>
      <c r="D438" s="30"/>
      <c r="E438" s="30"/>
      <c r="F438" s="30"/>
      <c r="I438" s="25"/>
      <c r="T438" s="30"/>
      <c r="U438" s="30"/>
      <c r="V438" s="30"/>
      <c r="W438" s="30"/>
      <c r="X438" s="30"/>
    </row>
    <row r="439">
      <c r="A439" s="30"/>
      <c r="B439" s="30"/>
      <c r="C439" s="30"/>
      <c r="D439" s="30"/>
      <c r="E439" s="30"/>
      <c r="F439" s="30"/>
      <c r="I439" s="25"/>
      <c r="T439" s="30"/>
      <c r="U439" s="30"/>
      <c r="V439" s="30"/>
      <c r="W439" s="30"/>
      <c r="X439" s="30"/>
    </row>
    <row r="440">
      <c r="A440" s="30"/>
      <c r="B440" s="30"/>
      <c r="C440" s="30"/>
      <c r="D440" s="30"/>
      <c r="E440" s="30"/>
      <c r="F440" s="30"/>
      <c r="I440" s="25"/>
      <c r="T440" s="30"/>
      <c r="U440" s="30"/>
      <c r="V440" s="30"/>
      <c r="W440" s="30"/>
      <c r="X440" s="30"/>
    </row>
    <row r="441">
      <c r="A441" s="30"/>
      <c r="B441" s="30"/>
      <c r="C441" s="30"/>
      <c r="D441" s="30"/>
      <c r="E441" s="30"/>
      <c r="F441" s="30"/>
      <c r="I441" s="25"/>
      <c r="T441" s="30"/>
      <c r="U441" s="30"/>
      <c r="V441" s="30"/>
      <c r="W441" s="30"/>
      <c r="X441" s="30"/>
    </row>
    <row r="442">
      <c r="A442" s="30"/>
      <c r="B442" s="30"/>
      <c r="C442" s="30"/>
      <c r="D442" s="30"/>
      <c r="E442" s="30"/>
      <c r="F442" s="30"/>
      <c r="I442" s="25"/>
      <c r="T442" s="30"/>
      <c r="U442" s="30"/>
      <c r="V442" s="30"/>
      <c r="W442" s="30"/>
      <c r="X442" s="30"/>
    </row>
    <row r="443">
      <c r="A443" s="30"/>
      <c r="B443" s="30"/>
      <c r="C443" s="30"/>
      <c r="D443" s="30"/>
      <c r="E443" s="30"/>
      <c r="F443" s="30"/>
      <c r="I443" s="25"/>
      <c r="T443" s="30"/>
      <c r="U443" s="30"/>
      <c r="V443" s="30"/>
      <c r="W443" s="30"/>
      <c r="X443" s="30"/>
    </row>
    <row r="444">
      <c r="A444" s="30"/>
      <c r="B444" s="30"/>
      <c r="C444" s="30"/>
      <c r="D444" s="30"/>
      <c r="E444" s="30"/>
      <c r="F444" s="30"/>
      <c r="I444" s="25"/>
      <c r="T444" s="30"/>
      <c r="U444" s="30"/>
      <c r="V444" s="30"/>
      <c r="W444" s="30"/>
      <c r="X444" s="30"/>
    </row>
    <row r="445">
      <c r="A445" s="30"/>
      <c r="B445" s="30"/>
      <c r="C445" s="30"/>
      <c r="D445" s="30"/>
      <c r="E445" s="30"/>
      <c r="F445" s="30"/>
      <c r="I445" s="25"/>
      <c r="T445" s="30"/>
      <c r="U445" s="30"/>
      <c r="V445" s="30"/>
      <c r="W445" s="30"/>
      <c r="X445" s="30"/>
    </row>
    <row r="446">
      <c r="A446" s="30"/>
      <c r="B446" s="30"/>
      <c r="C446" s="30"/>
      <c r="D446" s="30"/>
      <c r="E446" s="30"/>
      <c r="F446" s="30"/>
      <c r="I446" s="25"/>
      <c r="T446" s="30"/>
      <c r="U446" s="30"/>
      <c r="V446" s="30"/>
      <c r="W446" s="30"/>
      <c r="X446" s="30"/>
    </row>
    <row r="447">
      <c r="A447" s="30"/>
      <c r="B447" s="30"/>
      <c r="C447" s="30"/>
      <c r="D447" s="30"/>
      <c r="E447" s="30"/>
      <c r="F447" s="30"/>
      <c r="I447" s="25"/>
      <c r="T447" s="30"/>
      <c r="U447" s="30"/>
      <c r="V447" s="30"/>
      <c r="W447" s="30"/>
      <c r="X447" s="30"/>
    </row>
    <row r="448">
      <c r="A448" s="30"/>
      <c r="B448" s="30"/>
      <c r="C448" s="30"/>
      <c r="D448" s="30"/>
      <c r="E448" s="30"/>
      <c r="F448" s="30"/>
      <c r="I448" s="25"/>
      <c r="T448" s="30"/>
      <c r="U448" s="30"/>
      <c r="V448" s="30"/>
      <c r="W448" s="30"/>
      <c r="X448" s="30"/>
    </row>
    <row r="449">
      <c r="A449" s="30"/>
      <c r="B449" s="30"/>
      <c r="C449" s="30"/>
      <c r="D449" s="30"/>
      <c r="E449" s="30"/>
      <c r="F449" s="30"/>
      <c r="I449" s="25"/>
      <c r="T449" s="30"/>
      <c r="U449" s="30"/>
      <c r="V449" s="30"/>
      <c r="W449" s="30"/>
      <c r="X449" s="30"/>
    </row>
    <row r="450">
      <c r="A450" s="30"/>
      <c r="B450" s="30"/>
      <c r="C450" s="30"/>
      <c r="D450" s="30"/>
      <c r="E450" s="30"/>
      <c r="F450" s="30"/>
      <c r="I450" s="25"/>
      <c r="T450" s="30"/>
      <c r="U450" s="30"/>
      <c r="V450" s="30"/>
      <c r="W450" s="30"/>
      <c r="X450" s="30"/>
    </row>
    <row r="451">
      <c r="A451" s="30"/>
      <c r="B451" s="30"/>
      <c r="C451" s="30"/>
      <c r="D451" s="30"/>
      <c r="E451" s="30"/>
      <c r="F451" s="30"/>
      <c r="I451" s="25"/>
      <c r="T451" s="30"/>
      <c r="U451" s="30"/>
      <c r="V451" s="30"/>
      <c r="W451" s="30"/>
      <c r="X451" s="30"/>
    </row>
    <row r="452">
      <c r="A452" s="30"/>
      <c r="B452" s="30"/>
      <c r="C452" s="30"/>
      <c r="D452" s="30"/>
      <c r="E452" s="30"/>
      <c r="F452" s="30"/>
      <c r="I452" s="25"/>
      <c r="T452" s="30"/>
      <c r="U452" s="30"/>
      <c r="V452" s="30"/>
      <c r="W452" s="30"/>
      <c r="X452" s="30"/>
    </row>
    <row r="453">
      <c r="A453" s="30"/>
      <c r="B453" s="30"/>
      <c r="C453" s="30"/>
      <c r="D453" s="30"/>
      <c r="E453" s="30"/>
      <c r="F453" s="30"/>
      <c r="I453" s="25"/>
      <c r="T453" s="30"/>
      <c r="U453" s="30"/>
      <c r="V453" s="30"/>
      <c r="W453" s="30"/>
      <c r="X453" s="30"/>
    </row>
    <row r="454">
      <c r="A454" s="30"/>
      <c r="B454" s="30"/>
      <c r="C454" s="30"/>
      <c r="D454" s="30"/>
      <c r="E454" s="30"/>
      <c r="F454" s="30"/>
      <c r="I454" s="25"/>
      <c r="T454" s="30"/>
      <c r="U454" s="30"/>
      <c r="V454" s="30"/>
      <c r="W454" s="30"/>
      <c r="X454" s="30"/>
    </row>
    <row r="455">
      <c r="A455" s="30"/>
      <c r="B455" s="30"/>
      <c r="C455" s="30"/>
      <c r="D455" s="30"/>
      <c r="E455" s="30"/>
      <c r="F455" s="30"/>
      <c r="I455" s="25"/>
      <c r="T455" s="30"/>
      <c r="U455" s="30"/>
      <c r="V455" s="30"/>
      <c r="W455" s="30"/>
      <c r="X455" s="30"/>
    </row>
    <row r="456">
      <c r="A456" s="30"/>
      <c r="B456" s="30"/>
      <c r="C456" s="30"/>
      <c r="D456" s="30"/>
      <c r="E456" s="30"/>
      <c r="F456" s="30"/>
      <c r="I456" s="25"/>
      <c r="T456" s="30"/>
      <c r="U456" s="30"/>
      <c r="V456" s="30"/>
      <c r="W456" s="30"/>
      <c r="X456" s="30"/>
    </row>
    <row r="457">
      <c r="A457" s="30"/>
      <c r="B457" s="30"/>
      <c r="C457" s="30"/>
      <c r="D457" s="30"/>
      <c r="E457" s="30"/>
      <c r="F457" s="30"/>
      <c r="I457" s="25"/>
      <c r="T457" s="30"/>
      <c r="U457" s="30"/>
      <c r="V457" s="30"/>
      <c r="W457" s="30"/>
      <c r="X457" s="30"/>
    </row>
    <row r="458">
      <c r="A458" s="30"/>
      <c r="B458" s="30"/>
      <c r="C458" s="30"/>
      <c r="D458" s="30"/>
      <c r="E458" s="30"/>
      <c r="F458" s="30"/>
      <c r="I458" s="25"/>
      <c r="T458" s="30"/>
      <c r="U458" s="30"/>
      <c r="V458" s="30"/>
      <c r="W458" s="30"/>
      <c r="X458" s="30"/>
    </row>
    <row r="459">
      <c r="A459" s="30"/>
      <c r="B459" s="30"/>
      <c r="C459" s="30"/>
      <c r="D459" s="30"/>
      <c r="E459" s="30"/>
      <c r="F459" s="30"/>
      <c r="I459" s="25"/>
      <c r="T459" s="30"/>
      <c r="U459" s="30"/>
      <c r="V459" s="30"/>
      <c r="W459" s="30"/>
      <c r="X459" s="30"/>
    </row>
    <row r="460">
      <c r="A460" s="30"/>
      <c r="B460" s="30"/>
      <c r="C460" s="30"/>
      <c r="D460" s="30"/>
      <c r="E460" s="30"/>
      <c r="F460" s="30"/>
      <c r="I460" s="25"/>
      <c r="T460" s="30"/>
      <c r="U460" s="30"/>
      <c r="V460" s="30"/>
      <c r="W460" s="30"/>
      <c r="X460" s="30"/>
    </row>
    <row r="461">
      <c r="A461" s="30"/>
      <c r="B461" s="30"/>
      <c r="C461" s="30"/>
      <c r="D461" s="30"/>
      <c r="E461" s="30"/>
      <c r="F461" s="30"/>
      <c r="I461" s="25"/>
      <c r="T461" s="30"/>
      <c r="U461" s="30"/>
      <c r="V461" s="30"/>
      <c r="W461" s="30"/>
      <c r="X461" s="30"/>
    </row>
    <row r="462">
      <c r="A462" s="30"/>
      <c r="B462" s="30"/>
      <c r="C462" s="30"/>
      <c r="D462" s="30"/>
      <c r="E462" s="30"/>
      <c r="F462" s="30"/>
      <c r="I462" s="25"/>
      <c r="T462" s="30"/>
      <c r="U462" s="30"/>
      <c r="V462" s="30"/>
      <c r="W462" s="30"/>
      <c r="X462" s="30"/>
    </row>
    <row r="463">
      <c r="A463" s="30"/>
      <c r="B463" s="30"/>
      <c r="C463" s="30"/>
      <c r="D463" s="30"/>
      <c r="E463" s="30"/>
      <c r="F463" s="30"/>
      <c r="I463" s="25"/>
      <c r="T463" s="30"/>
      <c r="U463" s="30"/>
      <c r="V463" s="30"/>
      <c r="W463" s="30"/>
      <c r="X463" s="30"/>
    </row>
    <row r="464">
      <c r="A464" s="30"/>
      <c r="B464" s="30"/>
      <c r="C464" s="30"/>
      <c r="D464" s="30"/>
      <c r="E464" s="30"/>
      <c r="F464" s="30"/>
      <c r="I464" s="25"/>
      <c r="T464" s="30"/>
      <c r="U464" s="30"/>
      <c r="V464" s="30"/>
      <c r="W464" s="30"/>
      <c r="X464" s="30"/>
    </row>
    <row r="465">
      <c r="A465" s="30"/>
      <c r="B465" s="30"/>
      <c r="C465" s="30"/>
      <c r="D465" s="30"/>
      <c r="E465" s="30"/>
      <c r="F465" s="30"/>
      <c r="I465" s="25"/>
      <c r="T465" s="30"/>
      <c r="U465" s="30"/>
      <c r="V465" s="30"/>
      <c r="W465" s="30"/>
      <c r="X465" s="30"/>
    </row>
    <row r="466">
      <c r="A466" s="30"/>
      <c r="B466" s="30"/>
      <c r="C466" s="30"/>
      <c r="D466" s="30"/>
      <c r="E466" s="30"/>
      <c r="F466" s="30"/>
      <c r="I466" s="25"/>
      <c r="T466" s="30"/>
      <c r="U466" s="30"/>
      <c r="V466" s="30"/>
      <c r="W466" s="30"/>
      <c r="X466" s="30"/>
    </row>
    <row r="467">
      <c r="A467" s="30"/>
      <c r="B467" s="30"/>
      <c r="C467" s="30"/>
      <c r="D467" s="30"/>
      <c r="E467" s="30"/>
      <c r="F467" s="30"/>
      <c r="I467" s="25"/>
      <c r="T467" s="30"/>
      <c r="U467" s="30"/>
      <c r="V467" s="30"/>
      <c r="W467" s="30"/>
      <c r="X467" s="30"/>
    </row>
    <row r="468">
      <c r="A468" s="30"/>
      <c r="B468" s="30"/>
      <c r="C468" s="30"/>
      <c r="D468" s="30"/>
      <c r="E468" s="30"/>
      <c r="F468" s="30"/>
      <c r="I468" s="25"/>
      <c r="T468" s="30"/>
      <c r="U468" s="30"/>
      <c r="V468" s="30"/>
      <c r="W468" s="30"/>
      <c r="X468" s="30"/>
    </row>
    <row r="469">
      <c r="A469" s="30"/>
      <c r="B469" s="30"/>
      <c r="C469" s="30"/>
      <c r="D469" s="30"/>
      <c r="E469" s="30"/>
      <c r="F469" s="30"/>
      <c r="I469" s="25"/>
      <c r="T469" s="30"/>
      <c r="U469" s="30"/>
      <c r="V469" s="30"/>
      <c r="W469" s="30"/>
      <c r="X469" s="30"/>
    </row>
    <row r="470">
      <c r="A470" s="30"/>
      <c r="B470" s="30"/>
      <c r="C470" s="30"/>
      <c r="D470" s="30"/>
      <c r="E470" s="30"/>
      <c r="F470" s="30"/>
      <c r="I470" s="25"/>
      <c r="T470" s="30"/>
      <c r="U470" s="30"/>
      <c r="V470" s="30"/>
      <c r="W470" s="30"/>
      <c r="X470" s="30"/>
    </row>
    <row r="471">
      <c r="A471" s="30"/>
      <c r="B471" s="30"/>
      <c r="C471" s="30"/>
      <c r="D471" s="30"/>
      <c r="E471" s="30"/>
      <c r="F471" s="30"/>
      <c r="I471" s="25"/>
      <c r="T471" s="30"/>
      <c r="U471" s="30"/>
      <c r="V471" s="30"/>
      <c r="W471" s="30"/>
      <c r="X471" s="30"/>
    </row>
    <row r="472">
      <c r="A472" s="30"/>
      <c r="B472" s="30"/>
      <c r="C472" s="30"/>
      <c r="D472" s="30"/>
      <c r="E472" s="30"/>
      <c r="F472" s="30"/>
      <c r="I472" s="25"/>
      <c r="T472" s="30"/>
      <c r="U472" s="30"/>
      <c r="V472" s="30"/>
      <c r="W472" s="30"/>
      <c r="X472" s="30"/>
    </row>
    <row r="473">
      <c r="A473" s="30"/>
      <c r="B473" s="30"/>
      <c r="C473" s="30"/>
      <c r="D473" s="30"/>
      <c r="E473" s="30"/>
      <c r="F473" s="30"/>
      <c r="I473" s="25"/>
      <c r="T473" s="30"/>
      <c r="U473" s="30"/>
      <c r="V473" s="30"/>
      <c r="W473" s="30"/>
      <c r="X473" s="30"/>
    </row>
    <row r="474">
      <c r="A474" s="30"/>
      <c r="B474" s="30"/>
      <c r="C474" s="30"/>
      <c r="D474" s="30"/>
      <c r="E474" s="30"/>
      <c r="F474" s="30"/>
      <c r="I474" s="25"/>
      <c r="T474" s="30"/>
      <c r="U474" s="30"/>
      <c r="V474" s="30"/>
      <c r="W474" s="30"/>
      <c r="X474" s="30"/>
    </row>
    <row r="475">
      <c r="A475" s="30"/>
      <c r="B475" s="30"/>
      <c r="C475" s="30"/>
      <c r="D475" s="30"/>
      <c r="E475" s="30"/>
      <c r="F475" s="30"/>
      <c r="I475" s="25"/>
      <c r="T475" s="30"/>
      <c r="U475" s="30"/>
      <c r="V475" s="30"/>
      <c r="W475" s="30"/>
      <c r="X475" s="30"/>
    </row>
    <row r="476">
      <c r="A476" s="30"/>
      <c r="B476" s="30"/>
      <c r="C476" s="30"/>
      <c r="D476" s="30"/>
      <c r="E476" s="30"/>
      <c r="F476" s="30"/>
      <c r="I476" s="25"/>
      <c r="T476" s="30"/>
      <c r="U476" s="30"/>
      <c r="V476" s="30"/>
      <c r="W476" s="30"/>
      <c r="X476" s="30"/>
    </row>
    <row r="477">
      <c r="A477" s="30"/>
      <c r="B477" s="30"/>
      <c r="C477" s="30"/>
      <c r="D477" s="30"/>
      <c r="E477" s="30"/>
      <c r="F477" s="30"/>
      <c r="I477" s="25"/>
      <c r="T477" s="30"/>
      <c r="U477" s="30"/>
      <c r="V477" s="30"/>
      <c r="W477" s="30"/>
      <c r="X477" s="30"/>
    </row>
    <row r="478">
      <c r="A478" s="30"/>
      <c r="B478" s="30"/>
      <c r="C478" s="30"/>
      <c r="D478" s="30"/>
      <c r="E478" s="30"/>
      <c r="F478" s="30"/>
      <c r="I478" s="25"/>
      <c r="T478" s="30"/>
      <c r="U478" s="30"/>
      <c r="V478" s="30"/>
      <c r="W478" s="30"/>
      <c r="X478" s="30"/>
    </row>
    <row r="479">
      <c r="A479" s="30"/>
      <c r="B479" s="30"/>
      <c r="C479" s="30"/>
      <c r="D479" s="30"/>
      <c r="E479" s="30"/>
      <c r="F479" s="30"/>
      <c r="I479" s="25"/>
      <c r="T479" s="30"/>
      <c r="U479" s="30"/>
      <c r="V479" s="30"/>
      <c r="W479" s="30"/>
      <c r="X479" s="30"/>
    </row>
    <row r="480">
      <c r="A480" s="30"/>
      <c r="B480" s="30"/>
      <c r="C480" s="30"/>
      <c r="D480" s="30"/>
      <c r="E480" s="30"/>
      <c r="F480" s="30"/>
      <c r="I480" s="25"/>
      <c r="T480" s="30"/>
      <c r="U480" s="30"/>
      <c r="V480" s="30"/>
      <c r="W480" s="30"/>
      <c r="X480" s="30"/>
    </row>
    <row r="481">
      <c r="A481" s="30"/>
      <c r="B481" s="30"/>
      <c r="C481" s="30"/>
      <c r="D481" s="30"/>
      <c r="E481" s="30"/>
      <c r="F481" s="30"/>
      <c r="I481" s="25"/>
      <c r="T481" s="30"/>
      <c r="U481" s="30"/>
      <c r="V481" s="30"/>
      <c r="W481" s="30"/>
      <c r="X481" s="30"/>
    </row>
    <row r="482">
      <c r="A482" s="30"/>
      <c r="B482" s="30"/>
      <c r="C482" s="30"/>
      <c r="D482" s="30"/>
      <c r="E482" s="30"/>
      <c r="F482" s="30"/>
      <c r="I482" s="25"/>
      <c r="T482" s="30"/>
      <c r="U482" s="30"/>
      <c r="V482" s="30"/>
      <c r="W482" s="30"/>
      <c r="X482" s="30"/>
    </row>
    <row r="483">
      <c r="A483" s="30"/>
      <c r="B483" s="30"/>
      <c r="C483" s="30"/>
      <c r="D483" s="30"/>
      <c r="E483" s="30"/>
      <c r="F483" s="30"/>
      <c r="I483" s="25"/>
      <c r="T483" s="30"/>
      <c r="U483" s="30"/>
      <c r="V483" s="30"/>
      <c r="W483" s="30"/>
      <c r="X483" s="30"/>
    </row>
    <row r="484">
      <c r="A484" s="30"/>
      <c r="B484" s="30"/>
      <c r="C484" s="30"/>
      <c r="D484" s="30"/>
      <c r="E484" s="30"/>
      <c r="F484" s="30"/>
      <c r="I484" s="25"/>
      <c r="T484" s="30"/>
      <c r="U484" s="30"/>
      <c r="V484" s="30"/>
      <c r="W484" s="30"/>
      <c r="X484" s="30"/>
    </row>
    <row r="485">
      <c r="A485" s="30"/>
      <c r="B485" s="30"/>
      <c r="C485" s="30"/>
      <c r="D485" s="30"/>
      <c r="E485" s="30"/>
      <c r="F485" s="30"/>
      <c r="I485" s="25"/>
      <c r="T485" s="30"/>
      <c r="U485" s="30"/>
      <c r="V485" s="30"/>
      <c r="W485" s="30"/>
      <c r="X485" s="30"/>
    </row>
    <row r="486">
      <c r="A486" s="30"/>
      <c r="B486" s="30"/>
      <c r="C486" s="30"/>
      <c r="D486" s="30"/>
      <c r="E486" s="30"/>
      <c r="F486" s="30"/>
      <c r="I486" s="25"/>
      <c r="T486" s="30"/>
      <c r="U486" s="30"/>
      <c r="V486" s="30"/>
      <c r="W486" s="30"/>
      <c r="X486" s="30"/>
    </row>
    <row r="487">
      <c r="A487" s="30"/>
      <c r="B487" s="30"/>
      <c r="C487" s="30"/>
      <c r="D487" s="30"/>
      <c r="E487" s="30"/>
      <c r="F487" s="30"/>
      <c r="I487" s="25"/>
      <c r="T487" s="30"/>
      <c r="U487" s="30"/>
      <c r="V487" s="30"/>
      <c r="W487" s="30"/>
      <c r="X487" s="30"/>
    </row>
    <row r="488">
      <c r="A488" s="30"/>
      <c r="B488" s="30"/>
      <c r="C488" s="30"/>
      <c r="D488" s="30"/>
      <c r="E488" s="30"/>
      <c r="F488" s="30"/>
      <c r="I488" s="25"/>
      <c r="T488" s="30"/>
      <c r="U488" s="30"/>
      <c r="V488" s="30"/>
      <c r="W488" s="30"/>
      <c r="X488" s="30"/>
    </row>
    <row r="489">
      <c r="A489" s="30"/>
      <c r="B489" s="30"/>
      <c r="C489" s="30"/>
      <c r="D489" s="30"/>
      <c r="E489" s="30"/>
      <c r="F489" s="30"/>
      <c r="I489" s="25"/>
      <c r="T489" s="30"/>
      <c r="U489" s="30"/>
      <c r="V489" s="30"/>
      <c r="W489" s="30"/>
      <c r="X489" s="30"/>
    </row>
    <row r="490">
      <c r="A490" s="30"/>
      <c r="B490" s="30"/>
      <c r="C490" s="30"/>
      <c r="D490" s="30"/>
      <c r="E490" s="30"/>
      <c r="F490" s="30"/>
      <c r="I490" s="25"/>
      <c r="T490" s="30"/>
      <c r="U490" s="30"/>
      <c r="V490" s="30"/>
      <c r="W490" s="30"/>
      <c r="X490" s="30"/>
    </row>
    <row r="491">
      <c r="A491" s="30"/>
      <c r="B491" s="30"/>
      <c r="C491" s="30"/>
      <c r="D491" s="30"/>
      <c r="E491" s="30"/>
      <c r="F491" s="30"/>
      <c r="I491" s="25"/>
      <c r="T491" s="30"/>
      <c r="U491" s="30"/>
      <c r="V491" s="30"/>
      <c r="W491" s="30"/>
      <c r="X491" s="30"/>
    </row>
    <row r="492">
      <c r="A492" s="30"/>
      <c r="B492" s="30"/>
      <c r="C492" s="30"/>
      <c r="D492" s="30"/>
      <c r="E492" s="30"/>
      <c r="F492" s="30"/>
      <c r="I492" s="25"/>
      <c r="T492" s="30"/>
      <c r="U492" s="30"/>
      <c r="V492" s="30"/>
      <c r="W492" s="30"/>
      <c r="X492" s="30"/>
    </row>
    <row r="493">
      <c r="A493" s="30"/>
      <c r="B493" s="30"/>
      <c r="C493" s="30"/>
      <c r="D493" s="30"/>
      <c r="E493" s="30"/>
      <c r="F493" s="30"/>
      <c r="I493" s="25"/>
      <c r="T493" s="30"/>
      <c r="U493" s="30"/>
      <c r="V493" s="30"/>
      <c r="W493" s="30"/>
      <c r="X493" s="30"/>
    </row>
    <row r="494">
      <c r="A494" s="30"/>
      <c r="B494" s="30"/>
      <c r="C494" s="30"/>
      <c r="D494" s="30"/>
      <c r="E494" s="30"/>
      <c r="F494" s="30"/>
      <c r="I494" s="25"/>
      <c r="T494" s="30"/>
      <c r="U494" s="30"/>
      <c r="V494" s="30"/>
      <c r="W494" s="30"/>
      <c r="X494" s="30"/>
    </row>
    <row r="495">
      <c r="A495" s="30"/>
      <c r="B495" s="30"/>
      <c r="C495" s="30"/>
      <c r="D495" s="30"/>
      <c r="E495" s="30"/>
      <c r="F495" s="30"/>
      <c r="I495" s="25"/>
      <c r="T495" s="30"/>
      <c r="U495" s="30"/>
      <c r="V495" s="30"/>
      <c r="W495" s="30"/>
      <c r="X495" s="30"/>
    </row>
    <row r="496">
      <c r="A496" s="30"/>
      <c r="B496" s="30"/>
      <c r="C496" s="30"/>
      <c r="D496" s="30"/>
      <c r="E496" s="30"/>
      <c r="F496" s="30"/>
      <c r="I496" s="25"/>
      <c r="T496" s="30"/>
      <c r="U496" s="30"/>
      <c r="V496" s="30"/>
      <c r="W496" s="30"/>
      <c r="X496" s="30"/>
    </row>
    <row r="497">
      <c r="A497" s="30"/>
      <c r="B497" s="30"/>
      <c r="C497" s="30"/>
      <c r="D497" s="30"/>
      <c r="E497" s="30"/>
      <c r="F497" s="30"/>
      <c r="I497" s="25"/>
      <c r="T497" s="30"/>
      <c r="U497" s="30"/>
      <c r="V497" s="30"/>
      <c r="W497" s="30"/>
      <c r="X497" s="30"/>
    </row>
    <row r="498">
      <c r="A498" s="30"/>
      <c r="B498" s="30"/>
      <c r="C498" s="30"/>
      <c r="D498" s="30"/>
      <c r="E498" s="30"/>
      <c r="F498" s="30"/>
      <c r="I498" s="25"/>
      <c r="T498" s="30"/>
      <c r="U498" s="30"/>
      <c r="V498" s="30"/>
      <c r="W498" s="30"/>
      <c r="X498" s="30"/>
    </row>
    <row r="499">
      <c r="A499" s="30"/>
      <c r="B499" s="30"/>
      <c r="C499" s="30"/>
      <c r="D499" s="30"/>
      <c r="E499" s="30"/>
      <c r="F499" s="30"/>
      <c r="I499" s="25"/>
      <c r="T499" s="30"/>
      <c r="U499" s="30"/>
      <c r="V499" s="30"/>
      <c r="W499" s="30"/>
      <c r="X499" s="30"/>
    </row>
    <row r="500">
      <c r="A500" s="30"/>
      <c r="B500" s="30"/>
      <c r="C500" s="30"/>
      <c r="D500" s="30"/>
      <c r="E500" s="30"/>
      <c r="F500" s="30"/>
      <c r="I500" s="25"/>
      <c r="T500" s="30"/>
      <c r="U500" s="30"/>
      <c r="V500" s="30"/>
      <c r="W500" s="30"/>
      <c r="X500" s="30"/>
    </row>
    <row r="501">
      <c r="A501" s="30"/>
      <c r="B501" s="30"/>
      <c r="C501" s="30"/>
      <c r="D501" s="30"/>
      <c r="E501" s="30"/>
      <c r="F501" s="30"/>
      <c r="I501" s="25"/>
      <c r="T501" s="30"/>
      <c r="U501" s="30"/>
      <c r="V501" s="30"/>
      <c r="W501" s="30"/>
      <c r="X501" s="30"/>
    </row>
    <row r="502">
      <c r="A502" s="30"/>
      <c r="B502" s="30"/>
      <c r="C502" s="30"/>
      <c r="D502" s="30"/>
      <c r="E502" s="30"/>
      <c r="F502" s="30"/>
      <c r="I502" s="25"/>
      <c r="T502" s="30"/>
      <c r="U502" s="30"/>
      <c r="V502" s="30"/>
      <c r="W502" s="30"/>
      <c r="X502" s="30"/>
    </row>
    <row r="503">
      <c r="A503" s="30"/>
      <c r="B503" s="30"/>
      <c r="C503" s="30"/>
      <c r="D503" s="30"/>
      <c r="E503" s="30"/>
      <c r="F503" s="30"/>
      <c r="I503" s="25"/>
      <c r="T503" s="30"/>
      <c r="U503" s="30"/>
      <c r="V503" s="30"/>
      <c r="W503" s="30"/>
      <c r="X503" s="30"/>
    </row>
    <row r="504">
      <c r="A504" s="30"/>
      <c r="B504" s="30"/>
      <c r="C504" s="30"/>
      <c r="D504" s="30"/>
      <c r="E504" s="30"/>
      <c r="F504" s="30"/>
      <c r="I504" s="25"/>
      <c r="T504" s="30"/>
      <c r="U504" s="30"/>
      <c r="V504" s="30"/>
      <c r="W504" s="30"/>
      <c r="X504" s="30"/>
    </row>
    <row r="505">
      <c r="A505" s="30"/>
      <c r="B505" s="30"/>
      <c r="C505" s="30"/>
      <c r="D505" s="30"/>
      <c r="E505" s="30"/>
      <c r="F505" s="30"/>
      <c r="I505" s="25"/>
      <c r="T505" s="30"/>
      <c r="U505" s="30"/>
      <c r="V505" s="30"/>
      <c r="W505" s="30"/>
      <c r="X505" s="30"/>
    </row>
    <row r="506">
      <c r="A506" s="30"/>
      <c r="B506" s="30"/>
      <c r="C506" s="30"/>
      <c r="D506" s="30"/>
      <c r="E506" s="30"/>
      <c r="F506" s="30"/>
      <c r="I506" s="25"/>
      <c r="T506" s="30"/>
      <c r="U506" s="30"/>
      <c r="V506" s="30"/>
      <c r="W506" s="30"/>
      <c r="X506" s="30"/>
    </row>
    <row r="507">
      <c r="A507" s="30"/>
      <c r="B507" s="30"/>
      <c r="C507" s="30"/>
      <c r="D507" s="30"/>
      <c r="E507" s="30"/>
      <c r="F507" s="30"/>
      <c r="I507" s="25"/>
      <c r="T507" s="30"/>
      <c r="U507" s="30"/>
      <c r="V507" s="30"/>
      <c r="W507" s="30"/>
      <c r="X507" s="30"/>
    </row>
    <row r="508">
      <c r="A508" s="30"/>
      <c r="B508" s="30"/>
      <c r="C508" s="30"/>
      <c r="D508" s="30"/>
      <c r="E508" s="30"/>
      <c r="F508" s="30"/>
      <c r="I508" s="25"/>
      <c r="T508" s="30"/>
      <c r="U508" s="30"/>
      <c r="V508" s="30"/>
      <c r="W508" s="30"/>
      <c r="X508" s="30"/>
    </row>
    <row r="509">
      <c r="A509" s="30"/>
      <c r="B509" s="30"/>
      <c r="C509" s="30"/>
      <c r="D509" s="30"/>
      <c r="E509" s="30"/>
      <c r="F509" s="30"/>
      <c r="I509" s="25"/>
      <c r="T509" s="30"/>
      <c r="U509" s="30"/>
      <c r="V509" s="30"/>
      <c r="W509" s="30"/>
      <c r="X509" s="30"/>
    </row>
    <row r="510">
      <c r="A510" s="30"/>
      <c r="B510" s="30"/>
      <c r="C510" s="30"/>
      <c r="D510" s="30"/>
      <c r="E510" s="30"/>
      <c r="F510" s="30"/>
      <c r="I510" s="25"/>
      <c r="T510" s="30"/>
      <c r="U510" s="30"/>
      <c r="V510" s="30"/>
      <c r="W510" s="30"/>
      <c r="X510" s="30"/>
    </row>
    <row r="511">
      <c r="A511" s="30"/>
      <c r="B511" s="30"/>
      <c r="C511" s="30"/>
      <c r="D511" s="30"/>
      <c r="E511" s="30"/>
      <c r="F511" s="30"/>
      <c r="I511" s="25"/>
      <c r="T511" s="30"/>
      <c r="U511" s="30"/>
      <c r="V511" s="30"/>
      <c r="W511" s="30"/>
      <c r="X511" s="30"/>
    </row>
    <row r="512">
      <c r="A512" s="30"/>
      <c r="B512" s="30"/>
      <c r="C512" s="30"/>
      <c r="D512" s="30"/>
      <c r="E512" s="30"/>
      <c r="F512" s="30"/>
      <c r="I512" s="25"/>
      <c r="T512" s="30"/>
      <c r="U512" s="30"/>
      <c r="V512" s="30"/>
      <c r="W512" s="30"/>
      <c r="X512" s="30"/>
    </row>
    <row r="513">
      <c r="A513" s="30"/>
      <c r="B513" s="30"/>
      <c r="C513" s="30"/>
      <c r="D513" s="30"/>
      <c r="E513" s="30"/>
      <c r="F513" s="30"/>
      <c r="I513" s="25"/>
      <c r="T513" s="30"/>
      <c r="U513" s="30"/>
      <c r="V513" s="30"/>
      <c r="W513" s="30"/>
      <c r="X513" s="30"/>
    </row>
    <row r="514">
      <c r="A514" s="30"/>
      <c r="B514" s="30"/>
      <c r="C514" s="30"/>
      <c r="D514" s="30"/>
      <c r="E514" s="30"/>
      <c r="F514" s="30"/>
      <c r="I514" s="25"/>
      <c r="T514" s="30"/>
      <c r="U514" s="30"/>
      <c r="V514" s="30"/>
      <c r="W514" s="30"/>
      <c r="X514" s="30"/>
    </row>
    <row r="515">
      <c r="A515" s="30"/>
      <c r="B515" s="30"/>
      <c r="C515" s="30"/>
      <c r="D515" s="30"/>
      <c r="E515" s="30"/>
      <c r="F515" s="30"/>
      <c r="I515" s="25"/>
      <c r="T515" s="30"/>
      <c r="U515" s="30"/>
      <c r="V515" s="30"/>
      <c r="W515" s="30"/>
      <c r="X515" s="30"/>
    </row>
    <row r="516">
      <c r="A516" s="30"/>
      <c r="B516" s="30"/>
      <c r="C516" s="30"/>
      <c r="D516" s="30"/>
      <c r="E516" s="30"/>
      <c r="F516" s="30"/>
      <c r="I516" s="25"/>
      <c r="T516" s="30"/>
      <c r="U516" s="30"/>
      <c r="V516" s="30"/>
      <c r="W516" s="30"/>
      <c r="X516" s="30"/>
    </row>
    <row r="517">
      <c r="A517" s="30"/>
      <c r="B517" s="30"/>
      <c r="C517" s="30"/>
      <c r="D517" s="30"/>
      <c r="E517" s="30"/>
      <c r="F517" s="30"/>
      <c r="I517" s="25"/>
      <c r="T517" s="30"/>
      <c r="U517" s="30"/>
      <c r="V517" s="30"/>
      <c r="W517" s="30"/>
      <c r="X517" s="30"/>
    </row>
    <row r="518">
      <c r="A518" s="30"/>
      <c r="B518" s="30"/>
      <c r="C518" s="30"/>
      <c r="D518" s="30"/>
      <c r="E518" s="30"/>
      <c r="F518" s="30"/>
      <c r="I518" s="25"/>
      <c r="T518" s="30"/>
      <c r="U518" s="30"/>
      <c r="V518" s="30"/>
      <c r="W518" s="30"/>
      <c r="X518" s="30"/>
    </row>
    <row r="519">
      <c r="A519" s="30"/>
      <c r="B519" s="30"/>
      <c r="C519" s="30"/>
      <c r="D519" s="30"/>
      <c r="E519" s="30"/>
      <c r="F519" s="30"/>
      <c r="I519" s="25"/>
      <c r="T519" s="30"/>
      <c r="U519" s="30"/>
      <c r="V519" s="30"/>
      <c r="W519" s="30"/>
      <c r="X519" s="30"/>
    </row>
    <row r="520">
      <c r="A520" s="30"/>
      <c r="B520" s="30"/>
      <c r="C520" s="30"/>
      <c r="D520" s="30"/>
      <c r="E520" s="30"/>
      <c r="F520" s="30"/>
      <c r="I520" s="25"/>
      <c r="T520" s="30"/>
      <c r="U520" s="30"/>
      <c r="V520" s="30"/>
      <c r="W520" s="30"/>
      <c r="X520" s="30"/>
    </row>
    <row r="521">
      <c r="A521" s="30"/>
      <c r="B521" s="30"/>
      <c r="C521" s="30"/>
      <c r="D521" s="30"/>
      <c r="E521" s="30"/>
      <c r="F521" s="30"/>
      <c r="I521" s="25"/>
      <c r="T521" s="30"/>
      <c r="U521" s="30"/>
      <c r="V521" s="30"/>
      <c r="W521" s="30"/>
      <c r="X521" s="30"/>
    </row>
    <row r="522">
      <c r="A522" s="30"/>
      <c r="B522" s="30"/>
      <c r="C522" s="30"/>
      <c r="D522" s="30"/>
      <c r="E522" s="30"/>
      <c r="F522" s="30"/>
      <c r="I522" s="25"/>
      <c r="T522" s="30"/>
      <c r="U522" s="30"/>
      <c r="V522" s="30"/>
      <c r="W522" s="30"/>
      <c r="X522" s="30"/>
    </row>
    <row r="523">
      <c r="A523" s="30"/>
      <c r="B523" s="30"/>
      <c r="C523" s="30"/>
      <c r="D523" s="30"/>
      <c r="E523" s="30"/>
      <c r="F523" s="30"/>
      <c r="I523" s="25"/>
      <c r="T523" s="30"/>
      <c r="U523" s="30"/>
      <c r="V523" s="30"/>
      <c r="W523" s="30"/>
      <c r="X523" s="30"/>
    </row>
    <row r="524">
      <c r="A524" s="30"/>
      <c r="B524" s="30"/>
      <c r="C524" s="30"/>
      <c r="D524" s="30"/>
      <c r="E524" s="30"/>
      <c r="F524" s="30"/>
      <c r="I524" s="25"/>
      <c r="T524" s="30"/>
      <c r="U524" s="30"/>
      <c r="V524" s="30"/>
      <c r="W524" s="30"/>
      <c r="X524" s="30"/>
    </row>
    <row r="525">
      <c r="A525" s="30"/>
      <c r="B525" s="30"/>
      <c r="C525" s="30"/>
      <c r="D525" s="30"/>
      <c r="E525" s="30"/>
      <c r="F525" s="30"/>
      <c r="I525" s="25"/>
      <c r="T525" s="30"/>
      <c r="U525" s="30"/>
      <c r="V525" s="30"/>
      <c r="W525" s="30"/>
      <c r="X525" s="30"/>
    </row>
    <row r="526">
      <c r="A526" s="30"/>
      <c r="B526" s="30"/>
      <c r="C526" s="30"/>
      <c r="D526" s="30"/>
      <c r="E526" s="30"/>
      <c r="F526" s="30"/>
      <c r="I526" s="25"/>
      <c r="T526" s="30"/>
      <c r="U526" s="30"/>
      <c r="V526" s="30"/>
      <c r="W526" s="30"/>
      <c r="X526" s="30"/>
    </row>
    <row r="527">
      <c r="A527" s="30"/>
      <c r="B527" s="30"/>
      <c r="C527" s="30"/>
      <c r="D527" s="30"/>
      <c r="E527" s="30"/>
      <c r="F527" s="30"/>
      <c r="I527" s="25"/>
      <c r="T527" s="30"/>
      <c r="U527" s="30"/>
      <c r="V527" s="30"/>
      <c r="W527" s="30"/>
      <c r="X527" s="30"/>
    </row>
    <row r="528">
      <c r="A528" s="30"/>
      <c r="B528" s="30"/>
      <c r="C528" s="30"/>
      <c r="D528" s="30"/>
      <c r="E528" s="30"/>
      <c r="F528" s="30"/>
      <c r="I528" s="25"/>
      <c r="T528" s="30"/>
      <c r="U528" s="30"/>
      <c r="V528" s="30"/>
      <c r="W528" s="30"/>
      <c r="X528" s="30"/>
    </row>
    <row r="529">
      <c r="A529" s="30"/>
      <c r="B529" s="30"/>
      <c r="C529" s="30"/>
      <c r="D529" s="30"/>
      <c r="E529" s="30"/>
      <c r="F529" s="30"/>
      <c r="I529" s="25"/>
      <c r="T529" s="30"/>
      <c r="U529" s="30"/>
      <c r="V529" s="30"/>
      <c r="W529" s="30"/>
      <c r="X529" s="30"/>
    </row>
    <row r="530">
      <c r="A530" s="30"/>
      <c r="B530" s="30"/>
      <c r="C530" s="30"/>
      <c r="D530" s="30"/>
      <c r="E530" s="30"/>
      <c r="F530" s="30"/>
      <c r="I530" s="25"/>
      <c r="T530" s="30"/>
      <c r="U530" s="30"/>
      <c r="V530" s="30"/>
      <c r="W530" s="30"/>
      <c r="X530" s="30"/>
    </row>
    <row r="531">
      <c r="A531" s="30"/>
      <c r="B531" s="30"/>
      <c r="C531" s="30"/>
      <c r="D531" s="30"/>
      <c r="E531" s="30"/>
      <c r="F531" s="30"/>
      <c r="I531" s="25"/>
      <c r="T531" s="30"/>
      <c r="U531" s="30"/>
      <c r="V531" s="30"/>
      <c r="W531" s="30"/>
      <c r="X531" s="30"/>
    </row>
    <row r="532">
      <c r="A532" s="30"/>
      <c r="B532" s="30"/>
      <c r="C532" s="30"/>
      <c r="D532" s="30"/>
      <c r="E532" s="30"/>
      <c r="F532" s="30"/>
      <c r="I532" s="25"/>
      <c r="T532" s="30"/>
      <c r="U532" s="30"/>
      <c r="V532" s="30"/>
      <c r="W532" s="30"/>
      <c r="X532" s="30"/>
    </row>
    <row r="533">
      <c r="A533" s="30"/>
      <c r="B533" s="30"/>
      <c r="C533" s="30"/>
      <c r="D533" s="30"/>
      <c r="E533" s="30"/>
      <c r="F533" s="30"/>
      <c r="I533" s="25"/>
      <c r="T533" s="30"/>
      <c r="U533" s="30"/>
      <c r="V533" s="30"/>
      <c r="W533" s="30"/>
      <c r="X533" s="30"/>
    </row>
    <row r="534">
      <c r="A534" s="30"/>
      <c r="B534" s="30"/>
      <c r="C534" s="30"/>
      <c r="D534" s="30"/>
      <c r="E534" s="30"/>
      <c r="F534" s="30"/>
      <c r="I534" s="25"/>
      <c r="T534" s="30"/>
      <c r="U534" s="30"/>
      <c r="V534" s="30"/>
      <c r="W534" s="30"/>
      <c r="X534" s="30"/>
    </row>
    <row r="535">
      <c r="A535" s="30"/>
      <c r="B535" s="30"/>
      <c r="C535" s="30"/>
      <c r="D535" s="30"/>
      <c r="E535" s="30"/>
      <c r="F535" s="30"/>
      <c r="I535" s="25"/>
      <c r="T535" s="30"/>
      <c r="U535" s="30"/>
      <c r="V535" s="30"/>
      <c r="W535" s="30"/>
      <c r="X535" s="30"/>
    </row>
    <row r="536">
      <c r="A536" s="30"/>
      <c r="B536" s="30"/>
      <c r="C536" s="30"/>
      <c r="D536" s="30"/>
      <c r="E536" s="30"/>
      <c r="F536" s="30"/>
      <c r="I536" s="25"/>
      <c r="T536" s="30"/>
      <c r="U536" s="30"/>
      <c r="V536" s="30"/>
      <c r="W536" s="30"/>
      <c r="X536" s="30"/>
    </row>
    <row r="537">
      <c r="A537" s="30"/>
      <c r="B537" s="30"/>
      <c r="C537" s="30"/>
      <c r="D537" s="30"/>
      <c r="E537" s="30"/>
      <c r="F537" s="30"/>
      <c r="I537" s="25"/>
      <c r="T537" s="30"/>
      <c r="U537" s="30"/>
      <c r="V537" s="30"/>
      <c r="W537" s="30"/>
      <c r="X537" s="30"/>
    </row>
    <row r="538">
      <c r="A538" s="30"/>
      <c r="B538" s="30"/>
      <c r="C538" s="30"/>
      <c r="D538" s="30"/>
      <c r="E538" s="30"/>
      <c r="F538" s="30"/>
      <c r="I538" s="25"/>
      <c r="T538" s="30"/>
      <c r="U538" s="30"/>
      <c r="V538" s="30"/>
      <c r="W538" s="30"/>
      <c r="X538" s="30"/>
    </row>
    <row r="539">
      <c r="A539" s="30"/>
      <c r="B539" s="30"/>
      <c r="C539" s="30"/>
      <c r="D539" s="30"/>
      <c r="E539" s="30"/>
      <c r="F539" s="30"/>
      <c r="I539" s="25"/>
      <c r="T539" s="30"/>
      <c r="U539" s="30"/>
      <c r="V539" s="30"/>
      <c r="W539" s="30"/>
      <c r="X539" s="30"/>
    </row>
    <row r="540">
      <c r="A540" s="30"/>
      <c r="B540" s="30"/>
      <c r="C540" s="30"/>
      <c r="D540" s="30"/>
      <c r="E540" s="30"/>
      <c r="F540" s="30"/>
      <c r="I540" s="25"/>
      <c r="T540" s="30"/>
      <c r="U540" s="30"/>
      <c r="V540" s="30"/>
      <c r="W540" s="30"/>
      <c r="X540" s="30"/>
    </row>
    <row r="541">
      <c r="A541" s="30"/>
      <c r="B541" s="30"/>
      <c r="C541" s="30"/>
      <c r="D541" s="30"/>
      <c r="E541" s="30"/>
      <c r="F541" s="30"/>
      <c r="I541" s="25"/>
      <c r="T541" s="30"/>
      <c r="U541" s="30"/>
      <c r="V541" s="30"/>
      <c r="W541" s="30"/>
      <c r="X541" s="30"/>
    </row>
    <row r="542">
      <c r="A542" s="30"/>
      <c r="B542" s="30"/>
      <c r="C542" s="30"/>
      <c r="D542" s="30"/>
      <c r="E542" s="30"/>
      <c r="F542" s="30"/>
      <c r="I542" s="25"/>
      <c r="T542" s="30"/>
      <c r="U542" s="30"/>
      <c r="V542" s="30"/>
      <c r="W542" s="30"/>
      <c r="X542" s="30"/>
    </row>
    <row r="543">
      <c r="A543" s="30"/>
      <c r="B543" s="30"/>
      <c r="C543" s="30"/>
      <c r="D543" s="30"/>
      <c r="E543" s="30"/>
      <c r="F543" s="30"/>
      <c r="I543" s="25"/>
      <c r="T543" s="30"/>
      <c r="U543" s="30"/>
      <c r="V543" s="30"/>
      <c r="W543" s="30"/>
      <c r="X543" s="30"/>
    </row>
    <row r="544">
      <c r="A544" s="30"/>
      <c r="B544" s="30"/>
      <c r="C544" s="30"/>
      <c r="D544" s="30"/>
      <c r="E544" s="30"/>
      <c r="F544" s="30"/>
      <c r="I544" s="25"/>
      <c r="T544" s="30"/>
      <c r="U544" s="30"/>
      <c r="V544" s="30"/>
      <c r="W544" s="30"/>
      <c r="X544" s="30"/>
    </row>
    <row r="545">
      <c r="A545" s="30"/>
      <c r="B545" s="30"/>
      <c r="C545" s="30"/>
      <c r="D545" s="30"/>
      <c r="E545" s="30"/>
      <c r="F545" s="30"/>
      <c r="I545" s="25"/>
      <c r="T545" s="30"/>
      <c r="U545" s="30"/>
      <c r="V545" s="30"/>
      <c r="W545" s="30"/>
      <c r="X545" s="30"/>
    </row>
    <row r="546">
      <c r="A546" s="30"/>
      <c r="B546" s="30"/>
      <c r="C546" s="30"/>
      <c r="D546" s="30"/>
      <c r="E546" s="30"/>
      <c r="F546" s="30"/>
      <c r="I546" s="25"/>
      <c r="T546" s="30"/>
      <c r="U546" s="30"/>
      <c r="V546" s="30"/>
      <c r="W546" s="30"/>
      <c r="X546" s="30"/>
    </row>
    <row r="547">
      <c r="A547" s="30"/>
      <c r="B547" s="30"/>
      <c r="C547" s="30"/>
      <c r="D547" s="30"/>
      <c r="E547" s="30"/>
      <c r="F547" s="30"/>
      <c r="I547" s="25"/>
      <c r="T547" s="30"/>
      <c r="U547" s="30"/>
      <c r="V547" s="30"/>
      <c r="W547" s="30"/>
      <c r="X547" s="30"/>
    </row>
    <row r="548">
      <c r="A548" s="30"/>
      <c r="B548" s="30"/>
      <c r="C548" s="30"/>
      <c r="D548" s="30"/>
      <c r="E548" s="30"/>
      <c r="F548" s="30"/>
      <c r="I548" s="25"/>
      <c r="T548" s="30"/>
      <c r="U548" s="30"/>
      <c r="V548" s="30"/>
      <c r="W548" s="30"/>
      <c r="X548" s="30"/>
    </row>
    <row r="549">
      <c r="A549" s="30"/>
      <c r="B549" s="30"/>
      <c r="C549" s="30"/>
      <c r="D549" s="30"/>
      <c r="E549" s="30"/>
      <c r="F549" s="30"/>
      <c r="I549" s="25"/>
      <c r="T549" s="30"/>
      <c r="U549" s="30"/>
      <c r="V549" s="30"/>
      <c r="W549" s="30"/>
      <c r="X549" s="30"/>
    </row>
    <row r="550">
      <c r="A550" s="30"/>
      <c r="B550" s="30"/>
      <c r="C550" s="30"/>
      <c r="D550" s="30"/>
      <c r="E550" s="30"/>
      <c r="F550" s="30"/>
      <c r="I550" s="25"/>
      <c r="T550" s="30"/>
      <c r="U550" s="30"/>
      <c r="V550" s="30"/>
      <c r="W550" s="30"/>
      <c r="X550" s="30"/>
    </row>
    <row r="551">
      <c r="A551" s="30"/>
      <c r="B551" s="30"/>
      <c r="C551" s="30"/>
      <c r="D551" s="30"/>
      <c r="E551" s="30"/>
      <c r="F551" s="30"/>
      <c r="I551" s="25"/>
      <c r="T551" s="30"/>
      <c r="U551" s="30"/>
      <c r="V551" s="30"/>
      <c r="W551" s="30"/>
      <c r="X551" s="30"/>
    </row>
    <row r="552">
      <c r="A552" s="30"/>
      <c r="B552" s="30"/>
      <c r="C552" s="30"/>
      <c r="D552" s="30"/>
      <c r="E552" s="30"/>
      <c r="F552" s="30"/>
      <c r="I552" s="25"/>
      <c r="T552" s="30"/>
      <c r="U552" s="30"/>
      <c r="V552" s="30"/>
      <c r="W552" s="30"/>
      <c r="X552" s="30"/>
    </row>
    <row r="553">
      <c r="A553" s="30"/>
      <c r="B553" s="30"/>
      <c r="C553" s="30"/>
      <c r="D553" s="30"/>
      <c r="E553" s="30"/>
      <c r="F553" s="30"/>
      <c r="I553" s="25"/>
      <c r="T553" s="30"/>
      <c r="U553" s="30"/>
      <c r="V553" s="30"/>
      <c r="W553" s="30"/>
      <c r="X553" s="30"/>
    </row>
    <row r="554">
      <c r="A554" s="30"/>
      <c r="B554" s="30"/>
      <c r="C554" s="30"/>
      <c r="D554" s="30"/>
      <c r="E554" s="30"/>
      <c r="F554" s="30"/>
      <c r="I554" s="25"/>
      <c r="T554" s="30"/>
      <c r="U554" s="30"/>
      <c r="V554" s="30"/>
      <c r="W554" s="30"/>
      <c r="X554" s="30"/>
    </row>
    <row r="555">
      <c r="A555" s="30"/>
      <c r="B555" s="30"/>
      <c r="C555" s="30"/>
      <c r="D555" s="30"/>
      <c r="E555" s="30"/>
      <c r="F555" s="30"/>
      <c r="I555" s="25"/>
      <c r="T555" s="30"/>
      <c r="U555" s="30"/>
      <c r="V555" s="30"/>
      <c r="W555" s="30"/>
      <c r="X555" s="30"/>
    </row>
    <row r="556">
      <c r="A556" s="30"/>
      <c r="B556" s="30"/>
      <c r="C556" s="30"/>
      <c r="D556" s="30"/>
      <c r="E556" s="30"/>
      <c r="F556" s="30"/>
      <c r="I556" s="25"/>
      <c r="T556" s="30"/>
      <c r="U556" s="30"/>
      <c r="V556" s="30"/>
      <c r="W556" s="30"/>
      <c r="X556" s="30"/>
    </row>
    <row r="557">
      <c r="A557" s="30"/>
      <c r="B557" s="30"/>
      <c r="C557" s="30"/>
      <c r="D557" s="30"/>
      <c r="E557" s="30"/>
      <c r="F557" s="30"/>
      <c r="I557" s="25"/>
      <c r="T557" s="30"/>
      <c r="U557" s="30"/>
      <c r="V557" s="30"/>
      <c r="W557" s="30"/>
      <c r="X557" s="30"/>
    </row>
    <row r="558">
      <c r="A558" s="30"/>
      <c r="B558" s="30"/>
      <c r="C558" s="30"/>
      <c r="D558" s="30"/>
      <c r="E558" s="30"/>
      <c r="F558" s="30"/>
      <c r="I558" s="25"/>
      <c r="T558" s="30"/>
      <c r="U558" s="30"/>
      <c r="V558" s="30"/>
      <c r="W558" s="30"/>
      <c r="X558" s="30"/>
    </row>
    <row r="559">
      <c r="A559" s="30"/>
      <c r="B559" s="30"/>
      <c r="C559" s="30"/>
      <c r="D559" s="30"/>
      <c r="E559" s="30"/>
      <c r="F559" s="30"/>
      <c r="I559" s="25"/>
      <c r="T559" s="30"/>
      <c r="U559" s="30"/>
      <c r="V559" s="30"/>
      <c r="W559" s="30"/>
      <c r="X559" s="30"/>
    </row>
    <row r="560">
      <c r="A560" s="30"/>
      <c r="B560" s="30"/>
      <c r="C560" s="30"/>
      <c r="D560" s="30"/>
      <c r="E560" s="30"/>
      <c r="F560" s="30"/>
      <c r="I560" s="25"/>
      <c r="T560" s="30"/>
      <c r="U560" s="30"/>
      <c r="V560" s="30"/>
      <c r="W560" s="30"/>
      <c r="X560" s="30"/>
    </row>
    <row r="561">
      <c r="A561" s="30"/>
      <c r="B561" s="30"/>
      <c r="C561" s="30"/>
      <c r="D561" s="30"/>
      <c r="E561" s="30"/>
      <c r="F561" s="30"/>
      <c r="I561" s="25"/>
      <c r="T561" s="30"/>
      <c r="U561" s="30"/>
      <c r="V561" s="30"/>
      <c r="W561" s="30"/>
      <c r="X561" s="30"/>
    </row>
    <row r="562">
      <c r="A562" s="30"/>
      <c r="B562" s="30"/>
      <c r="C562" s="30"/>
      <c r="D562" s="30"/>
      <c r="E562" s="30"/>
      <c r="F562" s="30"/>
      <c r="I562" s="25"/>
      <c r="T562" s="30"/>
      <c r="U562" s="30"/>
      <c r="V562" s="30"/>
      <c r="W562" s="30"/>
      <c r="X562" s="30"/>
    </row>
    <row r="563">
      <c r="A563" s="30"/>
      <c r="B563" s="30"/>
      <c r="C563" s="30"/>
      <c r="D563" s="30"/>
      <c r="E563" s="30"/>
      <c r="F563" s="30"/>
      <c r="I563" s="25"/>
      <c r="T563" s="30"/>
      <c r="U563" s="30"/>
      <c r="V563" s="30"/>
      <c r="W563" s="30"/>
      <c r="X563" s="30"/>
    </row>
    <row r="564">
      <c r="A564" s="30"/>
      <c r="B564" s="30"/>
      <c r="C564" s="30"/>
      <c r="D564" s="30"/>
      <c r="E564" s="30"/>
      <c r="F564" s="30"/>
      <c r="I564" s="25"/>
      <c r="T564" s="30"/>
      <c r="U564" s="30"/>
      <c r="V564" s="30"/>
      <c r="W564" s="30"/>
      <c r="X564" s="30"/>
    </row>
    <row r="565">
      <c r="A565" s="30"/>
      <c r="B565" s="30"/>
      <c r="C565" s="30"/>
      <c r="D565" s="30"/>
      <c r="E565" s="30"/>
      <c r="F565" s="30"/>
      <c r="I565" s="25"/>
      <c r="T565" s="30"/>
      <c r="U565" s="30"/>
      <c r="V565" s="30"/>
      <c r="W565" s="30"/>
      <c r="X565" s="30"/>
    </row>
    <row r="566">
      <c r="A566" s="30"/>
      <c r="B566" s="30"/>
      <c r="C566" s="30"/>
      <c r="D566" s="30"/>
      <c r="E566" s="30"/>
      <c r="F566" s="30"/>
      <c r="I566" s="25"/>
      <c r="T566" s="30"/>
      <c r="U566" s="30"/>
      <c r="V566" s="30"/>
      <c r="W566" s="30"/>
      <c r="X566" s="30"/>
    </row>
    <row r="567">
      <c r="A567" s="30"/>
      <c r="B567" s="30"/>
      <c r="C567" s="30"/>
      <c r="D567" s="30"/>
      <c r="E567" s="30"/>
      <c r="F567" s="30"/>
      <c r="I567" s="25"/>
      <c r="T567" s="30"/>
      <c r="U567" s="30"/>
      <c r="V567" s="30"/>
      <c r="W567" s="30"/>
      <c r="X567" s="30"/>
    </row>
    <row r="568">
      <c r="A568" s="30"/>
      <c r="B568" s="30"/>
      <c r="C568" s="30"/>
      <c r="D568" s="30"/>
      <c r="E568" s="30"/>
      <c r="F568" s="30"/>
      <c r="I568" s="25"/>
      <c r="T568" s="30"/>
      <c r="U568" s="30"/>
      <c r="V568" s="30"/>
      <c r="W568" s="30"/>
      <c r="X568" s="30"/>
    </row>
    <row r="569">
      <c r="A569" s="30"/>
      <c r="B569" s="30"/>
      <c r="C569" s="30"/>
      <c r="D569" s="30"/>
      <c r="E569" s="30"/>
      <c r="F569" s="30"/>
      <c r="I569" s="25"/>
      <c r="T569" s="30"/>
      <c r="U569" s="30"/>
      <c r="V569" s="30"/>
      <c r="W569" s="30"/>
      <c r="X569" s="30"/>
    </row>
    <row r="570">
      <c r="A570" s="30"/>
      <c r="B570" s="30"/>
      <c r="C570" s="30"/>
      <c r="D570" s="30"/>
      <c r="E570" s="30"/>
      <c r="F570" s="30"/>
      <c r="I570" s="25"/>
      <c r="T570" s="30"/>
      <c r="U570" s="30"/>
      <c r="V570" s="30"/>
      <c r="W570" s="30"/>
      <c r="X570" s="30"/>
    </row>
    <row r="571">
      <c r="A571" s="30"/>
      <c r="B571" s="30"/>
      <c r="C571" s="30"/>
      <c r="D571" s="30"/>
      <c r="E571" s="30"/>
      <c r="F571" s="30"/>
      <c r="I571" s="25"/>
      <c r="T571" s="30"/>
      <c r="U571" s="30"/>
      <c r="V571" s="30"/>
      <c r="W571" s="30"/>
      <c r="X571" s="30"/>
    </row>
    <row r="572">
      <c r="A572" s="30"/>
      <c r="B572" s="30"/>
      <c r="C572" s="30"/>
      <c r="D572" s="30"/>
      <c r="E572" s="30"/>
      <c r="F572" s="30"/>
      <c r="I572" s="25"/>
      <c r="T572" s="30"/>
      <c r="U572" s="30"/>
      <c r="V572" s="30"/>
      <c r="W572" s="30"/>
      <c r="X572" s="30"/>
    </row>
    <row r="573">
      <c r="A573" s="30"/>
      <c r="B573" s="30"/>
      <c r="C573" s="30"/>
      <c r="D573" s="30"/>
      <c r="E573" s="30"/>
      <c r="F573" s="30"/>
      <c r="I573" s="25"/>
      <c r="T573" s="30"/>
      <c r="U573" s="30"/>
      <c r="V573" s="30"/>
      <c r="W573" s="30"/>
      <c r="X573" s="30"/>
    </row>
    <row r="574">
      <c r="A574" s="30"/>
      <c r="B574" s="30"/>
      <c r="C574" s="30"/>
      <c r="D574" s="30"/>
      <c r="E574" s="30"/>
      <c r="F574" s="30"/>
      <c r="I574" s="25"/>
      <c r="T574" s="30"/>
      <c r="U574" s="30"/>
      <c r="V574" s="30"/>
      <c r="W574" s="30"/>
      <c r="X574" s="30"/>
    </row>
    <row r="575">
      <c r="A575" s="30"/>
      <c r="B575" s="30"/>
      <c r="C575" s="30"/>
      <c r="D575" s="30"/>
      <c r="E575" s="30"/>
      <c r="F575" s="30"/>
      <c r="I575" s="25"/>
      <c r="T575" s="30"/>
      <c r="U575" s="30"/>
      <c r="V575" s="30"/>
      <c r="W575" s="30"/>
      <c r="X575" s="30"/>
    </row>
    <row r="576">
      <c r="A576" s="30"/>
      <c r="B576" s="30"/>
      <c r="C576" s="30"/>
      <c r="D576" s="30"/>
      <c r="E576" s="30"/>
      <c r="F576" s="30"/>
      <c r="I576" s="25"/>
      <c r="T576" s="30"/>
      <c r="U576" s="30"/>
      <c r="V576" s="30"/>
      <c r="W576" s="30"/>
      <c r="X576" s="30"/>
    </row>
    <row r="577">
      <c r="A577" s="30"/>
      <c r="B577" s="30"/>
      <c r="C577" s="30"/>
      <c r="D577" s="30"/>
      <c r="E577" s="30"/>
      <c r="F577" s="30"/>
      <c r="I577" s="25"/>
      <c r="T577" s="30"/>
      <c r="U577" s="30"/>
      <c r="V577" s="30"/>
      <c r="W577" s="30"/>
      <c r="X577" s="30"/>
    </row>
    <row r="578">
      <c r="A578" s="30"/>
      <c r="B578" s="30"/>
      <c r="C578" s="30"/>
      <c r="D578" s="30"/>
      <c r="E578" s="30"/>
      <c r="F578" s="30"/>
      <c r="I578" s="25"/>
      <c r="T578" s="30"/>
      <c r="U578" s="30"/>
      <c r="V578" s="30"/>
      <c r="W578" s="30"/>
      <c r="X578" s="30"/>
    </row>
    <row r="579">
      <c r="A579" s="30"/>
      <c r="B579" s="30"/>
      <c r="C579" s="30"/>
      <c r="D579" s="30"/>
      <c r="E579" s="30"/>
      <c r="F579" s="30"/>
      <c r="I579" s="25"/>
      <c r="T579" s="30"/>
      <c r="U579" s="30"/>
      <c r="V579" s="30"/>
      <c r="W579" s="30"/>
      <c r="X579" s="30"/>
    </row>
    <row r="580">
      <c r="A580" s="30"/>
      <c r="B580" s="30"/>
      <c r="C580" s="30"/>
      <c r="D580" s="30"/>
      <c r="E580" s="30"/>
      <c r="F580" s="30"/>
      <c r="I580" s="25"/>
      <c r="T580" s="30"/>
      <c r="U580" s="30"/>
      <c r="V580" s="30"/>
      <c r="W580" s="30"/>
      <c r="X580" s="30"/>
    </row>
    <row r="581">
      <c r="A581" s="30"/>
      <c r="B581" s="30"/>
      <c r="C581" s="30"/>
      <c r="D581" s="30"/>
      <c r="E581" s="30"/>
      <c r="F581" s="30"/>
      <c r="I581" s="25"/>
      <c r="T581" s="30"/>
      <c r="U581" s="30"/>
      <c r="V581" s="30"/>
      <c r="W581" s="30"/>
      <c r="X581" s="30"/>
    </row>
    <row r="582">
      <c r="A582" s="30"/>
      <c r="B582" s="30"/>
      <c r="C582" s="30"/>
      <c r="D582" s="30"/>
      <c r="E582" s="30"/>
      <c r="F582" s="30"/>
      <c r="I582" s="25"/>
      <c r="T582" s="30"/>
      <c r="U582" s="30"/>
      <c r="V582" s="30"/>
      <c r="W582" s="30"/>
      <c r="X582" s="30"/>
    </row>
    <row r="583">
      <c r="A583" s="30"/>
      <c r="B583" s="30"/>
      <c r="C583" s="30"/>
      <c r="D583" s="30"/>
      <c r="E583" s="30"/>
      <c r="F583" s="30"/>
      <c r="I583" s="25"/>
      <c r="T583" s="30"/>
      <c r="U583" s="30"/>
      <c r="V583" s="30"/>
      <c r="W583" s="30"/>
      <c r="X583" s="30"/>
    </row>
    <row r="584">
      <c r="A584" s="30"/>
      <c r="B584" s="30"/>
      <c r="C584" s="30"/>
      <c r="D584" s="30"/>
      <c r="E584" s="30"/>
      <c r="F584" s="30"/>
      <c r="I584" s="25"/>
      <c r="T584" s="30"/>
      <c r="U584" s="30"/>
      <c r="V584" s="30"/>
      <c r="W584" s="30"/>
      <c r="X584" s="30"/>
    </row>
    <row r="585">
      <c r="A585" s="30"/>
      <c r="B585" s="30"/>
      <c r="C585" s="30"/>
      <c r="D585" s="30"/>
      <c r="E585" s="30"/>
      <c r="F585" s="30"/>
      <c r="I585" s="25"/>
      <c r="T585" s="30"/>
      <c r="U585" s="30"/>
      <c r="V585" s="30"/>
      <c r="W585" s="30"/>
      <c r="X585" s="30"/>
    </row>
    <row r="586">
      <c r="A586" s="30"/>
      <c r="B586" s="30"/>
      <c r="C586" s="30"/>
      <c r="D586" s="30"/>
      <c r="E586" s="30"/>
      <c r="F586" s="30"/>
      <c r="I586" s="25"/>
      <c r="T586" s="30"/>
      <c r="U586" s="30"/>
      <c r="V586" s="30"/>
      <c r="W586" s="30"/>
      <c r="X586" s="30"/>
    </row>
    <row r="587">
      <c r="A587" s="30"/>
      <c r="B587" s="30"/>
      <c r="C587" s="30"/>
      <c r="D587" s="30"/>
      <c r="E587" s="30"/>
      <c r="F587" s="30"/>
      <c r="I587" s="25"/>
      <c r="T587" s="30"/>
      <c r="U587" s="30"/>
      <c r="V587" s="30"/>
      <c r="W587" s="30"/>
      <c r="X587" s="30"/>
    </row>
    <row r="588">
      <c r="A588" s="30"/>
      <c r="B588" s="30"/>
      <c r="C588" s="30"/>
      <c r="D588" s="30"/>
      <c r="E588" s="30"/>
      <c r="F588" s="30"/>
      <c r="I588" s="25"/>
      <c r="T588" s="30"/>
      <c r="U588" s="30"/>
      <c r="V588" s="30"/>
      <c r="W588" s="30"/>
      <c r="X588" s="30"/>
    </row>
    <row r="589">
      <c r="A589" s="30"/>
      <c r="B589" s="30"/>
      <c r="C589" s="30"/>
      <c r="D589" s="30"/>
      <c r="E589" s="30"/>
      <c r="F589" s="30"/>
      <c r="I589" s="25"/>
      <c r="T589" s="30"/>
      <c r="U589" s="30"/>
      <c r="V589" s="30"/>
      <c r="W589" s="30"/>
      <c r="X589" s="30"/>
    </row>
    <row r="590">
      <c r="A590" s="30"/>
      <c r="B590" s="30"/>
      <c r="C590" s="30"/>
      <c r="D590" s="30"/>
      <c r="E590" s="30"/>
      <c r="F590" s="30"/>
      <c r="I590" s="25"/>
      <c r="T590" s="30"/>
      <c r="U590" s="30"/>
      <c r="V590" s="30"/>
      <c r="W590" s="30"/>
      <c r="X590" s="30"/>
    </row>
    <row r="591">
      <c r="A591" s="30"/>
      <c r="B591" s="30"/>
      <c r="C591" s="30"/>
      <c r="D591" s="30"/>
      <c r="E591" s="30"/>
      <c r="F591" s="30"/>
      <c r="I591" s="25"/>
      <c r="T591" s="30"/>
      <c r="U591" s="30"/>
      <c r="V591" s="30"/>
      <c r="W591" s="30"/>
      <c r="X591" s="30"/>
    </row>
    <row r="592">
      <c r="A592" s="30"/>
      <c r="B592" s="30"/>
      <c r="C592" s="30"/>
      <c r="D592" s="30"/>
      <c r="E592" s="30"/>
      <c r="F592" s="30"/>
      <c r="I592" s="25"/>
      <c r="T592" s="30"/>
      <c r="U592" s="30"/>
      <c r="V592" s="30"/>
      <c r="W592" s="30"/>
      <c r="X592" s="30"/>
    </row>
    <row r="593">
      <c r="A593" s="30"/>
      <c r="B593" s="30"/>
      <c r="C593" s="30"/>
      <c r="D593" s="30"/>
      <c r="E593" s="30"/>
      <c r="F593" s="30"/>
      <c r="I593" s="25"/>
      <c r="T593" s="30"/>
      <c r="U593" s="30"/>
      <c r="V593" s="30"/>
      <c r="W593" s="30"/>
      <c r="X593" s="30"/>
    </row>
    <row r="594">
      <c r="A594" s="30"/>
      <c r="B594" s="30"/>
      <c r="C594" s="30"/>
      <c r="D594" s="30"/>
      <c r="E594" s="30"/>
      <c r="F594" s="30"/>
      <c r="I594" s="25"/>
      <c r="T594" s="30"/>
      <c r="U594" s="30"/>
      <c r="V594" s="30"/>
      <c r="W594" s="30"/>
      <c r="X594" s="30"/>
    </row>
    <row r="595">
      <c r="A595" s="30"/>
      <c r="B595" s="30"/>
      <c r="C595" s="30"/>
      <c r="D595" s="30"/>
      <c r="E595" s="30"/>
      <c r="F595" s="30"/>
      <c r="I595" s="25"/>
      <c r="T595" s="30"/>
      <c r="U595" s="30"/>
      <c r="V595" s="30"/>
      <c r="W595" s="30"/>
      <c r="X595" s="30"/>
    </row>
    <row r="596">
      <c r="A596" s="30"/>
      <c r="B596" s="30"/>
      <c r="C596" s="30"/>
      <c r="D596" s="30"/>
      <c r="E596" s="30"/>
      <c r="F596" s="30"/>
      <c r="I596" s="25"/>
      <c r="T596" s="30"/>
      <c r="U596" s="30"/>
      <c r="V596" s="30"/>
      <c r="W596" s="30"/>
      <c r="X596" s="30"/>
    </row>
    <row r="597">
      <c r="A597" s="30"/>
      <c r="B597" s="30"/>
      <c r="C597" s="30"/>
      <c r="D597" s="30"/>
      <c r="E597" s="30"/>
      <c r="F597" s="30"/>
      <c r="I597" s="25"/>
      <c r="T597" s="30"/>
      <c r="U597" s="30"/>
      <c r="V597" s="30"/>
      <c r="W597" s="30"/>
      <c r="X597" s="30"/>
    </row>
    <row r="598">
      <c r="A598" s="30"/>
      <c r="B598" s="30"/>
      <c r="C598" s="30"/>
      <c r="D598" s="30"/>
      <c r="E598" s="30"/>
      <c r="F598" s="30"/>
      <c r="I598" s="25"/>
      <c r="T598" s="30"/>
      <c r="U598" s="30"/>
      <c r="V598" s="30"/>
      <c r="W598" s="30"/>
      <c r="X598" s="30"/>
    </row>
    <row r="599">
      <c r="A599" s="30"/>
      <c r="B599" s="30"/>
      <c r="C599" s="30"/>
      <c r="D599" s="30"/>
      <c r="E599" s="30"/>
      <c r="F599" s="30"/>
      <c r="I599" s="25"/>
      <c r="T599" s="30"/>
      <c r="U599" s="30"/>
      <c r="V599" s="30"/>
      <c r="W599" s="30"/>
      <c r="X599" s="30"/>
    </row>
    <row r="600">
      <c r="A600" s="30"/>
      <c r="B600" s="30"/>
      <c r="C600" s="30"/>
      <c r="D600" s="30"/>
      <c r="E600" s="30"/>
      <c r="F600" s="30"/>
      <c r="I600" s="25"/>
      <c r="T600" s="30"/>
      <c r="U600" s="30"/>
      <c r="V600" s="30"/>
      <c r="W600" s="30"/>
      <c r="X600" s="30"/>
    </row>
    <row r="601">
      <c r="A601" s="30"/>
      <c r="B601" s="30"/>
      <c r="C601" s="30"/>
      <c r="D601" s="30"/>
      <c r="E601" s="30"/>
      <c r="F601" s="30"/>
      <c r="I601" s="25"/>
      <c r="T601" s="30"/>
      <c r="U601" s="30"/>
      <c r="V601" s="30"/>
      <c r="W601" s="30"/>
      <c r="X601" s="30"/>
    </row>
    <row r="602">
      <c r="A602" s="30"/>
      <c r="B602" s="30"/>
      <c r="C602" s="30"/>
      <c r="D602" s="30"/>
      <c r="E602" s="30"/>
      <c r="F602" s="30"/>
      <c r="I602" s="25"/>
      <c r="T602" s="30"/>
      <c r="U602" s="30"/>
      <c r="V602" s="30"/>
      <c r="W602" s="30"/>
      <c r="X602" s="30"/>
    </row>
    <row r="603">
      <c r="A603" s="30"/>
      <c r="B603" s="30"/>
      <c r="C603" s="30"/>
      <c r="D603" s="30"/>
      <c r="E603" s="30"/>
      <c r="F603" s="30"/>
      <c r="I603" s="25"/>
      <c r="T603" s="30"/>
      <c r="U603" s="30"/>
      <c r="V603" s="30"/>
      <c r="W603" s="30"/>
      <c r="X603" s="30"/>
    </row>
    <row r="604">
      <c r="A604" s="30"/>
      <c r="B604" s="30"/>
      <c r="C604" s="30"/>
      <c r="D604" s="30"/>
      <c r="E604" s="30"/>
      <c r="F604" s="30"/>
      <c r="I604" s="25"/>
      <c r="T604" s="30"/>
      <c r="U604" s="30"/>
      <c r="V604" s="30"/>
      <c r="W604" s="30"/>
      <c r="X604" s="30"/>
    </row>
    <row r="605">
      <c r="A605" s="30"/>
      <c r="B605" s="30"/>
      <c r="C605" s="30"/>
      <c r="D605" s="30"/>
      <c r="E605" s="30"/>
      <c r="F605" s="30"/>
      <c r="I605" s="25"/>
      <c r="T605" s="30"/>
      <c r="U605" s="30"/>
      <c r="V605" s="30"/>
      <c r="W605" s="30"/>
      <c r="X605" s="30"/>
    </row>
    <row r="606">
      <c r="A606" s="30"/>
      <c r="B606" s="30"/>
      <c r="C606" s="30"/>
      <c r="D606" s="30"/>
      <c r="E606" s="30"/>
      <c r="F606" s="30"/>
      <c r="I606" s="25"/>
      <c r="T606" s="30"/>
      <c r="U606" s="30"/>
      <c r="V606" s="30"/>
      <c r="W606" s="30"/>
      <c r="X606" s="30"/>
    </row>
    <row r="607">
      <c r="A607" s="30"/>
      <c r="B607" s="30"/>
      <c r="C607" s="30"/>
      <c r="D607" s="30"/>
      <c r="E607" s="30"/>
      <c r="F607" s="30"/>
      <c r="I607" s="25"/>
      <c r="T607" s="30"/>
      <c r="U607" s="30"/>
      <c r="V607" s="30"/>
      <c r="W607" s="30"/>
      <c r="X607" s="30"/>
    </row>
    <row r="608">
      <c r="A608" s="30"/>
      <c r="B608" s="30"/>
      <c r="C608" s="30"/>
      <c r="D608" s="30"/>
      <c r="E608" s="30"/>
      <c r="F608" s="30"/>
      <c r="I608" s="25"/>
      <c r="T608" s="30"/>
      <c r="U608" s="30"/>
      <c r="V608" s="30"/>
      <c r="W608" s="30"/>
      <c r="X608" s="30"/>
    </row>
    <row r="609">
      <c r="A609" s="30"/>
      <c r="B609" s="30"/>
      <c r="C609" s="30"/>
      <c r="D609" s="30"/>
      <c r="E609" s="30"/>
      <c r="F609" s="30"/>
      <c r="I609" s="25"/>
      <c r="T609" s="30"/>
      <c r="U609" s="30"/>
      <c r="V609" s="30"/>
      <c r="W609" s="30"/>
      <c r="X609" s="30"/>
    </row>
    <row r="610">
      <c r="A610" s="30"/>
      <c r="B610" s="30"/>
      <c r="C610" s="30"/>
      <c r="D610" s="30"/>
      <c r="E610" s="30"/>
      <c r="F610" s="30"/>
      <c r="I610" s="25"/>
      <c r="T610" s="30"/>
      <c r="U610" s="30"/>
      <c r="V610" s="30"/>
      <c r="W610" s="30"/>
      <c r="X610" s="30"/>
    </row>
    <row r="611">
      <c r="A611" s="30"/>
      <c r="B611" s="30"/>
      <c r="C611" s="30"/>
      <c r="D611" s="30"/>
      <c r="E611" s="30"/>
      <c r="F611" s="30"/>
      <c r="I611" s="25"/>
      <c r="T611" s="30"/>
      <c r="U611" s="30"/>
      <c r="V611" s="30"/>
      <c r="W611" s="30"/>
      <c r="X611" s="30"/>
    </row>
    <row r="612">
      <c r="A612" s="30"/>
      <c r="B612" s="30"/>
      <c r="C612" s="30"/>
      <c r="D612" s="30"/>
      <c r="E612" s="30"/>
      <c r="F612" s="30"/>
      <c r="I612" s="25"/>
      <c r="T612" s="30"/>
      <c r="U612" s="30"/>
      <c r="V612" s="30"/>
      <c r="W612" s="30"/>
      <c r="X612" s="30"/>
    </row>
    <row r="613">
      <c r="A613" s="30"/>
      <c r="B613" s="30"/>
      <c r="C613" s="30"/>
      <c r="D613" s="30"/>
      <c r="E613" s="30"/>
      <c r="F613" s="30"/>
      <c r="I613" s="25"/>
      <c r="T613" s="30"/>
      <c r="U613" s="30"/>
      <c r="V613" s="30"/>
      <c r="W613" s="30"/>
      <c r="X613" s="30"/>
    </row>
    <row r="614">
      <c r="A614" s="30"/>
      <c r="B614" s="30"/>
      <c r="C614" s="30"/>
      <c r="D614" s="30"/>
      <c r="E614" s="30"/>
      <c r="F614" s="30"/>
      <c r="I614" s="25"/>
      <c r="T614" s="30"/>
      <c r="U614" s="30"/>
      <c r="V614" s="30"/>
      <c r="W614" s="30"/>
      <c r="X614" s="30"/>
    </row>
    <row r="615">
      <c r="A615" s="30"/>
      <c r="B615" s="30"/>
      <c r="C615" s="30"/>
      <c r="D615" s="30"/>
      <c r="E615" s="30"/>
      <c r="F615" s="30"/>
      <c r="I615" s="25"/>
      <c r="T615" s="30"/>
      <c r="U615" s="30"/>
      <c r="V615" s="30"/>
      <c r="W615" s="30"/>
      <c r="X615" s="30"/>
    </row>
    <row r="616">
      <c r="A616" s="30"/>
      <c r="B616" s="30"/>
      <c r="C616" s="30"/>
      <c r="D616" s="30"/>
      <c r="E616" s="30"/>
      <c r="F616" s="30"/>
      <c r="I616" s="25"/>
      <c r="T616" s="30"/>
      <c r="U616" s="30"/>
      <c r="V616" s="30"/>
      <c r="W616" s="30"/>
      <c r="X616" s="30"/>
    </row>
    <row r="617">
      <c r="A617" s="30"/>
      <c r="B617" s="30"/>
      <c r="C617" s="30"/>
      <c r="D617" s="30"/>
      <c r="E617" s="30"/>
      <c r="F617" s="30"/>
      <c r="I617" s="25"/>
      <c r="T617" s="30"/>
      <c r="U617" s="30"/>
      <c r="V617" s="30"/>
      <c r="W617" s="30"/>
      <c r="X617" s="30"/>
    </row>
    <row r="618">
      <c r="A618" s="30"/>
      <c r="B618" s="30"/>
      <c r="C618" s="30"/>
      <c r="D618" s="30"/>
      <c r="E618" s="30"/>
      <c r="F618" s="30"/>
      <c r="I618" s="25"/>
      <c r="T618" s="30"/>
      <c r="U618" s="30"/>
      <c r="V618" s="30"/>
      <c r="W618" s="30"/>
      <c r="X618" s="30"/>
    </row>
    <row r="619">
      <c r="A619" s="30"/>
      <c r="B619" s="30"/>
      <c r="C619" s="30"/>
      <c r="D619" s="30"/>
      <c r="E619" s="30"/>
      <c r="F619" s="30"/>
      <c r="I619" s="25"/>
      <c r="T619" s="30"/>
      <c r="U619" s="30"/>
      <c r="V619" s="30"/>
      <c r="W619" s="30"/>
      <c r="X619" s="30"/>
    </row>
    <row r="620">
      <c r="A620" s="30"/>
      <c r="B620" s="30"/>
      <c r="C620" s="30"/>
      <c r="D620" s="30"/>
      <c r="E620" s="30"/>
      <c r="F620" s="30"/>
      <c r="I620" s="25"/>
      <c r="T620" s="30"/>
      <c r="U620" s="30"/>
      <c r="V620" s="30"/>
      <c r="W620" s="30"/>
      <c r="X620" s="30"/>
    </row>
    <row r="621">
      <c r="A621" s="30"/>
      <c r="B621" s="30"/>
      <c r="C621" s="30"/>
      <c r="D621" s="30"/>
      <c r="E621" s="30"/>
      <c r="F621" s="30"/>
      <c r="I621" s="25"/>
      <c r="T621" s="30"/>
      <c r="U621" s="30"/>
      <c r="V621" s="30"/>
      <c r="W621" s="30"/>
      <c r="X621" s="30"/>
    </row>
    <row r="622">
      <c r="A622" s="30"/>
      <c r="B622" s="30"/>
      <c r="C622" s="30"/>
      <c r="D622" s="30"/>
      <c r="E622" s="30"/>
      <c r="F622" s="30"/>
      <c r="I622" s="25"/>
      <c r="T622" s="30"/>
      <c r="U622" s="30"/>
      <c r="V622" s="30"/>
      <c r="W622" s="30"/>
      <c r="X622" s="30"/>
    </row>
    <row r="623">
      <c r="A623" s="30"/>
      <c r="B623" s="30"/>
      <c r="C623" s="30"/>
      <c r="D623" s="30"/>
      <c r="E623" s="30"/>
      <c r="F623" s="30"/>
      <c r="I623" s="25"/>
      <c r="T623" s="30"/>
      <c r="U623" s="30"/>
      <c r="V623" s="30"/>
      <c r="W623" s="30"/>
      <c r="X623" s="30"/>
    </row>
    <row r="624">
      <c r="A624" s="30"/>
      <c r="B624" s="30"/>
      <c r="C624" s="30"/>
      <c r="D624" s="30"/>
      <c r="E624" s="30"/>
      <c r="F624" s="30"/>
      <c r="I624" s="25"/>
      <c r="T624" s="30"/>
      <c r="U624" s="30"/>
      <c r="V624" s="30"/>
      <c r="W624" s="30"/>
      <c r="X624" s="30"/>
    </row>
    <row r="625">
      <c r="A625" s="30"/>
      <c r="B625" s="30"/>
      <c r="C625" s="30"/>
      <c r="D625" s="30"/>
      <c r="E625" s="30"/>
      <c r="F625" s="30"/>
      <c r="I625" s="25"/>
      <c r="T625" s="30"/>
      <c r="U625" s="30"/>
      <c r="V625" s="30"/>
      <c r="W625" s="30"/>
      <c r="X625" s="30"/>
    </row>
    <row r="626">
      <c r="A626" s="30"/>
      <c r="B626" s="30"/>
      <c r="C626" s="30"/>
      <c r="D626" s="30"/>
      <c r="E626" s="30"/>
      <c r="F626" s="30"/>
      <c r="I626" s="25"/>
      <c r="T626" s="30"/>
      <c r="U626" s="30"/>
      <c r="V626" s="30"/>
      <c r="W626" s="30"/>
      <c r="X626" s="30"/>
    </row>
    <row r="627">
      <c r="A627" s="30"/>
      <c r="B627" s="30"/>
      <c r="C627" s="30"/>
      <c r="D627" s="30"/>
      <c r="E627" s="30"/>
      <c r="F627" s="30"/>
      <c r="I627" s="25"/>
      <c r="T627" s="30"/>
      <c r="U627" s="30"/>
      <c r="V627" s="30"/>
      <c r="W627" s="30"/>
      <c r="X627" s="30"/>
    </row>
    <row r="628">
      <c r="A628" s="30"/>
      <c r="B628" s="30"/>
      <c r="C628" s="30"/>
      <c r="D628" s="30"/>
      <c r="E628" s="30"/>
      <c r="F628" s="30"/>
      <c r="I628" s="25"/>
      <c r="T628" s="30"/>
      <c r="U628" s="30"/>
      <c r="V628" s="30"/>
      <c r="W628" s="30"/>
      <c r="X628" s="30"/>
    </row>
    <row r="629">
      <c r="A629" s="30"/>
      <c r="B629" s="30"/>
      <c r="C629" s="30"/>
      <c r="D629" s="30"/>
      <c r="E629" s="30"/>
      <c r="F629" s="30"/>
      <c r="I629" s="25"/>
      <c r="T629" s="30"/>
      <c r="U629" s="30"/>
      <c r="V629" s="30"/>
      <c r="W629" s="30"/>
      <c r="X629" s="30"/>
    </row>
    <row r="630">
      <c r="A630" s="30"/>
      <c r="B630" s="30"/>
      <c r="C630" s="30"/>
      <c r="D630" s="30"/>
      <c r="E630" s="30"/>
      <c r="F630" s="30"/>
      <c r="I630" s="25"/>
      <c r="T630" s="30"/>
      <c r="U630" s="30"/>
      <c r="V630" s="30"/>
      <c r="W630" s="30"/>
      <c r="X630" s="30"/>
    </row>
    <row r="631">
      <c r="A631" s="30"/>
      <c r="B631" s="30"/>
      <c r="C631" s="30"/>
      <c r="D631" s="30"/>
      <c r="E631" s="30"/>
      <c r="F631" s="30"/>
      <c r="I631" s="25"/>
      <c r="T631" s="30"/>
      <c r="U631" s="30"/>
      <c r="V631" s="30"/>
      <c r="W631" s="30"/>
      <c r="X631" s="30"/>
    </row>
    <row r="632">
      <c r="A632" s="30"/>
      <c r="B632" s="30"/>
      <c r="C632" s="30"/>
      <c r="D632" s="30"/>
      <c r="E632" s="30"/>
      <c r="F632" s="30"/>
      <c r="I632" s="25"/>
      <c r="T632" s="30"/>
      <c r="U632" s="30"/>
      <c r="V632" s="30"/>
      <c r="W632" s="30"/>
      <c r="X632" s="30"/>
    </row>
    <row r="633">
      <c r="A633" s="30"/>
      <c r="B633" s="30"/>
      <c r="C633" s="30"/>
      <c r="D633" s="30"/>
      <c r="E633" s="30"/>
      <c r="F633" s="30"/>
      <c r="I633" s="25"/>
      <c r="T633" s="30"/>
      <c r="U633" s="30"/>
      <c r="V633" s="30"/>
      <c r="W633" s="30"/>
      <c r="X633" s="30"/>
    </row>
    <row r="634">
      <c r="A634" s="30"/>
      <c r="B634" s="30"/>
      <c r="C634" s="30"/>
      <c r="D634" s="30"/>
      <c r="E634" s="30"/>
      <c r="F634" s="30"/>
      <c r="I634" s="25"/>
      <c r="T634" s="30"/>
      <c r="U634" s="30"/>
      <c r="V634" s="30"/>
      <c r="W634" s="30"/>
      <c r="X634" s="30"/>
    </row>
    <row r="635">
      <c r="A635" s="30"/>
      <c r="B635" s="30"/>
      <c r="C635" s="30"/>
      <c r="D635" s="30"/>
      <c r="E635" s="30"/>
      <c r="F635" s="30"/>
      <c r="I635" s="25"/>
      <c r="T635" s="30"/>
      <c r="U635" s="30"/>
      <c r="V635" s="30"/>
      <c r="W635" s="30"/>
      <c r="X635" s="30"/>
    </row>
    <row r="636">
      <c r="A636" s="30"/>
      <c r="B636" s="30"/>
      <c r="C636" s="30"/>
      <c r="D636" s="30"/>
      <c r="E636" s="30"/>
      <c r="F636" s="30"/>
      <c r="I636" s="25"/>
      <c r="T636" s="30"/>
      <c r="U636" s="30"/>
      <c r="V636" s="30"/>
      <c r="W636" s="30"/>
      <c r="X636" s="30"/>
    </row>
    <row r="637">
      <c r="A637" s="30"/>
      <c r="B637" s="30"/>
      <c r="C637" s="30"/>
      <c r="D637" s="30"/>
      <c r="E637" s="30"/>
      <c r="F637" s="30"/>
      <c r="I637" s="25"/>
      <c r="T637" s="30"/>
      <c r="U637" s="30"/>
      <c r="V637" s="30"/>
      <c r="W637" s="30"/>
      <c r="X637" s="30"/>
    </row>
    <row r="638">
      <c r="A638" s="30"/>
      <c r="B638" s="30"/>
      <c r="C638" s="30"/>
      <c r="D638" s="30"/>
      <c r="E638" s="30"/>
      <c r="F638" s="30"/>
      <c r="I638" s="25"/>
      <c r="T638" s="30"/>
      <c r="U638" s="30"/>
      <c r="V638" s="30"/>
      <c r="W638" s="30"/>
      <c r="X638" s="30"/>
    </row>
    <row r="639">
      <c r="A639" s="30"/>
      <c r="B639" s="30"/>
      <c r="C639" s="30"/>
      <c r="D639" s="30"/>
      <c r="E639" s="30"/>
      <c r="F639" s="30"/>
      <c r="I639" s="25"/>
      <c r="T639" s="30"/>
      <c r="U639" s="30"/>
      <c r="V639" s="30"/>
      <c r="W639" s="30"/>
      <c r="X639" s="30"/>
    </row>
    <row r="640">
      <c r="A640" s="30"/>
      <c r="B640" s="30"/>
      <c r="C640" s="30"/>
      <c r="D640" s="30"/>
      <c r="E640" s="30"/>
      <c r="F640" s="30"/>
      <c r="I640" s="25"/>
      <c r="T640" s="30"/>
      <c r="U640" s="30"/>
      <c r="V640" s="30"/>
      <c r="W640" s="30"/>
      <c r="X640" s="30"/>
    </row>
    <row r="641">
      <c r="A641" s="30"/>
      <c r="B641" s="30"/>
      <c r="C641" s="30"/>
      <c r="D641" s="30"/>
      <c r="E641" s="30"/>
      <c r="F641" s="30"/>
      <c r="I641" s="25"/>
      <c r="T641" s="30"/>
      <c r="U641" s="30"/>
      <c r="V641" s="30"/>
      <c r="W641" s="30"/>
      <c r="X641" s="30"/>
    </row>
    <row r="642">
      <c r="A642" s="30"/>
      <c r="B642" s="30"/>
      <c r="C642" s="30"/>
      <c r="D642" s="30"/>
      <c r="E642" s="30"/>
      <c r="F642" s="30"/>
      <c r="I642" s="25"/>
      <c r="T642" s="30"/>
      <c r="U642" s="30"/>
      <c r="V642" s="30"/>
      <c r="W642" s="30"/>
      <c r="X642" s="30"/>
    </row>
    <row r="643">
      <c r="A643" s="30"/>
      <c r="B643" s="30"/>
      <c r="C643" s="30"/>
      <c r="D643" s="30"/>
      <c r="E643" s="30"/>
      <c r="F643" s="30"/>
      <c r="I643" s="25"/>
      <c r="T643" s="30"/>
      <c r="U643" s="30"/>
      <c r="V643" s="30"/>
      <c r="W643" s="30"/>
      <c r="X643" s="30"/>
    </row>
    <row r="644">
      <c r="A644" s="30"/>
      <c r="B644" s="30"/>
      <c r="C644" s="30"/>
      <c r="D644" s="30"/>
      <c r="E644" s="30"/>
      <c r="F644" s="30"/>
      <c r="I644" s="25"/>
      <c r="T644" s="30"/>
      <c r="U644" s="30"/>
      <c r="V644" s="30"/>
      <c r="W644" s="30"/>
      <c r="X644" s="30"/>
    </row>
    <row r="645">
      <c r="A645" s="30"/>
      <c r="B645" s="30"/>
      <c r="C645" s="30"/>
      <c r="D645" s="30"/>
      <c r="E645" s="30"/>
      <c r="F645" s="30"/>
      <c r="I645" s="25"/>
      <c r="T645" s="30"/>
      <c r="U645" s="30"/>
      <c r="V645" s="30"/>
      <c r="W645" s="30"/>
      <c r="X645" s="30"/>
    </row>
    <row r="646">
      <c r="A646" s="30"/>
      <c r="B646" s="30"/>
      <c r="C646" s="30"/>
      <c r="D646" s="30"/>
      <c r="E646" s="30"/>
      <c r="F646" s="30"/>
      <c r="I646" s="25"/>
      <c r="T646" s="30"/>
      <c r="U646" s="30"/>
      <c r="V646" s="30"/>
      <c r="W646" s="30"/>
      <c r="X646" s="30"/>
    </row>
    <row r="647">
      <c r="A647" s="30"/>
      <c r="B647" s="30"/>
      <c r="C647" s="30"/>
      <c r="D647" s="30"/>
      <c r="E647" s="30"/>
      <c r="F647" s="30"/>
      <c r="I647" s="25"/>
      <c r="T647" s="30"/>
      <c r="U647" s="30"/>
      <c r="V647" s="30"/>
      <c r="W647" s="30"/>
      <c r="X647" s="30"/>
    </row>
    <row r="648">
      <c r="A648" s="30"/>
      <c r="B648" s="30"/>
      <c r="C648" s="30"/>
      <c r="D648" s="30"/>
      <c r="E648" s="30"/>
      <c r="F648" s="30"/>
      <c r="I648" s="25"/>
      <c r="T648" s="30"/>
      <c r="U648" s="30"/>
      <c r="V648" s="30"/>
      <c r="W648" s="30"/>
      <c r="X648" s="30"/>
    </row>
    <row r="649">
      <c r="A649" s="30"/>
      <c r="B649" s="30"/>
      <c r="C649" s="30"/>
      <c r="D649" s="30"/>
      <c r="E649" s="30"/>
      <c r="F649" s="30"/>
      <c r="I649" s="25"/>
      <c r="T649" s="30"/>
      <c r="U649" s="30"/>
      <c r="V649" s="30"/>
      <c r="W649" s="30"/>
      <c r="X649" s="30"/>
    </row>
    <row r="650">
      <c r="A650" s="30"/>
      <c r="B650" s="30"/>
      <c r="C650" s="30"/>
      <c r="D650" s="30"/>
      <c r="E650" s="30"/>
      <c r="F650" s="30"/>
      <c r="I650" s="25"/>
      <c r="T650" s="30"/>
      <c r="U650" s="30"/>
      <c r="V650" s="30"/>
      <c r="W650" s="30"/>
      <c r="X650" s="30"/>
    </row>
    <row r="651">
      <c r="A651" s="30"/>
      <c r="B651" s="30"/>
      <c r="C651" s="30"/>
      <c r="D651" s="30"/>
      <c r="E651" s="30"/>
      <c r="F651" s="30"/>
      <c r="I651" s="25"/>
      <c r="T651" s="30"/>
      <c r="U651" s="30"/>
      <c r="V651" s="30"/>
      <c r="W651" s="30"/>
      <c r="X651" s="30"/>
    </row>
    <row r="652">
      <c r="A652" s="30"/>
      <c r="B652" s="30"/>
      <c r="C652" s="30"/>
      <c r="D652" s="30"/>
      <c r="E652" s="30"/>
      <c r="F652" s="30"/>
      <c r="I652" s="25"/>
      <c r="T652" s="30"/>
      <c r="U652" s="30"/>
      <c r="V652" s="30"/>
      <c r="W652" s="30"/>
      <c r="X652" s="30"/>
    </row>
    <row r="653">
      <c r="A653" s="30"/>
      <c r="B653" s="30"/>
      <c r="C653" s="30"/>
      <c r="D653" s="30"/>
      <c r="E653" s="30"/>
      <c r="F653" s="30"/>
      <c r="I653" s="25"/>
      <c r="T653" s="30"/>
      <c r="U653" s="30"/>
      <c r="V653" s="30"/>
      <c r="W653" s="30"/>
      <c r="X653" s="30"/>
    </row>
    <row r="654">
      <c r="A654" s="30"/>
      <c r="B654" s="30"/>
      <c r="C654" s="30"/>
      <c r="D654" s="30"/>
      <c r="E654" s="30"/>
      <c r="F654" s="30"/>
      <c r="I654" s="25"/>
      <c r="T654" s="30"/>
      <c r="U654" s="30"/>
      <c r="V654" s="30"/>
      <c r="W654" s="30"/>
      <c r="X654" s="30"/>
    </row>
    <row r="655">
      <c r="A655" s="30"/>
      <c r="B655" s="30"/>
      <c r="C655" s="30"/>
      <c r="D655" s="30"/>
      <c r="E655" s="30"/>
      <c r="F655" s="30"/>
      <c r="I655" s="25"/>
      <c r="T655" s="30"/>
      <c r="U655" s="30"/>
      <c r="V655" s="30"/>
      <c r="W655" s="30"/>
      <c r="X655" s="30"/>
    </row>
    <row r="656">
      <c r="A656" s="30"/>
      <c r="B656" s="30"/>
      <c r="C656" s="30"/>
      <c r="D656" s="30"/>
      <c r="E656" s="30"/>
      <c r="F656" s="30"/>
      <c r="I656" s="25"/>
      <c r="T656" s="30"/>
      <c r="U656" s="30"/>
      <c r="V656" s="30"/>
      <c r="W656" s="30"/>
      <c r="X656" s="30"/>
    </row>
    <row r="657">
      <c r="A657" s="30"/>
      <c r="B657" s="30"/>
      <c r="C657" s="30"/>
      <c r="D657" s="30"/>
      <c r="E657" s="30"/>
      <c r="F657" s="30"/>
      <c r="I657" s="25"/>
      <c r="T657" s="30"/>
      <c r="U657" s="30"/>
      <c r="V657" s="30"/>
      <c r="W657" s="30"/>
      <c r="X657" s="30"/>
    </row>
    <row r="658">
      <c r="A658" s="30"/>
      <c r="B658" s="30"/>
      <c r="C658" s="30"/>
      <c r="D658" s="30"/>
      <c r="E658" s="30"/>
      <c r="F658" s="30"/>
      <c r="I658" s="25"/>
      <c r="T658" s="30"/>
      <c r="U658" s="30"/>
      <c r="V658" s="30"/>
      <c r="W658" s="30"/>
      <c r="X658" s="30"/>
    </row>
    <row r="659">
      <c r="A659" s="30"/>
      <c r="B659" s="30"/>
      <c r="C659" s="30"/>
      <c r="D659" s="30"/>
      <c r="E659" s="30"/>
      <c r="F659" s="30"/>
      <c r="I659" s="25"/>
      <c r="T659" s="30"/>
      <c r="U659" s="30"/>
      <c r="V659" s="30"/>
      <c r="W659" s="30"/>
      <c r="X659" s="30"/>
    </row>
    <row r="660">
      <c r="A660" s="30"/>
      <c r="B660" s="30"/>
      <c r="C660" s="30"/>
      <c r="D660" s="30"/>
      <c r="E660" s="30"/>
      <c r="F660" s="30"/>
      <c r="I660" s="25"/>
      <c r="T660" s="30"/>
      <c r="U660" s="30"/>
      <c r="V660" s="30"/>
      <c r="W660" s="30"/>
      <c r="X660" s="30"/>
    </row>
    <row r="661">
      <c r="A661" s="30"/>
      <c r="B661" s="30"/>
      <c r="C661" s="30"/>
      <c r="D661" s="30"/>
      <c r="E661" s="30"/>
      <c r="F661" s="30"/>
      <c r="I661" s="25"/>
      <c r="T661" s="30"/>
      <c r="U661" s="30"/>
      <c r="V661" s="30"/>
      <c r="W661" s="30"/>
      <c r="X661" s="30"/>
    </row>
    <row r="662">
      <c r="A662" s="30"/>
      <c r="B662" s="30"/>
      <c r="C662" s="30"/>
      <c r="D662" s="30"/>
      <c r="E662" s="30"/>
      <c r="F662" s="30"/>
      <c r="I662" s="25"/>
      <c r="T662" s="30"/>
      <c r="U662" s="30"/>
      <c r="V662" s="30"/>
      <c r="W662" s="30"/>
      <c r="X662" s="30"/>
    </row>
    <row r="663">
      <c r="A663" s="30"/>
      <c r="B663" s="30"/>
      <c r="C663" s="30"/>
      <c r="D663" s="30"/>
      <c r="E663" s="30"/>
      <c r="F663" s="30"/>
      <c r="I663" s="25"/>
      <c r="T663" s="30"/>
      <c r="U663" s="30"/>
      <c r="V663" s="30"/>
      <c r="W663" s="30"/>
      <c r="X663" s="30"/>
    </row>
    <row r="664">
      <c r="A664" s="30"/>
      <c r="B664" s="30"/>
      <c r="C664" s="30"/>
      <c r="D664" s="30"/>
      <c r="E664" s="30"/>
      <c r="F664" s="30"/>
      <c r="I664" s="25"/>
      <c r="T664" s="30"/>
      <c r="U664" s="30"/>
      <c r="V664" s="30"/>
      <c r="W664" s="30"/>
      <c r="X664" s="30"/>
    </row>
    <row r="665">
      <c r="A665" s="30"/>
      <c r="B665" s="30"/>
      <c r="C665" s="30"/>
      <c r="D665" s="30"/>
      <c r="E665" s="30"/>
      <c r="F665" s="30"/>
      <c r="I665" s="25"/>
      <c r="T665" s="30"/>
      <c r="U665" s="30"/>
      <c r="V665" s="30"/>
      <c r="W665" s="30"/>
      <c r="X665" s="30"/>
    </row>
    <row r="666">
      <c r="A666" s="30"/>
      <c r="B666" s="30"/>
      <c r="C666" s="30"/>
      <c r="D666" s="30"/>
      <c r="E666" s="30"/>
      <c r="F666" s="30"/>
      <c r="I666" s="25"/>
      <c r="T666" s="30"/>
      <c r="U666" s="30"/>
      <c r="V666" s="30"/>
      <c r="W666" s="30"/>
      <c r="X666" s="30"/>
    </row>
    <row r="667">
      <c r="A667" s="30"/>
      <c r="B667" s="30"/>
      <c r="C667" s="30"/>
      <c r="D667" s="30"/>
      <c r="E667" s="30"/>
      <c r="F667" s="30"/>
      <c r="I667" s="25"/>
      <c r="T667" s="30"/>
      <c r="U667" s="30"/>
      <c r="V667" s="30"/>
      <c r="W667" s="30"/>
      <c r="X667" s="30"/>
    </row>
    <row r="668">
      <c r="A668" s="30"/>
      <c r="B668" s="30"/>
      <c r="C668" s="30"/>
      <c r="D668" s="30"/>
      <c r="E668" s="30"/>
      <c r="F668" s="30"/>
      <c r="I668" s="25"/>
      <c r="T668" s="30"/>
      <c r="U668" s="30"/>
      <c r="V668" s="30"/>
      <c r="W668" s="30"/>
      <c r="X668" s="30"/>
    </row>
    <row r="669">
      <c r="A669" s="30"/>
      <c r="B669" s="30"/>
      <c r="C669" s="30"/>
      <c r="D669" s="30"/>
      <c r="E669" s="30"/>
      <c r="F669" s="30"/>
      <c r="I669" s="25"/>
      <c r="T669" s="30"/>
      <c r="U669" s="30"/>
      <c r="V669" s="30"/>
      <c r="W669" s="30"/>
      <c r="X669" s="30"/>
    </row>
    <row r="670">
      <c r="A670" s="30"/>
      <c r="B670" s="30"/>
      <c r="C670" s="30"/>
      <c r="D670" s="30"/>
      <c r="E670" s="30"/>
      <c r="F670" s="30"/>
      <c r="I670" s="25"/>
      <c r="T670" s="30"/>
      <c r="U670" s="30"/>
      <c r="V670" s="30"/>
      <c r="W670" s="30"/>
      <c r="X670" s="30"/>
    </row>
    <row r="671">
      <c r="A671" s="30"/>
      <c r="B671" s="30"/>
      <c r="C671" s="30"/>
      <c r="D671" s="30"/>
      <c r="E671" s="30"/>
      <c r="F671" s="30"/>
      <c r="I671" s="25"/>
      <c r="T671" s="30"/>
      <c r="U671" s="30"/>
      <c r="V671" s="30"/>
      <c r="W671" s="30"/>
      <c r="X671" s="30"/>
    </row>
    <row r="672">
      <c r="A672" s="30"/>
      <c r="B672" s="30"/>
      <c r="C672" s="30"/>
      <c r="D672" s="30"/>
      <c r="E672" s="30"/>
      <c r="F672" s="30"/>
      <c r="I672" s="25"/>
      <c r="T672" s="30"/>
      <c r="U672" s="30"/>
      <c r="V672" s="30"/>
      <c r="W672" s="30"/>
      <c r="X672" s="30"/>
    </row>
    <row r="673">
      <c r="A673" s="30"/>
      <c r="B673" s="30"/>
      <c r="C673" s="30"/>
      <c r="D673" s="30"/>
      <c r="E673" s="30"/>
      <c r="F673" s="30"/>
      <c r="I673" s="25"/>
      <c r="T673" s="30"/>
      <c r="U673" s="30"/>
      <c r="V673" s="30"/>
      <c r="W673" s="30"/>
      <c r="X673" s="30"/>
    </row>
    <row r="674">
      <c r="A674" s="30"/>
      <c r="B674" s="30"/>
      <c r="C674" s="30"/>
      <c r="D674" s="30"/>
      <c r="E674" s="30"/>
      <c r="F674" s="30"/>
      <c r="I674" s="25"/>
      <c r="T674" s="30"/>
      <c r="U674" s="30"/>
      <c r="V674" s="30"/>
      <c r="W674" s="30"/>
      <c r="X674" s="30"/>
    </row>
    <row r="675">
      <c r="A675" s="30"/>
      <c r="B675" s="30"/>
      <c r="C675" s="30"/>
      <c r="D675" s="30"/>
      <c r="E675" s="30"/>
      <c r="F675" s="30"/>
      <c r="I675" s="25"/>
      <c r="T675" s="30"/>
      <c r="U675" s="30"/>
      <c r="V675" s="30"/>
      <c r="W675" s="30"/>
      <c r="X675" s="30"/>
    </row>
    <row r="676">
      <c r="A676" s="30"/>
      <c r="B676" s="30"/>
      <c r="C676" s="30"/>
      <c r="D676" s="30"/>
      <c r="E676" s="30"/>
      <c r="F676" s="30"/>
      <c r="I676" s="25"/>
      <c r="T676" s="30"/>
      <c r="U676" s="30"/>
      <c r="V676" s="30"/>
      <c r="W676" s="30"/>
      <c r="X676" s="30"/>
    </row>
    <row r="677">
      <c r="A677" s="30"/>
      <c r="B677" s="30"/>
      <c r="C677" s="30"/>
      <c r="D677" s="30"/>
      <c r="E677" s="30"/>
      <c r="F677" s="30"/>
      <c r="I677" s="25"/>
      <c r="T677" s="30"/>
      <c r="U677" s="30"/>
      <c r="V677" s="30"/>
      <c r="W677" s="30"/>
      <c r="X677" s="30"/>
    </row>
    <row r="678">
      <c r="A678" s="30"/>
      <c r="B678" s="30"/>
      <c r="C678" s="30"/>
      <c r="D678" s="30"/>
      <c r="E678" s="30"/>
      <c r="F678" s="30"/>
      <c r="I678" s="25"/>
      <c r="T678" s="30"/>
      <c r="U678" s="30"/>
      <c r="V678" s="30"/>
      <c r="W678" s="30"/>
      <c r="X678" s="30"/>
    </row>
    <row r="679">
      <c r="A679" s="30"/>
      <c r="B679" s="30"/>
      <c r="C679" s="30"/>
      <c r="D679" s="30"/>
      <c r="E679" s="30"/>
      <c r="F679" s="30"/>
      <c r="I679" s="25"/>
      <c r="T679" s="30"/>
      <c r="U679" s="30"/>
      <c r="V679" s="30"/>
      <c r="W679" s="30"/>
      <c r="X679" s="30"/>
    </row>
    <row r="680">
      <c r="A680" s="30"/>
      <c r="B680" s="30"/>
      <c r="C680" s="30"/>
      <c r="D680" s="30"/>
      <c r="E680" s="30"/>
      <c r="F680" s="30"/>
      <c r="I680" s="25"/>
      <c r="T680" s="30"/>
      <c r="U680" s="30"/>
      <c r="V680" s="30"/>
      <c r="W680" s="30"/>
      <c r="X680" s="30"/>
    </row>
    <row r="681">
      <c r="A681" s="30"/>
      <c r="B681" s="30"/>
      <c r="C681" s="30"/>
      <c r="D681" s="30"/>
      <c r="E681" s="30"/>
      <c r="F681" s="30"/>
      <c r="I681" s="25"/>
      <c r="T681" s="30"/>
      <c r="U681" s="30"/>
      <c r="V681" s="30"/>
      <c r="W681" s="30"/>
      <c r="X681" s="30"/>
    </row>
    <row r="682">
      <c r="A682" s="30"/>
      <c r="B682" s="30"/>
      <c r="C682" s="30"/>
      <c r="D682" s="30"/>
      <c r="E682" s="30"/>
      <c r="F682" s="30"/>
      <c r="I682" s="25"/>
      <c r="T682" s="30"/>
      <c r="U682" s="30"/>
      <c r="V682" s="30"/>
      <c r="W682" s="30"/>
      <c r="X682" s="30"/>
    </row>
    <row r="683">
      <c r="A683" s="30"/>
      <c r="B683" s="30"/>
      <c r="C683" s="30"/>
      <c r="D683" s="30"/>
      <c r="E683" s="30"/>
      <c r="F683" s="30"/>
      <c r="I683" s="25"/>
      <c r="T683" s="30"/>
      <c r="U683" s="30"/>
      <c r="V683" s="30"/>
      <c r="W683" s="30"/>
      <c r="X683" s="30"/>
    </row>
    <row r="684">
      <c r="A684" s="30"/>
      <c r="B684" s="30"/>
      <c r="C684" s="30"/>
      <c r="D684" s="30"/>
      <c r="E684" s="30"/>
      <c r="F684" s="30"/>
      <c r="I684" s="25"/>
      <c r="T684" s="30"/>
      <c r="U684" s="30"/>
      <c r="V684" s="30"/>
      <c r="W684" s="30"/>
      <c r="X684" s="30"/>
    </row>
    <row r="685">
      <c r="A685" s="30"/>
      <c r="B685" s="30"/>
      <c r="C685" s="30"/>
      <c r="D685" s="30"/>
      <c r="E685" s="30"/>
      <c r="F685" s="30"/>
      <c r="I685" s="25"/>
      <c r="T685" s="30"/>
      <c r="U685" s="30"/>
      <c r="V685" s="30"/>
      <c r="W685" s="30"/>
      <c r="X685" s="30"/>
    </row>
    <row r="686">
      <c r="A686" s="30"/>
      <c r="B686" s="30"/>
      <c r="C686" s="30"/>
      <c r="D686" s="30"/>
      <c r="E686" s="30"/>
      <c r="F686" s="30"/>
      <c r="I686" s="25"/>
      <c r="T686" s="30"/>
      <c r="U686" s="30"/>
      <c r="V686" s="30"/>
      <c r="W686" s="30"/>
      <c r="X686" s="30"/>
    </row>
    <row r="687">
      <c r="A687" s="30"/>
      <c r="B687" s="30"/>
      <c r="C687" s="30"/>
      <c r="D687" s="30"/>
      <c r="E687" s="30"/>
      <c r="F687" s="30"/>
      <c r="I687" s="25"/>
      <c r="T687" s="30"/>
      <c r="U687" s="30"/>
      <c r="V687" s="30"/>
      <c r="W687" s="30"/>
      <c r="X687" s="30"/>
    </row>
    <row r="688">
      <c r="A688" s="30"/>
      <c r="B688" s="30"/>
      <c r="C688" s="30"/>
      <c r="D688" s="30"/>
      <c r="E688" s="30"/>
      <c r="F688" s="30"/>
      <c r="I688" s="25"/>
      <c r="T688" s="30"/>
      <c r="U688" s="30"/>
      <c r="V688" s="30"/>
      <c r="W688" s="30"/>
      <c r="X688" s="30"/>
    </row>
    <row r="689">
      <c r="A689" s="30"/>
      <c r="B689" s="30"/>
      <c r="C689" s="30"/>
      <c r="D689" s="30"/>
      <c r="E689" s="30"/>
      <c r="F689" s="30"/>
      <c r="I689" s="25"/>
      <c r="T689" s="30"/>
      <c r="U689" s="30"/>
      <c r="V689" s="30"/>
      <c r="W689" s="30"/>
      <c r="X689" s="30"/>
    </row>
    <row r="690">
      <c r="A690" s="30"/>
      <c r="B690" s="30"/>
      <c r="C690" s="30"/>
      <c r="D690" s="30"/>
      <c r="E690" s="30"/>
      <c r="F690" s="30"/>
      <c r="I690" s="25"/>
      <c r="T690" s="30"/>
      <c r="U690" s="30"/>
      <c r="V690" s="30"/>
      <c r="W690" s="30"/>
      <c r="X690" s="30"/>
    </row>
    <row r="691">
      <c r="A691" s="30"/>
      <c r="B691" s="30"/>
      <c r="C691" s="30"/>
      <c r="D691" s="30"/>
      <c r="E691" s="30"/>
      <c r="F691" s="30"/>
      <c r="I691" s="25"/>
      <c r="T691" s="30"/>
      <c r="U691" s="30"/>
      <c r="V691" s="30"/>
      <c r="W691" s="30"/>
      <c r="X691" s="30"/>
    </row>
    <row r="692">
      <c r="A692" s="30"/>
      <c r="B692" s="30"/>
      <c r="C692" s="30"/>
      <c r="D692" s="30"/>
      <c r="E692" s="30"/>
      <c r="F692" s="30"/>
      <c r="I692" s="25"/>
      <c r="T692" s="30"/>
      <c r="U692" s="30"/>
      <c r="V692" s="30"/>
      <c r="W692" s="30"/>
      <c r="X692" s="30"/>
    </row>
    <row r="693">
      <c r="A693" s="30"/>
      <c r="B693" s="30"/>
      <c r="C693" s="30"/>
      <c r="D693" s="30"/>
      <c r="E693" s="30"/>
      <c r="F693" s="30"/>
      <c r="I693" s="25"/>
      <c r="T693" s="30"/>
      <c r="U693" s="30"/>
      <c r="V693" s="30"/>
      <c r="W693" s="30"/>
      <c r="X693" s="30"/>
    </row>
    <row r="694">
      <c r="A694" s="30"/>
      <c r="B694" s="30"/>
      <c r="C694" s="30"/>
      <c r="D694" s="30"/>
      <c r="E694" s="30"/>
      <c r="F694" s="30"/>
      <c r="I694" s="25"/>
      <c r="T694" s="30"/>
      <c r="U694" s="30"/>
      <c r="V694" s="30"/>
      <c r="W694" s="30"/>
      <c r="X694" s="30"/>
    </row>
    <row r="695">
      <c r="A695" s="30"/>
      <c r="B695" s="30"/>
      <c r="C695" s="30"/>
      <c r="D695" s="30"/>
      <c r="E695" s="30"/>
      <c r="F695" s="30"/>
      <c r="I695" s="25"/>
      <c r="T695" s="30"/>
      <c r="U695" s="30"/>
      <c r="V695" s="30"/>
      <c r="W695" s="30"/>
      <c r="X695" s="30"/>
    </row>
    <row r="696">
      <c r="A696" s="30"/>
      <c r="B696" s="30"/>
      <c r="C696" s="30"/>
      <c r="D696" s="30"/>
      <c r="E696" s="30"/>
      <c r="F696" s="30"/>
      <c r="I696" s="25"/>
      <c r="T696" s="30"/>
      <c r="U696" s="30"/>
      <c r="V696" s="30"/>
      <c r="W696" s="30"/>
      <c r="X696" s="30"/>
    </row>
    <row r="697">
      <c r="A697" s="30"/>
      <c r="B697" s="30"/>
      <c r="C697" s="30"/>
      <c r="D697" s="30"/>
      <c r="E697" s="30"/>
      <c r="F697" s="30"/>
      <c r="I697" s="25"/>
      <c r="T697" s="30"/>
      <c r="U697" s="30"/>
      <c r="V697" s="30"/>
      <c r="W697" s="30"/>
      <c r="X697" s="30"/>
    </row>
    <row r="698">
      <c r="A698" s="30"/>
      <c r="B698" s="30"/>
      <c r="C698" s="30"/>
      <c r="D698" s="30"/>
      <c r="E698" s="30"/>
      <c r="F698" s="30"/>
      <c r="I698" s="25"/>
      <c r="T698" s="30"/>
      <c r="U698" s="30"/>
      <c r="V698" s="30"/>
      <c r="W698" s="30"/>
      <c r="X698" s="30"/>
    </row>
    <row r="699">
      <c r="A699" s="30"/>
      <c r="B699" s="30"/>
      <c r="C699" s="30"/>
      <c r="D699" s="30"/>
      <c r="E699" s="30"/>
      <c r="F699" s="30"/>
      <c r="I699" s="25"/>
      <c r="T699" s="30"/>
      <c r="U699" s="30"/>
      <c r="V699" s="30"/>
      <c r="W699" s="30"/>
      <c r="X699" s="30"/>
    </row>
    <row r="700">
      <c r="A700" s="30"/>
      <c r="B700" s="30"/>
      <c r="C700" s="30"/>
      <c r="D700" s="30"/>
      <c r="E700" s="30"/>
      <c r="F700" s="30"/>
      <c r="I700" s="25"/>
      <c r="T700" s="30"/>
      <c r="U700" s="30"/>
      <c r="V700" s="30"/>
      <c r="W700" s="30"/>
      <c r="X700" s="30"/>
    </row>
    <row r="701">
      <c r="A701" s="30"/>
      <c r="B701" s="30"/>
      <c r="C701" s="30"/>
      <c r="D701" s="30"/>
      <c r="E701" s="30"/>
      <c r="F701" s="30"/>
      <c r="I701" s="25"/>
      <c r="T701" s="30"/>
      <c r="U701" s="30"/>
      <c r="V701" s="30"/>
      <c r="W701" s="30"/>
      <c r="X701" s="30"/>
    </row>
    <row r="702">
      <c r="A702" s="30"/>
      <c r="B702" s="30"/>
      <c r="C702" s="30"/>
      <c r="D702" s="30"/>
      <c r="E702" s="30"/>
      <c r="F702" s="30"/>
      <c r="I702" s="25"/>
      <c r="T702" s="30"/>
      <c r="U702" s="30"/>
      <c r="V702" s="30"/>
      <c r="W702" s="30"/>
      <c r="X702" s="30"/>
    </row>
    <row r="703">
      <c r="A703" s="30"/>
      <c r="B703" s="30"/>
      <c r="C703" s="30"/>
      <c r="D703" s="30"/>
      <c r="E703" s="30"/>
      <c r="F703" s="30"/>
      <c r="I703" s="25"/>
      <c r="T703" s="30"/>
      <c r="U703" s="30"/>
      <c r="V703" s="30"/>
      <c r="W703" s="30"/>
      <c r="X703" s="30"/>
    </row>
    <row r="704">
      <c r="A704" s="30"/>
      <c r="B704" s="30"/>
      <c r="C704" s="30"/>
      <c r="D704" s="30"/>
      <c r="E704" s="30"/>
      <c r="F704" s="30"/>
      <c r="I704" s="25"/>
      <c r="T704" s="30"/>
      <c r="U704" s="30"/>
      <c r="V704" s="30"/>
      <c r="W704" s="30"/>
      <c r="X704" s="30"/>
    </row>
    <row r="705">
      <c r="A705" s="30"/>
      <c r="B705" s="30"/>
      <c r="C705" s="30"/>
      <c r="D705" s="30"/>
      <c r="E705" s="30"/>
      <c r="F705" s="30"/>
      <c r="I705" s="25"/>
      <c r="T705" s="30"/>
      <c r="U705" s="30"/>
      <c r="V705" s="30"/>
      <c r="W705" s="30"/>
      <c r="X705" s="30"/>
    </row>
    <row r="706">
      <c r="A706" s="30"/>
      <c r="B706" s="30"/>
      <c r="C706" s="30"/>
      <c r="D706" s="30"/>
      <c r="E706" s="30"/>
      <c r="F706" s="30"/>
      <c r="I706" s="25"/>
      <c r="T706" s="30"/>
      <c r="U706" s="30"/>
      <c r="V706" s="30"/>
      <c r="W706" s="30"/>
      <c r="X706" s="30"/>
    </row>
    <row r="707">
      <c r="A707" s="30"/>
      <c r="B707" s="30"/>
      <c r="C707" s="30"/>
      <c r="D707" s="30"/>
      <c r="E707" s="30"/>
      <c r="F707" s="30"/>
      <c r="I707" s="25"/>
      <c r="T707" s="30"/>
      <c r="U707" s="30"/>
      <c r="V707" s="30"/>
      <c r="W707" s="30"/>
      <c r="X707" s="30"/>
    </row>
    <row r="708">
      <c r="A708" s="30"/>
      <c r="B708" s="30"/>
      <c r="C708" s="30"/>
      <c r="D708" s="30"/>
      <c r="E708" s="30"/>
      <c r="F708" s="30"/>
      <c r="I708" s="25"/>
      <c r="T708" s="30"/>
      <c r="U708" s="30"/>
      <c r="V708" s="30"/>
      <c r="W708" s="30"/>
      <c r="X708" s="30"/>
    </row>
    <row r="709">
      <c r="A709" s="30"/>
      <c r="B709" s="30"/>
      <c r="C709" s="30"/>
      <c r="D709" s="30"/>
      <c r="E709" s="30"/>
      <c r="F709" s="30"/>
      <c r="I709" s="25"/>
      <c r="T709" s="30"/>
      <c r="U709" s="30"/>
      <c r="V709" s="30"/>
      <c r="W709" s="30"/>
      <c r="X709" s="30"/>
    </row>
    <row r="710">
      <c r="A710" s="30"/>
      <c r="B710" s="30"/>
      <c r="C710" s="30"/>
      <c r="D710" s="30"/>
      <c r="E710" s="30"/>
      <c r="F710" s="30"/>
      <c r="I710" s="25"/>
      <c r="T710" s="30"/>
      <c r="U710" s="30"/>
      <c r="V710" s="30"/>
      <c r="W710" s="30"/>
      <c r="X710" s="30"/>
    </row>
    <row r="711">
      <c r="A711" s="30"/>
      <c r="B711" s="30"/>
      <c r="C711" s="30"/>
      <c r="D711" s="30"/>
      <c r="E711" s="30"/>
      <c r="F711" s="30"/>
      <c r="I711" s="25"/>
      <c r="T711" s="30"/>
      <c r="U711" s="30"/>
      <c r="V711" s="30"/>
      <c r="W711" s="30"/>
      <c r="X711" s="30"/>
    </row>
    <row r="712">
      <c r="A712" s="30"/>
      <c r="B712" s="30"/>
      <c r="C712" s="30"/>
      <c r="D712" s="30"/>
      <c r="E712" s="30"/>
      <c r="F712" s="30"/>
      <c r="I712" s="25"/>
      <c r="T712" s="30"/>
      <c r="U712" s="30"/>
      <c r="V712" s="30"/>
      <c r="W712" s="30"/>
      <c r="X712" s="30"/>
    </row>
    <row r="713">
      <c r="A713" s="30"/>
      <c r="B713" s="30"/>
      <c r="C713" s="30"/>
      <c r="D713" s="30"/>
      <c r="E713" s="30"/>
      <c r="F713" s="30"/>
      <c r="I713" s="25"/>
      <c r="T713" s="30"/>
      <c r="U713" s="30"/>
      <c r="V713" s="30"/>
      <c r="W713" s="30"/>
      <c r="X713" s="30"/>
    </row>
    <row r="714">
      <c r="A714" s="30"/>
      <c r="B714" s="30"/>
      <c r="C714" s="30"/>
      <c r="D714" s="30"/>
      <c r="E714" s="30"/>
      <c r="F714" s="30"/>
      <c r="I714" s="25"/>
      <c r="T714" s="30"/>
      <c r="U714" s="30"/>
      <c r="V714" s="30"/>
      <c r="W714" s="30"/>
      <c r="X714" s="30"/>
    </row>
    <row r="715">
      <c r="A715" s="30"/>
      <c r="B715" s="30"/>
      <c r="C715" s="30"/>
      <c r="D715" s="30"/>
      <c r="E715" s="30"/>
      <c r="F715" s="30"/>
      <c r="I715" s="25"/>
      <c r="T715" s="30"/>
      <c r="U715" s="30"/>
      <c r="V715" s="30"/>
      <c r="W715" s="30"/>
      <c r="X715" s="30"/>
    </row>
    <row r="716">
      <c r="A716" s="30"/>
      <c r="B716" s="30"/>
      <c r="C716" s="30"/>
      <c r="D716" s="30"/>
      <c r="E716" s="30"/>
      <c r="F716" s="30"/>
      <c r="I716" s="25"/>
      <c r="T716" s="30"/>
      <c r="U716" s="30"/>
      <c r="V716" s="30"/>
      <c r="W716" s="30"/>
      <c r="X716" s="30"/>
    </row>
    <row r="717">
      <c r="A717" s="30"/>
      <c r="B717" s="30"/>
      <c r="C717" s="30"/>
      <c r="D717" s="30"/>
      <c r="E717" s="30"/>
      <c r="F717" s="30"/>
      <c r="I717" s="25"/>
      <c r="T717" s="30"/>
      <c r="U717" s="30"/>
      <c r="V717" s="30"/>
      <c r="W717" s="30"/>
      <c r="X717" s="30"/>
    </row>
    <row r="718">
      <c r="A718" s="30"/>
      <c r="B718" s="30"/>
      <c r="C718" s="30"/>
      <c r="D718" s="30"/>
      <c r="E718" s="30"/>
      <c r="F718" s="30"/>
      <c r="I718" s="25"/>
      <c r="T718" s="30"/>
      <c r="U718" s="30"/>
      <c r="V718" s="30"/>
      <c r="W718" s="30"/>
      <c r="X718" s="30"/>
    </row>
    <row r="719">
      <c r="A719" s="30"/>
      <c r="B719" s="30"/>
      <c r="C719" s="30"/>
      <c r="D719" s="30"/>
      <c r="E719" s="30"/>
      <c r="F719" s="30"/>
      <c r="I719" s="25"/>
      <c r="T719" s="30"/>
      <c r="U719" s="30"/>
      <c r="V719" s="30"/>
      <c r="W719" s="30"/>
      <c r="X719" s="30"/>
    </row>
    <row r="720">
      <c r="A720" s="30"/>
      <c r="B720" s="30"/>
      <c r="C720" s="30"/>
      <c r="D720" s="30"/>
      <c r="E720" s="30"/>
      <c r="F720" s="30"/>
      <c r="I720" s="25"/>
      <c r="T720" s="30"/>
      <c r="U720" s="30"/>
      <c r="V720" s="30"/>
      <c r="W720" s="30"/>
      <c r="X720" s="30"/>
    </row>
    <row r="721">
      <c r="A721" s="30"/>
      <c r="B721" s="30"/>
      <c r="C721" s="30"/>
      <c r="D721" s="30"/>
      <c r="E721" s="30"/>
      <c r="F721" s="30"/>
      <c r="I721" s="25"/>
      <c r="T721" s="30"/>
      <c r="U721" s="30"/>
      <c r="V721" s="30"/>
      <c r="W721" s="30"/>
      <c r="X721" s="30"/>
    </row>
    <row r="722">
      <c r="A722" s="30"/>
      <c r="B722" s="30"/>
      <c r="C722" s="30"/>
      <c r="D722" s="30"/>
      <c r="E722" s="30"/>
      <c r="F722" s="30"/>
      <c r="I722" s="25"/>
      <c r="T722" s="30"/>
      <c r="U722" s="30"/>
      <c r="V722" s="30"/>
      <c r="W722" s="30"/>
      <c r="X722" s="30"/>
    </row>
    <row r="723">
      <c r="A723" s="30"/>
      <c r="B723" s="30"/>
      <c r="C723" s="30"/>
      <c r="D723" s="30"/>
      <c r="E723" s="30"/>
      <c r="F723" s="30"/>
      <c r="I723" s="25"/>
      <c r="T723" s="30"/>
      <c r="U723" s="30"/>
      <c r="V723" s="30"/>
      <c r="W723" s="30"/>
      <c r="X723" s="30"/>
    </row>
    <row r="724">
      <c r="A724" s="30"/>
      <c r="B724" s="30"/>
      <c r="C724" s="30"/>
      <c r="D724" s="30"/>
      <c r="E724" s="30"/>
      <c r="F724" s="30"/>
      <c r="I724" s="25"/>
      <c r="T724" s="30"/>
      <c r="U724" s="30"/>
      <c r="V724" s="30"/>
      <c r="W724" s="30"/>
      <c r="X724" s="30"/>
    </row>
    <row r="725">
      <c r="A725" s="30"/>
      <c r="B725" s="30"/>
      <c r="C725" s="30"/>
      <c r="D725" s="30"/>
      <c r="E725" s="30"/>
      <c r="F725" s="30"/>
      <c r="I725" s="25"/>
      <c r="T725" s="30"/>
      <c r="U725" s="30"/>
      <c r="V725" s="30"/>
      <c r="W725" s="30"/>
      <c r="X725" s="30"/>
    </row>
    <row r="726">
      <c r="A726" s="30"/>
      <c r="B726" s="30"/>
      <c r="C726" s="30"/>
      <c r="D726" s="30"/>
      <c r="E726" s="30"/>
      <c r="F726" s="30"/>
      <c r="I726" s="25"/>
      <c r="T726" s="30"/>
      <c r="U726" s="30"/>
      <c r="V726" s="30"/>
      <c r="W726" s="30"/>
      <c r="X726" s="30"/>
    </row>
    <row r="727">
      <c r="A727" s="30"/>
      <c r="B727" s="30"/>
      <c r="C727" s="30"/>
      <c r="D727" s="30"/>
      <c r="E727" s="30"/>
      <c r="F727" s="30"/>
      <c r="I727" s="25"/>
      <c r="T727" s="30"/>
      <c r="U727" s="30"/>
      <c r="V727" s="30"/>
      <c r="W727" s="30"/>
      <c r="X727" s="30"/>
    </row>
    <row r="728">
      <c r="A728" s="30"/>
      <c r="B728" s="30"/>
      <c r="C728" s="30"/>
      <c r="D728" s="30"/>
      <c r="E728" s="30"/>
      <c r="F728" s="30"/>
      <c r="I728" s="25"/>
      <c r="T728" s="30"/>
      <c r="U728" s="30"/>
      <c r="V728" s="30"/>
      <c r="W728" s="30"/>
      <c r="X728" s="30"/>
    </row>
    <row r="729">
      <c r="A729" s="30"/>
      <c r="B729" s="30"/>
      <c r="C729" s="30"/>
      <c r="D729" s="30"/>
      <c r="E729" s="30"/>
      <c r="F729" s="30"/>
      <c r="I729" s="25"/>
      <c r="T729" s="30"/>
      <c r="U729" s="30"/>
      <c r="V729" s="30"/>
      <c r="W729" s="30"/>
      <c r="X729" s="30"/>
    </row>
    <row r="730">
      <c r="A730" s="30"/>
      <c r="B730" s="30"/>
      <c r="C730" s="30"/>
      <c r="D730" s="30"/>
      <c r="E730" s="30"/>
      <c r="F730" s="30"/>
      <c r="I730" s="25"/>
      <c r="T730" s="30"/>
      <c r="U730" s="30"/>
      <c r="V730" s="30"/>
      <c r="W730" s="30"/>
      <c r="X730" s="30"/>
    </row>
    <row r="731">
      <c r="A731" s="30"/>
      <c r="B731" s="30"/>
      <c r="C731" s="30"/>
      <c r="D731" s="30"/>
      <c r="E731" s="30"/>
      <c r="F731" s="30"/>
      <c r="I731" s="25"/>
      <c r="T731" s="30"/>
      <c r="U731" s="30"/>
      <c r="V731" s="30"/>
      <c r="W731" s="30"/>
      <c r="X731" s="30"/>
    </row>
    <row r="732">
      <c r="A732" s="30"/>
      <c r="B732" s="30"/>
      <c r="C732" s="30"/>
      <c r="D732" s="30"/>
      <c r="E732" s="30"/>
      <c r="F732" s="30"/>
      <c r="I732" s="25"/>
      <c r="T732" s="30"/>
      <c r="U732" s="30"/>
      <c r="V732" s="30"/>
      <c r="W732" s="30"/>
      <c r="X732" s="30"/>
    </row>
    <row r="733">
      <c r="A733" s="30"/>
      <c r="B733" s="30"/>
      <c r="C733" s="30"/>
      <c r="D733" s="30"/>
      <c r="E733" s="30"/>
      <c r="F733" s="30"/>
      <c r="I733" s="25"/>
      <c r="T733" s="30"/>
      <c r="U733" s="30"/>
      <c r="V733" s="30"/>
      <c r="W733" s="30"/>
      <c r="X733" s="30"/>
    </row>
    <row r="734">
      <c r="A734" s="30"/>
      <c r="B734" s="30"/>
      <c r="C734" s="30"/>
      <c r="D734" s="30"/>
      <c r="E734" s="30"/>
      <c r="F734" s="30"/>
      <c r="I734" s="25"/>
      <c r="T734" s="30"/>
      <c r="U734" s="30"/>
      <c r="V734" s="30"/>
      <c r="W734" s="30"/>
      <c r="X734" s="30"/>
    </row>
    <row r="735">
      <c r="A735" s="30"/>
      <c r="B735" s="30"/>
      <c r="C735" s="30"/>
      <c r="D735" s="30"/>
      <c r="E735" s="30"/>
      <c r="F735" s="30"/>
      <c r="I735" s="25"/>
      <c r="T735" s="30"/>
      <c r="U735" s="30"/>
      <c r="V735" s="30"/>
      <c r="W735" s="30"/>
      <c r="X735" s="30"/>
    </row>
    <row r="736">
      <c r="A736" s="30"/>
      <c r="B736" s="30"/>
      <c r="C736" s="30"/>
      <c r="D736" s="30"/>
      <c r="E736" s="30"/>
      <c r="F736" s="30"/>
      <c r="I736" s="25"/>
      <c r="T736" s="30"/>
      <c r="U736" s="30"/>
      <c r="V736" s="30"/>
      <c r="W736" s="30"/>
      <c r="X736" s="30"/>
    </row>
    <row r="737">
      <c r="A737" s="30"/>
      <c r="B737" s="30"/>
      <c r="C737" s="30"/>
      <c r="D737" s="30"/>
      <c r="E737" s="30"/>
      <c r="F737" s="30"/>
      <c r="I737" s="25"/>
      <c r="T737" s="30"/>
      <c r="U737" s="30"/>
      <c r="V737" s="30"/>
      <c r="W737" s="30"/>
      <c r="X737" s="30"/>
    </row>
    <row r="738">
      <c r="A738" s="30"/>
      <c r="B738" s="30"/>
      <c r="C738" s="30"/>
      <c r="D738" s="30"/>
      <c r="E738" s="30"/>
      <c r="F738" s="30"/>
      <c r="I738" s="25"/>
      <c r="T738" s="30"/>
      <c r="U738" s="30"/>
      <c r="V738" s="30"/>
      <c r="W738" s="30"/>
      <c r="X738" s="30"/>
    </row>
    <row r="739">
      <c r="A739" s="30"/>
      <c r="B739" s="30"/>
      <c r="C739" s="30"/>
      <c r="D739" s="30"/>
      <c r="E739" s="30"/>
      <c r="F739" s="30"/>
      <c r="I739" s="25"/>
      <c r="T739" s="30"/>
      <c r="U739" s="30"/>
      <c r="V739" s="30"/>
      <c r="W739" s="30"/>
      <c r="X739" s="30"/>
    </row>
    <row r="740">
      <c r="A740" s="30"/>
      <c r="B740" s="30"/>
      <c r="C740" s="30"/>
      <c r="D740" s="30"/>
      <c r="E740" s="30"/>
      <c r="F740" s="30"/>
      <c r="I740" s="25"/>
      <c r="T740" s="30"/>
      <c r="U740" s="30"/>
      <c r="V740" s="30"/>
      <c r="W740" s="30"/>
      <c r="X740" s="30"/>
    </row>
    <row r="741">
      <c r="A741" s="30"/>
      <c r="B741" s="30"/>
      <c r="C741" s="30"/>
      <c r="D741" s="30"/>
      <c r="E741" s="30"/>
      <c r="F741" s="30"/>
      <c r="I741" s="25"/>
      <c r="T741" s="30"/>
      <c r="U741" s="30"/>
      <c r="V741" s="30"/>
      <c r="W741" s="30"/>
      <c r="X741" s="30"/>
    </row>
    <row r="742">
      <c r="A742" s="30"/>
      <c r="B742" s="30"/>
      <c r="C742" s="30"/>
      <c r="D742" s="30"/>
      <c r="E742" s="30"/>
      <c r="F742" s="30"/>
      <c r="I742" s="25"/>
      <c r="T742" s="30"/>
      <c r="U742" s="30"/>
      <c r="V742" s="30"/>
      <c r="W742" s="30"/>
      <c r="X742" s="30"/>
    </row>
    <row r="743">
      <c r="A743" s="30"/>
      <c r="B743" s="30"/>
      <c r="C743" s="30"/>
      <c r="D743" s="30"/>
      <c r="E743" s="30"/>
      <c r="F743" s="30"/>
      <c r="I743" s="25"/>
      <c r="T743" s="30"/>
      <c r="U743" s="30"/>
      <c r="V743" s="30"/>
      <c r="W743" s="30"/>
      <c r="X743" s="30"/>
    </row>
    <row r="744">
      <c r="A744" s="30"/>
      <c r="B744" s="30"/>
      <c r="C744" s="30"/>
      <c r="D744" s="30"/>
      <c r="E744" s="30"/>
      <c r="F744" s="30"/>
      <c r="I744" s="25"/>
      <c r="T744" s="30"/>
      <c r="U744" s="30"/>
      <c r="V744" s="30"/>
      <c r="W744" s="30"/>
      <c r="X744" s="30"/>
    </row>
    <row r="745">
      <c r="A745" s="30"/>
      <c r="B745" s="30"/>
      <c r="C745" s="30"/>
      <c r="D745" s="30"/>
      <c r="E745" s="30"/>
      <c r="F745" s="30"/>
      <c r="I745" s="25"/>
      <c r="T745" s="30"/>
      <c r="U745" s="30"/>
      <c r="V745" s="30"/>
      <c r="W745" s="30"/>
      <c r="X745" s="30"/>
    </row>
    <row r="746">
      <c r="A746" s="30"/>
      <c r="B746" s="30"/>
      <c r="C746" s="30"/>
      <c r="D746" s="30"/>
      <c r="E746" s="30"/>
      <c r="F746" s="30"/>
      <c r="I746" s="25"/>
      <c r="T746" s="30"/>
      <c r="U746" s="30"/>
      <c r="V746" s="30"/>
      <c r="W746" s="30"/>
      <c r="X746" s="30"/>
    </row>
    <row r="747">
      <c r="A747" s="30"/>
      <c r="B747" s="30"/>
      <c r="C747" s="30"/>
      <c r="D747" s="30"/>
      <c r="E747" s="30"/>
      <c r="F747" s="30"/>
      <c r="I747" s="25"/>
      <c r="T747" s="30"/>
      <c r="U747" s="30"/>
      <c r="V747" s="30"/>
      <c r="W747" s="30"/>
      <c r="X747" s="30"/>
    </row>
    <row r="748">
      <c r="A748" s="30"/>
      <c r="B748" s="30"/>
      <c r="C748" s="30"/>
      <c r="D748" s="30"/>
      <c r="E748" s="30"/>
      <c r="F748" s="30"/>
      <c r="I748" s="25"/>
      <c r="T748" s="30"/>
      <c r="U748" s="30"/>
      <c r="V748" s="30"/>
      <c r="W748" s="30"/>
      <c r="X748" s="30"/>
    </row>
    <row r="749">
      <c r="A749" s="30"/>
      <c r="B749" s="30"/>
      <c r="C749" s="30"/>
      <c r="D749" s="30"/>
      <c r="E749" s="30"/>
      <c r="F749" s="30"/>
      <c r="I749" s="25"/>
      <c r="T749" s="30"/>
      <c r="U749" s="30"/>
      <c r="V749" s="30"/>
      <c r="W749" s="30"/>
      <c r="X749" s="30"/>
    </row>
    <row r="750">
      <c r="A750" s="30"/>
      <c r="B750" s="30"/>
      <c r="C750" s="30"/>
      <c r="D750" s="30"/>
      <c r="E750" s="30"/>
      <c r="F750" s="30"/>
      <c r="I750" s="25"/>
      <c r="T750" s="30"/>
      <c r="U750" s="30"/>
      <c r="V750" s="30"/>
      <c r="W750" s="30"/>
      <c r="X750" s="30"/>
    </row>
    <row r="751">
      <c r="A751" s="30"/>
      <c r="B751" s="30"/>
      <c r="C751" s="30"/>
      <c r="D751" s="30"/>
      <c r="E751" s="30"/>
      <c r="F751" s="30"/>
      <c r="I751" s="25"/>
      <c r="T751" s="30"/>
      <c r="U751" s="30"/>
      <c r="V751" s="30"/>
      <c r="W751" s="30"/>
      <c r="X751" s="30"/>
    </row>
    <row r="752">
      <c r="A752" s="30"/>
      <c r="B752" s="30"/>
      <c r="C752" s="30"/>
      <c r="D752" s="30"/>
      <c r="E752" s="30"/>
      <c r="F752" s="30"/>
      <c r="I752" s="25"/>
      <c r="T752" s="30"/>
      <c r="U752" s="30"/>
      <c r="V752" s="30"/>
      <c r="W752" s="30"/>
      <c r="X752" s="30"/>
    </row>
    <row r="753">
      <c r="A753" s="30"/>
      <c r="B753" s="30"/>
      <c r="C753" s="30"/>
      <c r="D753" s="30"/>
      <c r="E753" s="30"/>
      <c r="F753" s="30"/>
      <c r="I753" s="25"/>
      <c r="T753" s="30"/>
      <c r="U753" s="30"/>
      <c r="V753" s="30"/>
      <c r="W753" s="30"/>
      <c r="X753" s="30"/>
    </row>
    <row r="754">
      <c r="A754" s="30"/>
      <c r="B754" s="30"/>
      <c r="C754" s="30"/>
      <c r="D754" s="30"/>
      <c r="E754" s="30"/>
      <c r="F754" s="30"/>
      <c r="I754" s="25"/>
      <c r="T754" s="30"/>
      <c r="U754" s="30"/>
      <c r="V754" s="30"/>
      <c r="W754" s="30"/>
      <c r="X754" s="30"/>
    </row>
    <row r="755">
      <c r="A755" s="30"/>
      <c r="B755" s="30"/>
      <c r="C755" s="30"/>
      <c r="D755" s="30"/>
      <c r="E755" s="30"/>
      <c r="F755" s="30"/>
      <c r="I755" s="25"/>
      <c r="T755" s="30"/>
      <c r="U755" s="30"/>
      <c r="V755" s="30"/>
      <c r="W755" s="30"/>
      <c r="X755" s="30"/>
    </row>
    <row r="756">
      <c r="A756" s="30"/>
      <c r="B756" s="30"/>
      <c r="C756" s="30"/>
      <c r="D756" s="30"/>
      <c r="E756" s="30"/>
      <c r="F756" s="30"/>
      <c r="I756" s="25"/>
      <c r="T756" s="30"/>
      <c r="U756" s="30"/>
      <c r="V756" s="30"/>
      <c r="W756" s="30"/>
      <c r="X756" s="30"/>
    </row>
    <row r="757">
      <c r="A757" s="30"/>
      <c r="B757" s="30"/>
      <c r="C757" s="30"/>
      <c r="D757" s="30"/>
      <c r="E757" s="30"/>
      <c r="F757" s="30"/>
      <c r="I757" s="25"/>
      <c r="T757" s="30"/>
      <c r="U757" s="30"/>
      <c r="V757" s="30"/>
      <c r="W757" s="30"/>
      <c r="X757" s="30"/>
    </row>
    <row r="758">
      <c r="A758" s="30"/>
      <c r="B758" s="30"/>
      <c r="C758" s="30"/>
      <c r="D758" s="30"/>
      <c r="E758" s="30"/>
      <c r="F758" s="30"/>
      <c r="I758" s="25"/>
      <c r="T758" s="30"/>
      <c r="U758" s="30"/>
      <c r="V758" s="30"/>
      <c r="W758" s="30"/>
      <c r="X758" s="30"/>
    </row>
    <row r="759">
      <c r="A759" s="30"/>
      <c r="B759" s="30"/>
      <c r="C759" s="30"/>
      <c r="D759" s="30"/>
      <c r="E759" s="30"/>
      <c r="F759" s="30"/>
      <c r="I759" s="25"/>
      <c r="T759" s="30"/>
      <c r="U759" s="30"/>
      <c r="V759" s="30"/>
      <c r="W759" s="30"/>
      <c r="X759" s="30"/>
    </row>
    <row r="760">
      <c r="A760" s="30"/>
      <c r="B760" s="30"/>
      <c r="C760" s="30"/>
      <c r="D760" s="30"/>
      <c r="E760" s="30"/>
      <c r="F760" s="30"/>
      <c r="I760" s="25"/>
      <c r="T760" s="30"/>
      <c r="U760" s="30"/>
      <c r="V760" s="30"/>
      <c r="W760" s="30"/>
      <c r="X760" s="30"/>
    </row>
    <row r="761">
      <c r="A761" s="30"/>
      <c r="B761" s="30"/>
      <c r="C761" s="30"/>
      <c r="D761" s="30"/>
      <c r="E761" s="30"/>
      <c r="F761" s="30"/>
      <c r="I761" s="25"/>
      <c r="T761" s="30"/>
      <c r="U761" s="30"/>
      <c r="V761" s="30"/>
      <c r="W761" s="30"/>
      <c r="X761" s="30"/>
    </row>
    <row r="762">
      <c r="A762" s="30"/>
      <c r="B762" s="30"/>
      <c r="C762" s="30"/>
      <c r="D762" s="30"/>
      <c r="E762" s="30"/>
      <c r="F762" s="30"/>
      <c r="I762" s="25"/>
      <c r="T762" s="30"/>
      <c r="U762" s="30"/>
      <c r="V762" s="30"/>
      <c r="W762" s="30"/>
      <c r="X762" s="30"/>
    </row>
    <row r="763">
      <c r="A763" s="30"/>
      <c r="B763" s="30"/>
      <c r="C763" s="30"/>
      <c r="D763" s="30"/>
      <c r="E763" s="30"/>
      <c r="F763" s="30"/>
      <c r="I763" s="25"/>
      <c r="T763" s="30"/>
      <c r="U763" s="30"/>
      <c r="V763" s="30"/>
      <c r="W763" s="30"/>
      <c r="X763" s="30"/>
    </row>
    <row r="764">
      <c r="A764" s="30"/>
      <c r="B764" s="30"/>
      <c r="C764" s="30"/>
      <c r="D764" s="30"/>
      <c r="E764" s="30"/>
      <c r="F764" s="30"/>
      <c r="I764" s="25"/>
      <c r="T764" s="30"/>
      <c r="U764" s="30"/>
      <c r="V764" s="30"/>
      <c r="W764" s="30"/>
      <c r="X764" s="30"/>
    </row>
    <row r="765">
      <c r="A765" s="30"/>
      <c r="B765" s="30"/>
      <c r="C765" s="30"/>
      <c r="D765" s="30"/>
      <c r="E765" s="30"/>
      <c r="F765" s="30"/>
      <c r="I765" s="25"/>
      <c r="T765" s="30"/>
      <c r="U765" s="30"/>
      <c r="V765" s="30"/>
      <c r="W765" s="30"/>
      <c r="X765" s="30"/>
    </row>
    <row r="766">
      <c r="A766" s="30"/>
      <c r="B766" s="30"/>
      <c r="C766" s="30"/>
      <c r="D766" s="30"/>
      <c r="E766" s="30"/>
      <c r="F766" s="30"/>
      <c r="I766" s="25"/>
      <c r="T766" s="30"/>
      <c r="U766" s="30"/>
      <c r="V766" s="30"/>
      <c r="W766" s="30"/>
      <c r="X766" s="30"/>
    </row>
    <row r="767">
      <c r="A767" s="30"/>
      <c r="B767" s="30"/>
      <c r="C767" s="30"/>
      <c r="D767" s="30"/>
      <c r="E767" s="30"/>
      <c r="F767" s="30"/>
      <c r="I767" s="25"/>
      <c r="T767" s="30"/>
      <c r="U767" s="30"/>
      <c r="V767" s="30"/>
      <c r="W767" s="30"/>
      <c r="X767" s="30"/>
    </row>
    <row r="768">
      <c r="A768" s="30"/>
      <c r="B768" s="30"/>
      <c r="C768" s="30"/>
      <c r="D768" s="30"/>
      <c r="E768" s="30"/>
      <c r="F768" s="30"/>
      <c r="I768" s="25"/>
      <c r="T768" s="30"/>
      <c r="U768" s="30"/>
      <c r="V768" s="30"/>
      <c r="W768" s="30"/>
      <c r="X768" s="30"/>
    </row>
    <row r="769">
      <c r="A769" s="30"/>
      <c r="B769" s="30"/>
      <c r="C769" s="30"/>
      <c r="D769" s="30"/>
      <c r="E769" s="30"/>
      <c r="F769" s="30"/>
      <c r="I769" s="25"/>
      <c r="T769" s="30"/>
      <c r="U769" s="30"/>
      <c r="V769" s="30"/>
      <c r="W769" s="30"/>
      <c r="X769" s="30"/>
    </row>
    <row r="770">
      <c r="A770" s="30"/>
      <c r="B770" s="30"/>
      <c r="C770" s="30"/>
      <c r="D770" s="30"/>
      <c r="E770" s="30"/>
      <c r="F770" s="30"/>
      <c r="I770" s="25"/>
      <c r="T770" s="30"/>
      <c r="U770" s="30"/>
      <c r="V770" s="30"/>
      <c r="W770" s="30"/>
      <c r="X770" s="30"/>
    </row>
    <row r="771">
      <c r="A771" s="30"/>
      <c r="B771" s="30"/>
      <c r="C771" s="30"/>
      <c r="D771" s="30"/>
      <c r="E771" s="30"/>
      <c r="F771" s="30"/>
      <c r="I771" s="25"/>
      <c r="T771" s="30"/>
      <c r="U771" s="30"/>
      <c r="V771" s="30"/>
      <c r="W771" s="30"/>
      <c r="X771" s="30"/>
    </row>
    <row r="772">
      <c r="A772" s="30"/>
      <c r="B772" s="30"/>
      <c r="C772" s="30"/>
      <c r="D772" s="30"/>
      <c r="E772" s="30"/>
      <c r="F772" s="30"/>
      <c r="I772" s="25"/>
      <c r="T772" s="30"/>
      <c r="U772" s="30"/>
      <c r="V772" s="30"/>
      <c r="W772" s="30"/>
      <c r="X772" s="30"/>
    </row>
    <row r="773">
      <c r="A773" s="30"/>
      <c r="B773" s="30"/>
      <c r="C773" s="30"/>
      <c r="D773" s="30"/>
      <c r="E773" s="30"/>
      <c r="F773" s="30"/>
      <c r="I773" s="25"/>
      <c r="T773" s="30"/>
      <c r="U773" s="30"/>
      <c r="V773" s="30"/>
      <c r="W773" s="30"/>
      <c r="X773" s="30"/>
    </row>
    <row r="774">
      <c r="A774" s="30"/>
      <c r="B774" s="30"/>
      <c r="C774" s="30"/>
      <c r="D774" s="30"/>
      <c r="E774" s="30"/>
      <c r="F774" s="30"/>
      <c r="I774" s="25"/>
      <c r="T774" s="30"/>
      <c r="U774" s="30"/>
      <c r="V774" s="30"/>
      <c r="W774" s="30"/>
      <c r="X774" s="30"/>
    </row>
    <row r="775">
      <c r="A775" s="30"/>
      <c r="B775" s="30"/>
      <c r="C775" s="30"/>
      <c r="D775" s="30"/>
      <c r="E775" s="30"/>
      <c r="F775" s="30"/>
      <c r="I775" s="25"/>
      <c r="T775" s="30"/>
      <c r="U775" s="30"/>
      <c r="V775" s="30"/>
      <c r="W775" s="30"/>
      <c r="X775" s="30"/>
    </row>
    <row r="776">
      <c r="A776" s="30"/>
      <c r="B776" s="30"/>
      <c r="C776" s="30"/>
      <c r="D776" s="30"/>
      <c r="E776" s="30"/>
      <c r="F776" s="30"/>
      <c r="I776" s="25"/>
      <c r="T776" s="30"/>
      <c r="U776" s="30"/>
      <c r="V776" s="30"/>
      <c r="W776" s="30"/>
      <c r="X776" s="30"/>
    </row>
    <row r="777">
      <c r="A777" s="30"/>
      <c r="B777" s="30"/>
      <c r="C777" s="30"/>
      <c r="D777" s="30"/>
      <c r="E777" s="30"/>
      <c r="F777" s="30"/>
      <c r="I777" s="25"/>
      <c r="T777" s="30"/>
      <c r="U777" s="30"/>
      <c r="V777" s="30"/>
      <c r="W777" s="30"/>
      <c r="X777" s="30"/>
    </row>
    <row r="778">
      <c r="A778" s="30"/>
      <c r="B778" s="30"/>
      <c r="C778" s="30"/>
      <c r="D778" s="30"/>
      <c r="E778" s="30"/>
      <c r="F778" s="30"/>
      <c r="I778" s="25"/>
      <c r="T778" s="30"/>
      <c r="U778" s="30"/>
      <c r="V778" s="30"/>
      <c r="W778" s="30"/>
      <c r="X778" s="30"/>
    </row>
    <row r="779">
      <c r="A779" s="30"/>
      <c r="B779" s="30"/>
      <c r="C779" s="30"/>
      <c r="D779" s="30"/>
      <c r="E779" s="30"/>
      <c r="F779" s="30"/>
      <c r="I779" s="25"/>
      <c r="T779" s="30"/>
      <c r="U779" s="30"/>
      <c r="V779" s="30"/>
      <c r="W779" s="30"/>
      <c r="X779" s="30"/>
    </row>
    <row r="780">
      <c r="A780" s="30"/>
      <c r="B780" s="30"/>
      <c r="C780" s="30"/>
      <c r="D780" s="30"/>
      <c r="E780" s="30"/>
      <c r="F780" s="30"/>
      <c r="I780" s="25"/>
      <c r="T780" s="30"/>
      <c r="U780" s="30"/>
      <c r="V780" s="30"/>
      <c r="W780" s="30"/>
      <c r="X780" s="30"/>
    </row>
    <row r="781">
      <c r="A781" s="30"/>
      <c r="B781" s="30"/>
      <c r="C781" s="30"/>
      <c r="D781" s="30"/>
      <c r="E781" s="30"/>
      <c r="F781" s="30"/>
      <c r="I781" s="25"/>
      <c r="T781" s="30"/>
      <c r="U781" s="30"/>
      <c r="V781" s="30"/>
      <c r="W781" s="30"/>
      <c r="X781" s="30"/>
    </row>
    <row r="782">
      <c r="A782" s="30"/>
      <c r="B782" s="30"/>
      <c r="C782" s="30"/>
      <c r="D782" s="30"/>
      <c r="E782" s="30"/>
      <c r="F782" s="30"/>
      <c r="I782" s="25"/>
      <c r="T782" s="30"/>
      <c r="U782" s="30"/>
      <c r="V782" s="30"/>
      <c r="W782" s="30"/>
      <c r="X782" s="30"/>
    </row>
    <row r="783">
      <c r="A783" s="30"/>
      <c r="B783" s="30"/>
      <c r="C783" s="30"/>
      <c r="D783" s="30"/>
      <c r="E783" s="30"/>
      <c r="F783" s="30"/>
      <c r="I783" s="25"/>
      <c r="T783" s="30"/>
      <c r="U783" s="30"/>
      <c r="V783" s="30"/>
      <c r="W783" s="30"/>
      <c r="X783" s="30"/>
    </row>
    <row r="784">
      <c r="A784" s="30"/>
      <c r="B784" s="30"/>
      <c r="C784" s="30"/>
      <c r="D784" s="30"/>
      <c r="E784" s="30"/>
      <c r="F784" s="30"/>
      <c r="I784" s="25"/>
      <c r="T784" s="30"/>
      <c r="U784" s="30"/>
      <c r="V784" s="30"/>
      <c r="W784" s="30"/>
      <c r="X784" s="30"/>
    </row>
    <row r="785">
      <c r="A785" s="30"/>
      <c r="B785" s="30"/>
      <c r="C785" s="30"/>
      <c r="D785" s="30"/>
      <c r="E785" s="30"/>
      <c r="F785" s="30"/>
      <c r="I785" s="25"/>
      <c r="T785" s="30"/>
      <c r="U785" s="30"/>
      <c r="V785" s="30"/>
      <c r="W785" s="30"/>
      <c r="X785" s="30"/>
    </row>
    <row r="786">
      <c r="A786" s="30"/>
      <c r="B786" s="30"/>
      <c r="C786" s="30"/>
      <c r="D786" s="30"/>
      <c r="E786" s="30"/>
      <c r="F786" s="30"/>
      <c r="I786" s="25"/>
      <c r="T786" s="30"/>
      <c r="U786" s="30"/>
      <c r="V786" s="30"/>
      <c r="W786" s="30"/>
      <c r="X786" s="30"/>
    </row>
    <row r="787">
      <c r="A787" s="30"/>
      <c r="B787" s="30"/>
      <c r="C787" s="30"/>
      <c r="D787" s="30"/>
      <c r="E787" s="30"/>
      <c r="F787" s="30"/>
      <c r="I787" s="25"/>
      <c r="T787" s="30"/>
      <c r="U787" s="30"/>
      <c r="V787" s="30"/>
      <c r="W787" s="30"/>
      <c r="X787" s="30"/>
    </row>
    <row r="788">
      <c r="A788" s="30"/>
      <c r="B788" s="30"/>
      <c r="C788" s="30"/>
      <c r="D788" s="30"/>
      <c r="E788" s="30"/>
      <c r="F788" s="30"/>
      <c r="I788" s="25"/>
      <c r="T788" s="30"/>
      <c r="U788" s="30"/>
      <c r="V788" s="30"/>
      <c r="W788" s="30"/>
      <c r="X788" s="30"/>
    </row>
    <row r="789">
      <c r="A789" s="30"/>
      <c r="B789" s="30"/>
      <c r="C789" s="30"/>
      <c r="D789" s="30"/>
      <c r="E789" s="30"/>
      <c r="F789" s="30"/>
      <c r="I789" s="25"/>
      <c r="T789" s="30"/>
      <c r="U789" s="30"/>
      <c r="V789" s="30"/>
      <c r="W789" s="30"/>
      <c r="X789" s="30"/>
    </row>
    <row r="790">
      <c r="A790" s="30"/>
      <c r="B790" s="30"/>
      <c r="C790" s="30"/>
      <c r="D790" s="30"/>
      <c r="E790" s="30"/>
      <c r="F790" s="30"/>
      <c r="I790" s="25"/>
      <c r="T790" s="30"/>
      <c r="U790" s="30"/>
      <c r="V790" s="30"/>
      <c r="W790" s="30"/>
      <c r="X790" s="30"/>
    </row>
    <row r="791">
      <c r="A791" s="30"/>
      <c r="B791" s="30"/>
      <c r="C791" s="30"/>
      <c r="D791" s="30"/>
      <c r="E791" s="30"/>
      <c r="F791" s="30"/>
      <c r="I791" s="25"/>
      <c r="T791" s="30"/>
      <c r="U791" s="30"/>
      <c r="V791" s="30"/>
      <c r="W791" s="30"/>
      <c r="X791" s="30"/>
    </row>
    <row r="792">
      <c r="A792" s="30"/>
      <c r="B792" s="30"/>
      <c r="C792" s="30"/>
      <c r="D792" s="30"/>
      <c r="E792" s="30"/>
      <c r="F792" s="30"/>
      <c r="I792" s="25"/>
      <c r="T792" s="30"/>
      <c r="U792" s="30"/>
      <c r="V792" s="30"/>
      <c r="W792" s="30"/>
      <c r="X792" s="30"/>
    </row>
    <row r="793">
      <c r="A793" s="30"/>
      <c r="B793" s="30"/>
      <c r="C793" s="30"/>
      <c r="D793" s="30"/>
      <c r="E793" s="30"/>
      <c r="F793" s="30"/>
      <c r="I793" s="25"/>
      <c r="T793" s="30"/>
      <c r="U793" s="30"/>
      <c r="V793" s="30"/>
      <c r="W793" s="30"/>
      <c r="X793" s="30"/>
    </row>
    <row r="794">
      <c r="A794" s="30"/>
      <c r="B794" s="30"/>
      <c r="C794" s="30"/>
      <c r="D794" s="30"/>
      <c r="E794" s="30"/>
      <c r="F794" s="30"/>
      <c r="I794" s="25"/>
      <c r="T794" s="30"/>
      <c r="U794" s="30"/>
      <c r="V794" s="30"/>
      <c r="W794" s="30"/>
      <c r="X794" s="30"/>
    </row>
    <row r="795">
      <c r="A795" s="30"/>
      <c r="B795" s="30"/>
      <c r="C795" s="30"/>
      <c r="D795" s="30"/>
      <c r="E795" s="30"/>
      <c r="F795" s="30"/>
      <c r="I795" s="25"/>
      <c r="T795" s="30"/>
      <c r="U795" s="30"/>
      <c r="V795" s="30"/>
      <c r="W795" s="30"/>
      <c r="X795" s="30"/>
    </row>
    <row r="796">
      <c r="A796" s="30"/>
      <c r="B796" s="30"/>
      <c r="C796" s="30"/>
      <c r="D796" s="30"/>
      <c r="E796" s="30"/>
      <c r="F796" s="30"/>
      <c r="I796" s="25"/>
      <c r="T796" s="30"/>
      <c r="U796" s="30"/>
      <c r="V796" s="30"/>
      <c r="W796" s="30"/>
      <c r="X796" s="30"/>
    </row>
    <row r="797">
      <c r="A797" s="30"/>
      <c r="B797" s="30"/>
      <c r="C797" s="30"/>
      <c r="D797" s="30"/>
      <c r="E797" s="30"/>
      <c r="F797" s="30"/>
      <c r="I797" s="25"/>
      <c r="T797" s="30"/>
      <c r="U797" s="30"/>
      <c r="V797" s="30"/>
      <c r="W797" s="30"/>
      <c r="X797" s="30"/>
    </row>
    <row r="798">
      <c r="A798" s="30"/>
      <c r="B798" s="30"/>
      <c r="C798" s="30"/>
      <c r="D798" s="30"/>
      <c r="E798" s="30"/>
      <c r="F798" s="30"/>
      <c r="I798" s="25"/>
      <c r="T798" s="30"/>
      <c r="U798" s="30"/>
      <c r="V798" s="30"/>
      <c r="W798" s="30"/>
      <c r="X798" s="30"/>
    </row>
    <row r="799">
      <c r="A799" s="30"/>
      <c r="B799" s="30"/>
      <c r="C799" s="30"/>
      <c r="D799" s="30"/>
      <c r="E799" s="30"/>
      <c r="F799" s="30"/>
      <c r="I799" s="25"/>
      <c r="T799" s="30"/>
      <c r="U799" s="30"/>
      <c r="V799" s="30"/>
      <c r="W799" s="30"/>
      <c r="X799" s="30"/>
    </row>
    <row r="800">
      <c r="A800" s="30"/>
      <c r="B800" s="30"/>
      <c r="C800" s="30"/>
      <c r="D800" s="30"/>
      <c r="E800" s="30"/>
      <c r="F800" s="30"/>
      <c r="I800" s="25"/>
      <c r="T800" s="30"/>
      <c r="U800" s="30"/>
      <c r="V800" s="30"/>
      <c r="W800" s="30"/>
      <c r="X800" s="30"/>
    </row>
    <row r="801">
      <c r="A801" s="30"/>
      <c r="B801" s="30"/>
      <c r="C801" s="30"/>
      <c r="D801" s="30"/>
      <c r="E801" s="30"/>
      <c r="F801" s="30"/>
      <c r="I801" s="25"/>
      <c r="T801" s="30"/>
      <c r="U801" s="30"/>
      <c r="V801" s="30"/>
      <c r="W801" s="30"/>
      <c r="X801" s="30"/>
    </row>
    <row r="802">
      <c r="A802" s="30"/>
      <c r="B802" s="30"/>
      <c r="C802" s="30"/>
      <c r="D802" s="30"/>
      <c r="E802" s="30"/>
      <c r="F802" s="30"/>
      <c r="I802" s="25"/>
      <c r="T802" s="30"/>
      <c r="U802" s="30"/>
      <c r="V802" s="30"/>
      <c r="W802" s="30"/>
      <c r="X802" s="30"/>
    </row>
    <row r="803">
      <c r="A803" s="30"/>
      <c r="B803" s="30"/>
      <c r="C803" s="30"/>
      <c r="D803" s="30"/>
      <c r="E803" s="30"/>
      <c r="F803" s="30"/>
      <c r="I803" s="25"/>
      <c r="T803" s="30"/>
      <c r="U803" s="30"/>
      <c r="V803" s="30"/>
      <c r="W803" s="30"/>
      <c r="X803" s="30"/>
    </row>
    <row r="804">
      <c r="A804" s="30"/>
      <c r="B804" s="30"/>
      <c r="C804" s="30"/>
      <c r="D804" s="30"/>
      <c r="E804" s="30"/>
      <c r="F804" s="30"/>
      <c r="I804" s="25"/>
      <c r="T804" s="30"/>
      <c r="U804" s="30"/>
      <c r="V804" s="30"/>
      <c r="W804" s="30"/>
      <c r="X804" s="30"/>
    </row>
    <row r="805">
      <c r="A805" s="30"/>
      <c r="B805" s="30"/>
      <c r="C805" s="30"/>
      <c r="D805" s="30"/>
      <c r="E805" s="30"/>
      <c r="F805" s="30"/>
      <c r="I805" s="25"/>
      <c r="T805" s="30"/>
      <c r="U805" s="30"/>
      <c r="V805" s="30"/>
      <c r="W805" s="30"/>
      <c r="X805" s="30"/>
    </row>
    <row r="806">
      <c r="A806" s="30"/>
      <c r="B806" s="30"/>
      <c r="C806" s="30"/>
      <c r="D806" s="30"/>
      <c r="E806" s="30"/>
      <c r="F806" s="30"/>
      <c r="I806" s="25"/>
      <c r="T806" s="30"/>
      <c r="U806" s="30"/>
      <c r="V806" s="30"/>
      <c r="W806" s="30"/>
      <c r="X806" s="30"/>
    </row>
    <row r="807">
      <c r="A807" s="30"/>
      <c r="B807" s="30"/>
      <c r="C807" s="30"/>
      <c r="D807" s="30"/>
      <c r="E807" s="30"/>
      <c r="F807" s="30"/>
      <c r="I807" s="25"/>
      <c r="T807" s="30"/>
      <c r="U807" s="30"/>
      <c r="V807" s="30"/>
      <c r="W807" s="30"/>
      <c r="X807" s="30"/>
    </row>
    <row r="808">
      <c r="A808" s="30"/>
      <c r="B808" s="30"/>
      <c r="C808" s="30"/>
      <c r="D808" s="30"/>
      <c r="E808" s="30"/>
      <c r="F808" s="30"/>
      <c r="I808" s="25"/>
      <c r="T808" s="30"/>
      <c r="U808" s="30"/>
      <c r="V808" s="30"/>
      <c r="W808" s="30"/>
      <c r="X808" s="30"/>
    </row>
    <row r="809">
      <c r="A809" s="30"/>
      <c r="B809" s="30"/>
      <c r="C809" s="30"/>
      <c r="D809" s="30"/>
      <c r="E809" s="30"/>
      <c r="F809" s="30"/>
      <c r="I809" s="25"/>
      <c r="T809" s="30"/>
      <c r="U809" s="30"/>
      <c r="V809" s="30"/>
      <c r="W809" s="30"/>
      <c r="X809" s="30"/>
    </row>
    <row r="810">
      <c r="A810" s="30"/>
      <c r="B810" s="30"/>
      <c r="C810" s="30"/>
      <c r="D810" s="30"/>
      <c r="E810" s="30"/>
      <c r="F810" s="30"/>
      <c r="I810" s="25"/>
      <c r="T810" s="30"/>
      <c r="U810" s="30"/>
      <c r="V810" s="30"/>
      <c r="W810" s="30"/>
      <c r="X810" s="30"/>
    </row>
    <row r="811">
      <c r="A811" s="30"/>
      <c r="B811" s="30"/>
      <c r="C811" s="30"/>
      <c r="D811" s="30"/>
      <c r="E811" s="30"/>
      <c r="F811" s="30"/>
      <c r="I811" s="25"/>
      <c r="T811" s="30"/>
      <c r="U811" s="30"/>
      <c r="V811" s="30"/>
      <c r="W811" s="30"/>
      <c r="X811" s="30"/>
    </row>
    <row r="812">
      <c r="A812" s="30"/>
      <c r="B812" s="30"/>
      <c r="C812" s="30"/>
      <c r="D812" s="30"/>
      <c r="E812" s="30"/>
      <c r="F812" s="30"/>
      <c r="I812" s="25"/>
      <c r="T812" s="30"/>
      <c r="U812" s="30"/>
      <c r="V812" s="30"/>
      <c r="W812" s="30"/>
      <c r="X812" s="30"/>
    </row>
    <row r="813">
      <c r="A813" s="30"/>
      <c r="B813" s="30"/>
      <c r="C813" s="30"/>
      <c r="D813" s="30"/>
      <c r="E813" s="30"/>
      <c r="F813" s="30"/>
      <c r="I813" s="25"/>
      <c r="T813" s="30"/>
      <c r="U813" s="30"/>
      <c r="V813" s="30"/>
      <c r="W813" s="30"/>
      <c r="X813" s="30"/>
    </row>
    <row r="814">
      <c r="A814" s="30"/>
      <c r="B814" s="30"/>
      <c r="C814" s="30"/>
      <c r="D814" s="30"/>
      <c r="E814" s="30"/>
      <c r="F814" s="30"/>
      <c r="I814" s="25"/>
      <c r="T814" s="30"/>
      <c r="U814" s="30"/>
      <c r="V814" s="30"/>
      <c r="W814" s="30"/>
      <c r="X814" s="30"/>
    </row>
    <row r="815">
      <c r="A815" s="30"/>
      <c r="B815" s="30"/>
      <c r="C815" s="30"/>
      <c r="D815" s="30"/>
      <c r="E815" s="30"/>
      <c r="F815" s="30"/>
      <c r="I815" s="25"/>
      <c r="T815" s="30"/>
      <c r="U815" s="30"/>
      <c r="V815" s="30"/>
      <c r="W815" s="30"/>
      <c r="X815" s="30"/>
    </row>
    <row r="816">
      <c r="A816" s="30"/>
      <c r="B816" s="30"/>
      <c r="C816" s="30"/>
      <c r="D816" s="30"/>
      <c r="E816" s="30"/>
      <c r="F816" s="30"/>
      <c r="I816" s="25"/>
      <c r="T816" s="30"/>
      <c r="U816" s="30"/>
      <c r="V816" s="30"/>
      <c r="W816" s="30"/>
      <c r="X816" s="30"/>
    </row>
    <row r="817">
      <c r="A817" s="30"/>
      <c r="B817" s="30"/>
      <c r="C817" s="30"/>
      <c r="D817" s="30"/>
      <c r="E817" s="30"/>
      <c r="F817" s="30"/>
      <c r="I817" s="25"/>
      <c r="T817" s="30"/>
      <c r="U817" s="30"/>
      <c r="V817" s="30"/>
      <c r="W817" s="30"/>
      <c r="X817" s="30"/>
    </row>
    <row r="818">
      <c r="A818" s="30"/>
      <c r="B818" s="30"/>
      <c r="C818" s="30"/>
      <c r="D818" s="30"/>
      <c r="E818" s="30"/>
      <c r="F818" s="30"/>
      <c r="I818" s="25"/>
      <c r="T818" s="30"/>
      <c r="U818" s="30"/>
      <c r="V818" s="30"/>
      <c r="W818" s="30"/>
      <c r="X818" s="30"/>
    </row>
    <row r="819">
      <c r="A819" s="30"/>
      <c r="B819" s="30"/>
      <c r="C819" s="30"/>
      <c r="D819" s="30"/>
      <c r="E819" s="30"/>
      <c r="F819" s="30"/>
      <c r="I819" s="25"/>
      <c r="T819" s="30"/>
      <c r="U819" s="30"/>
      <c r="V819" s="30"/>
      <c r="W819" s="30"/>
      <c r="X819" s="30"/>
    </row>
    <row r="820">
      <c r="A820" s="30"/>
      <c r="B820" s="30"/>
      <c r="C820" s="30"/>
      <c r="D820" s="30"/>
      <c r="E820" s="30"/>
      <c r="F820" s="30"/>
      <c r="I820" s="25"/>
      <c r="T820" s="30"/>
      <c r="U820" s="30"/>
      <c r="V820" s="30"/>
      <c r="W820" s="30"/>
      <c r="X820" s="30"/>
    </row>
    <row r="821">
      <c r="A821" s="30"/>
      <c r="B821" s="30"/>
      <c r="C821" s="30"/>
      <c r="D821" s="30"/>
      <c r="E821" s="30"/>
      <c r="F821" s="30"/>
      <c r="I821" s="25"/>
      <c r="T821" s="30"/>
      <c r="U821" s="30"/>
      <c r="V821" s="30"/>
      <c r="W821" s="30"/>
      <c r="X821" s="30"/>
    </row>
    <row r="822">
      <c r="A822" s="30"/>
      <c r="B822" s="30"/>
      <c r="C822" s="30"/>
      <c r="D822" s="30"/>
      <c r="E822" s="30"/>
      <c r="F822" s="30"/>
      <c r="I822" s="25"/>
      <c r="T822" s="30"/>
      <c r="U822" s="30"/>
      <c r="V822" s="30"/>
      <c r="W822" s="30"/>
      <c r="X822" s="30"/>
    </row>
    <row r="823">
      <c r="A823" s="30"/>
      <c r="B823" s="30"/>
      <c r="C823" s="30"/>
      <c r="D823" s="30"/>
      <c r="E823" s="30"/>
      <c r="F823" s="30"/>
      <c r="I823" s="25"/>
      <c r="T823" s="30"/>
      <c r="U823" s="30"/>
      <c r="V823" s="30"/>
      <c r="W823" s="30"/>
      <c r="X823" s="30"/>
    </row>
    <row r="824">
      <c r="A824" s="30"/>
      <c r="B824" s="30"/>
      <c r="C824" s="30"/>
      <c r="D824" s="30"/>
      <c r="E824" s="30"/>
      <c r="F824" s="30"/>
      <c r="I824" s="25"/>
      <c r="T824" s="30"/>
      <c r="U824" s="30"/>
      <c r="V824" s="30"/>
      <c r="W824" s="30"/>
      <c r="X824" s="30"/>
    </row>
    <row r="825">
      <c r="A825" s="30"/>
      <c r="B825" s="30"/>
      <c r="C825" s="30"/>
      <c r="D825" s="30"/>
      <c r="E825" s="30"/>
      <c r="F825" s="30"/>
      <c r="I825" s="25"/>
      <c r="T825" s="30"/>
      <c r="U825" s="30"/>
      <c r="V825" s="30"/>
      <c r="W825" s="30"/>
      <c r="X825" s="30"/>
    </row>
    <row r="826">
      <c r="A826" s="30"/>
      <c r="B826" s="30"/>
      <c r="C826" s="30"/>
      <c r="D826" s="30"/>
      <c r="E826" s="30"/>
      <c r="F826" s="30"/>
      <c r="I826" s="25"/>
      <c r="T826" s="30"/>
      <c r="U826" s="30"/>
      <c r="V826" s="30"/>
      <c r="W826" s="30"/>
      <c r="X826" s="30"/>
    </row>
    <row r="827">
      <c r="A827" s="30"/>
      <c r="B827" s="30"/>
      <c r="C827" s="30"/>
      <c r="D827" s="30"/>
      <c r="E827" s="30"/>
      <c r="F827" s="30"/>
      <c r="I827" s="25"/>
      <c r="T827" s="30"/>
      <c r="U827" s="30"/>
      <c r="V827" s="30"/>
      <c r="W827" s="30"/>
      <c r="X827" s="30"/>
    </row>
    <row r="828">
      <c r="A828" s="30"/>
      <c r="B828" s="30"/>
      <c r="C828" s="30"/>
      <c r="D828" s="30"/>
      <c r="E828" s="30"/>
      <c r="F828" s="30"/>
      <c r="I828" s="25"/>
      <c r="T828" s="30"/>
      <c r="U828" s="30"/>
      <c r="V828" s="30"/>
      <c r="W828" s="30"/>
      <c r="X828" s="30"/>
    </row>
    <row r="829">
      <c r="A829" s="30"/>
      <c r="B829" s="30"/>
      <c r="C829" s="30"/>
      <c r="D829" s="30"/>
      <c r="E829" s="30"/>
      <c r="F829" s="30"/>
      <c r="I829" s="25"/>
      <c r="T829" s="30"/>
      <c r="U829" s="30"/>
      <c r="V829" s="30"/>
      <c r="W829" s="30"/>
      <c r="X829" s="30"/>
    </row>
    <row r="830">
      <c r="A830" s="30"/>
      <c r="B830" s="30"/>
      <c r="C830" s="30"/>
      <c r="D830" s="30"/>
      <c r="E830" s="30"/>
      <c r="F830" s="30"/>
      <c r="I830" s="25"/>
      <c r="T830" s="30"/>
      <c r="U830" s="30"/>
      <c r="V830" s="30"/>
      <c r="W830" s="30"/>
      <c r="X830" s="30"/>
    </row>
    <row r="831">
      <c r="A831" s="30"/>
      <c r="B831" s="30"/>
      <c r="C831" s="30"/>
      <c r="D831" s="30"/>
      <c r="E831" s="30"/>
      <c r="F831" s="30"/>
      <c r="I831" s="25"/>
      <c r="T831" s="30"/>
      <c r="U831" s="30"/>
      <c r="V831" s="30"/>
      <c r="W831" s="30"/>
      <c r="X831" s="30"/>
    </row>
    <row r="832">
      <c r="A832" s="30"/>
      <c r="B832" s="30"/>
      <c r="C832" s="30"/>
      <c r="D832" s="30"/>
      <c r="E832" s="30"/>
      <c r="F832" s="30"/>
      <c r="I832" s="25"/>
      <c r="T832" s="30"/>
      <c r="U832" s="30"/>
      <c r="V832" s="30"/>
      <c r="W832" s="30"/>
      <c r="X832" s="30"/>
    </row>
    <row r="833">
      <c r="A833" s="30"/>
      <c r="B833" s="30"/>
      <c r="C833" s="30"/>
      <c r="D833" s="30"/>
      <c r="E833" s="30"/>
      <c r="F833" s="30"/>
      <c r="I833" s="25"/>
      <c r="T833" s="30"/>
      <c r="U833" s="30"/>
      <c r="V833" s="30"/>
      <c r="W833" s="30"/>
      <c r="X833" s="30"/>
    </row>
    <row r="834">
      <c r="A834" s="30"/>
      <c r="B834" s="30"/>
      <c r="C834" s="30"/>
      <c r="D834" s="30"/>
      <c r="E834" s="30"/>
      <c r="F834" s="30"/>
      <c r="I834" s="25"/>
      <c r="T834" s="30"/>
      <c r="U834" s="30"/>
      <c r="V834" s="30"/>
      <c r="W834" s="30"/>
      <c r="X834" s="30"/>
    </row>
    <row r="835">
      <c r="A835" s="30"/>
      <c r="B835" s="30"/>
      <c r="C835" s="30"/>
      <c r="D835" s="30"/>
      <c r="E835" s="30"/>
      <c r="F835" s="30"/>
      <c r="I835" s="25"/>
      <c r="T835" s="30"/>
      <c r="U835" s="30"/>
      <c r="V835" s="30"/>
      <c r="W835" s="30"/>
      <c r="X835" s="30"/>
    </row>
    <row r="836">
      <c r="A836" s="30"/>
      <c r="B836" s="30"/>
      <c r="C836" s="30"/>
      <c r="D836" s="30"/>
      <c r="E836" s="30"/>
      <c r="F836" s="30"/>
      <c r="I836" s="25"/>
      <c r="T836" s="30"/>
      <c r="U836" s="30"/>
      <c r="V836" s="30"/>
      <c r="W836" s="30"/>
      <c r="X836" s="30"/>
    </row>
    <row r="837">
      <c r="A837" s="30"/>
      <c r="B837" s="30"/>
      <c r="C837" s="30"/>
      <c r="D837" s="30"/>
      <c r="E837" s="30"/>
      <c r="F837" s="30"/>
      <c r="I837" s="25"/>
      <c r="T837" s="30"/>
      <c r="U837" s="30"/>
      <c r="V837" s="30"/>
      <c r="W837" s="30"/>
      <c r="X837" s="30"/>
    </row>
    <row r="838">
      <c r="A838" s="30"/>
      <c r="B838" s="30"/>
      <c r="C838" s="30"/>
      <c r="D838" s="30"/>
      <c r="E838" s="30"/>
      <c r="F838" s="30"/>
      <c r="I838" s="25"/>
      <c r="T838" s="30"/>
      <c r="U838" s="30"/>
      <c r="V838" s="30"/>
      <c r="W838" s="30"/>
      <c r="X838" s="30"/>
    </row>
    <row r="839">
      <c r="A839" s="30"/>
      <c r="B839" s="30"/>
      <c r="C839" s="30"/>
      <c r="D839" s="30"/>
      <c r="E839" s="30"/>
      <c r="F839" s="30"/>
      <c r="I839" s="25"/>
      <c r="T839" s="30"/>
      <c r="U839" s="30"/>
      <c r="V839" s="30"/>
      <c r="W839" s="30"/>
      <c r="X839" s="30"/>
    </row>
    <row r="840">
      <c r="A840" s="30"/>
      <c r="B840" s="30"/>
      <c r="C840" s="30"/>
      <c r="D840" s="30"/>
      <c r="E840" s="30"/>
      <c r="F840" s="30"/>
      <c r="I840" s="25"/>
      <c r="T840" s="30"/>
      <c r="U840" s="30"/>
      <c r="V840" s="30"/>
      <c r="W840" s="30"/>
      <c r="X840" s="30"/>
    </row>
    <row r="841">
      <c r="A841" s="30"/>
      <c r="B841" s="30"/>
      <c r="C841" s="30"/>
      <c r="D841" s="30"/>
      <c r="E841" s="30"/>
      <c r="F841" s="30"/>
      <c r="I841" s="25"/>
      <c r="T841" s="30"/>
      <c r="U841" s="30"/>
      <c r="V841" s="30"/>
      <c r="W841" s="30"/>
      <c r="X841" s="30"/>
    </row>
    <row r="842">
      <c r="A842" s="30"/>
      <c r="B842" s="30"/>
      <c r="C842" s="30"/>
      <c r="D842" s="30"/>
      <c r="E842" s="30"/>
      <c r="F842" s="30"/>
      <c r="I842" s="25"/>
      <c r="T842" s="30"/>
      <c r="U842" s="30"/>
      <c r="V842" s="30"/>
      <c r="W842" s="30"/>
      <c r="X842" s="30"/>
    </row>
    <row r="843">
      <c r="A843" s="30"/>
      <c r="B843" s="30"/>
      <c r="C843" s="30"/>
      <c r="D843" s="30"/>
      <c r="E843" s="30"/>
      <c r="F843" s="30"/>
      <c r="I843" s="25"/>
      <c r="T843" s="30"/>
      <c r="U843" s="30"/>
      <c r="V843" s="30"/>
      <c r="W843" s="30"/>
      <c r="X843" s="30"/>
    </row>
    <row r="844">
      <c r="A844" s="30"/>
      <c r="B844" s="30"/>
      <c r="C844" s="30"/>
      <c r="D844" s="30"/>
      <c r="E844" s="30"/>
      <c r="F844" s="30"/>
      <c r="I844" s="25"/>
      <c r="T844" s="30"/>
      <c r="U844" s="30"/>
      <c r="V844" s="30"/>
      <c r="W844" s="30"/>
      <c r="X844" s="30"/>
    </row>
    <row r="845">
      <c r="A845" s="30"/>
      <c r="B845" s="30"/>
      <c r="C845" s="30"/>
      <c r="D845" s="30"/>
      <c r="E845" s="30"/>
      <c r="F845" s="30"/>
      <c r="I845" s="25"/>
      <c r="T845" s="30"/>
      <c r="U845" s="30"/>
      <c r="V845" s="30"/>
      <c r="W845" s="30"/>
      <c r="X845" s="30"/>
    </row>
    <row r="846">
      <c r="A846" s="30"/>
      <c r="B846" s="30"/>
      <c r="C846" s="30"/>
      <c r="D846" s="30"/>
      <c r="E846" s="30"/>
      <c r="F846" s="30"/>
      <c r="I846" s="25"/>
      <c r="T846" s="30"/>
      <c r="U846" s="30"/>
      <c r="V846" s="30"/>
      <c r="W846" s="30"/>
      <c r="X846" s="30"/>
    </row>
    <row r="847">
      <c r="A847" s="30"/>
      <c r="B847" s="30"/>
      <c r="C847" s="30"/>
      <c r="D847" s="30"/>
      <c r="E847" s="30"/>
      <c r="F847" s="30"/>
      <c r="I847" s="25"/>
      <c r="T847" s="30"/>
      <c r="U847" s="30"/>
      <c r="V847" s="30"/>
      <c r="W847" s="30"/>
      <c r="X847" s="30"/>
    </row>
    <row r="848">
      <c r="A848" s="30"/>
      <c r="B848" s="30"/>
      <c r="C848" s="30"/>
      <c r="D848" s="30"/>
      <c r="E848" s="30"/>
      <c r="F848" s="30"/>
      <c r="I848" s="25"/>
      <c r="T848" s="30"/>
      <c r="U848" s="30"/>
      <c r="V848" s="30"/>
      <c r="W848" s="30"/>
      <c r="X848" s="30"/>
    </row>
    <row r="849">
      <c r="A849" s="30"/>
      <c r="B849" s="30"/>
      <c r="C849" s="30"/>
      <c r="D849" s="30"/>
      <c r="E849" s="30"/>
      <c r="F849" s="30"/>
      <c r="I849" s="25"/>
      <c r="T849" s="30"/>
      <c r="U849" s="30"/>
      <c r="V849" s="30"/>
      <c r="W849" s="30"/>
      <c r="X849" s="30"/>
    </row>
    <row r="850">
      <c r="A850" s="30"/>
      <c r="B850" s="30"/>
      <c r="C850" s="30"/>
      <c r="D850" s="30"/>
      <c r="E850" s="30"/>
      <c r="F850" s="30"/>
      <c r="I850" s="25"/>
      <c r="T850" s="30"/>
      <c r="U850" s="30"/>
      <c r="V850" s="30"/>
      <c r="W850" s="30"/>
      <c r="X850" s="30"/>
    </row>
    <row r="851">
      <c r="A851" s="30"/>
      <c r="B851" s="30"/>
      <c r="C851" s="30"/>
      <c r="D851" s="30"/>
      <c r="E851" s="30"/>
      <c r="F851" s="30"/>
      <c r="I851" s="25"/>
      <c r="T851" s="30"/>
      <c r="U851" s="30"/>
      <c r="V851" s="30"/>
      <c r="W851" s="30"/>
      <c r="X851" s="30"/>
    </row>
    <row r="852">
      <c r="A852" s="30"/>
      <c r="B852" s="30"/>
      <c r="C852" s="30"/>
      <c r="D852" s="30"/>
      <c r="E852" s="30"/>
      <c r="F852" s="30"/>
      <c r="I852" s="25"/>
      <c r="T852" s="30"/>
      <c r="U852" s="30"/>
      <c r="V852" s="30"/>
      <c r="W852" s="30"/>
      <c r="X852" s="30"/>
    </row>
    <row r="853">
      <c r="A853" s="30"/>
      <c r="B853" s="30"/>
      <c r="C853" s="30"/>
      <c r="D853" s="30"/>
      <c r="E853" s="30"/>
      <c r="F853" s="30"/>
      <c r="I853" s="25"/>
      <c r="T853" s="30"/>
      <c r="U853" s="30"/>
      <c r="V853" s="30"/>
      <c r="W853" s="30"/>
      <c r="X853" s="30"/>
    </row>
    <row r="854">
      <c r="A854" s="30"/>
      <c r="B854" s="30"/>
      <c r="C854" s="30"/>
      <c r="D854" s="30"/>
      <c r="E854" s="30"/>
      <c r="F854" s="30"/>
      <c r="I854" s="25"/>
      <c r="T854" s="30"/>
      <c r="U854" s="30"/>
      <c r="V854" s="30"/>
      <c r="W854" s="30"/>
      <c r="X854" s="30"/>
    </row>
    <row r="855">
      <c r="A855" s="30"/>
      <c r="B855" s="30"/>
      <c r="C855" s="30"/>
      <c r="D855" s="30"/>
      <c r="E855" s="30"/>
      <c r="F855" s="30"/>
      <c r="I855" s="25"/>
      <c r="T855" s="30"/>
      <c r="U855" s="30"/>
      <c r="V855" s="30"/>
      <c r="W855" s="30"/>
      <c r="X855" s="30"/>
    </row>
    <row r="856">
      <c r="A856" s="30"/>
      <c r="B856" s="30"/>
      <c r="C856" s="30"/>
      <c r="D856" s="30"/>
      <c r="E856" s="30"/>
      <c r="F856" s="30"/>
      <c r="I856" s="25"/>
      <c r="T856" s="30"/>
      <c r="U856" s="30"/>
      <c r="V856" s="30"/>
      <c r="W856" s="30"/>
      <c r="X856" s="30"/>
    </row>
    <row r="857">
      <c r="A857" s="30"/>
      <c r="B857" s="30"/>
      <c r="C857" s="30"/>
      <c r="D857" s="30"/>
      <c r="E857" s="30"/>
      <c r="F857" s="30"/>
      <c r="I857" s="25"/>
      <c r="T857" s="30"/>
      <c r="U857" s="30"/>
      <c r="V857" s="30"/>
      <c r="W857" s="30"/>
      <c r="X857" s="30"/>
    </row>
    <row r="858">
      <c r="A858" s="30"/>
      <c r="B858" s="30"/>
      <c r="C858" s="30"/>
      <c r="D858" s="30"/>
      <c r="E858" s="30"/>
      <c r="F858" s="30"/>
      <c r="I858" s="25"/>
      <c r="T858" s="30"/>
      <c r="U858" s="30"/>
      <c r="V858" s="30"/>
      <c r="W858" s="30"/>
      <c r="X858" s="30"/>
    </row>
    <row r="859">
      <c r="A859" s="30"/>
      <c r="B859" s="30"/>
      <c r="C859" s="30"/>
      <c r="D859" s="30"/>
      <c r="E859" s="30"/>
      <c r="F859" s="30"/>
      <c r="I859" s="25"/>
      <c r="T859" s="30"/>
      <c r="U859" s="30"/>
      <c r="V859" s="30"/>
      <c r="W859" s="30"/>
      <c r="X859" s="30"/>
    </row>
    <row r="860">
      <c r="A860" s="30"/>
      <c r="B860" s="30"/>
      <c r="C860" s="30"/>
      <c r="D860" s="30"/>
      <c r="E860" s="30"/>
      <c r="F860" s="30"/>
      <c r="I860" s="25"/>
      <c r="T860" s="30"/>
      <c r="U860" s="30"/>
      <c r="V860" s="30"/>
      <c r="W860" s="30"/>
      <c r="X860" s="30"/>
    </row>
    <row r="861">
      <c r="A861" s="30"/>
      <c r="B861" s="30"/>
      <c r="C861" s="30"/>
      <c r="D861" s="30"/>
      <c r="E861" s="30"/>
      <c r="F861" s="30"/>
      <c r="I861" s="25"/>
      <c r="T861" s="30"/>
      <c r="U861" s="30"/>
      <c r="V861" s="30"/>
      <c r="W861" s="30"/>
      <c r="X861" s="30"/>
    </row>
    <row r="862">
      <c r="A862" s="30"/>
      <c r="B862" s="30"/>
      <c r="C862" s="30"/>
      <c r="D862" s="30"/>
      <c r="E862" s="30"/>
      <c r="F862" s="30"/>
      <c r="I862" s="25"/>
      <c r="T862" s="30"/>
      <c r="U862" s="30"/>
      <c r="V862" s="30"/>
      <c r="W862" s="30"/>
      <c r="X862" s="30"/>
    </row>
    <row r="863">
      <c r="A863" s="30"/>
      <c r="B863" s="30"/>
      <c r="C863" s="30"/>
      <c r="D863" s="30"/>
      <c r="E863" s="30"/>
      <c r="F863" s="30"/>
      <c r="I863" s="25"/>
      <c r="T863" s="30"/>
      <c r="U863" s="30"/>
      <c r="V863" s="30"/>
      <c r="W863" s="30"/>
      <c r="X863" s="30"/>
    </row>
    <row r="864">
      <c r="A864" s="30"/>
      <c r="B864" s="30"/>
      <c r="C864" s="30"/>
      <c r="D864" s="30"/>
      <c r="E864" s="30"/>
      <c r="F864" s="30"/>
      <c r="I864" s="25"/>
      <c r="T864" s="30"/>
      <c r="U864" s="30"/>
      <c r="V864" s="30"/>
      <c r="W864" s="30"/>
      <c r="X864" s="30"/>
    </row>
    <row r="865">
      <c r="A865" s="30"/>
      <c r="B865" s="30"/>
      <c r="C865" s="30"/>
      <c r="D865" s="30"/>
      <c r="E865" s="30"/>
      <c r="F865" s="30"/>
      <c r="I865" s="25"/>
      <c r="T865" s="30"/>
      <c r="U865" s="30"/>
      <c r="V865" s="30"/>
      <c r="W865" s="30"/>
      <c r="X865" s="30"/>
    </row>
    <row r="866">
      <c r="A866" s="30"/>
      <c r="B866" s="30"/>
      <c r="C866" s="30"/>
      <c r="D866" s="30"/>
      <c r="E866" s="30"/>
      <c r="F866" s="30"/>
      <c r="I866" s="25"/>
      <c r="T866" s="30"/>
      <c r="U866" s="30"/>
      <c r="V866" s="30"/>
      <c r="W866" s="30"/>
      <c r="X866" s="30"/>
    </row>
    <row r="867">
      <c r="A867" s="30"/>
      <c r="B867" s="30"/>
      <c r="C867" s="30"/>
      <c r="D867" s="30"/>
      <c r="E867" s="30"/>
      <c r="F867" s="30"/>
      <c r="I867" s="25"/>
      <c r="T867" s="30"/>
      <c r="U867" s="30"/>
      <c r="V867" s="30"/>
      <c r="W867" s="30"/>
      <c r="X867" s="30"/>
    </row>
    <row r="868">
      <c r="A868" s="30"/>
      <c r="B868" s="30"/>
      <c r="C868" s="30"/>
      <c r="D868" s="30"/>
      <c r="E868" s="30"/>
      <c r="F868" s="30"/>
      <c r="I868" s="25"/>
      <c r="T868" s="30"/>
      <c r="U868" s="30"/>
      <c r="V868" s="30"/>
      <c r="W868" s="30"/>
      <c r="X868" s="30"/>
    </row>
    <row r="869">
      <c r="A869" s="30"/>
      <c r="B869" s="30"/>
      <c r="C869" s="30"/>
      <c r="D869" s="30"/>
      <c r="E869" s="30"/>
      <c r="F869" s="30"/>
      <c r="I869" s="25"/>
      <c r="T869" s="30"/>
      <c r="U869" s="30"/>
      <c r="V869" s="30"/>
      <c r="W869" s="30"/>
      <c r="X869" s="30"/>
    </row>
    <row r="870">
      <c r="A870" s="30"/>
      <c r="B870" s="30"/>
      <c r="C870" s="30"/>
      <c r="D870" s="30"/>
      <c r="E870" s="30"/>
      <c r="F870" s="30"/>
      <c r="I870" s="25"/>
      <c r="T870" s="30"/>
      <c r="U870" s="30"/>
      <c r="V870" s="30"/>
      <c r="W870" s="30"/>
      <c r="X870" s="30"/>
    </row>
    <row r="871">
      <c r="A871" s="30"/>
      <c r="B871" s="30"/>
      <c r="C871" s="30"/>
      <c r="D871" s="30"/>
      <c r="E871" s="30"/>
      <c r="F871" s="30"/>
      <c r="I871" s="25"/>
      <c r="T871" s="30"/>
      <c r="U871" s="30"/>
      <c r="V871" s="30"/>
      <c r="W871" s="30"/>
      <c r="X871" s="30"/>
    </row>
    <row r="872">
      <c r="A872" s="30"/>
      <c r="B872" s="30"/>
      <c r="C872" s="30"/>
      <c r="D872" s="30"/>
      <c r="E872" s="30"/>
      <c r="F872" s="30"/>
      <c r="I872" s="25"/>
      <c r="T872" s="30"/>
      <c r="U872" s="30"/>
      <c r="V872" s="30"/>
      <c r="W872" s="30"/>
      <c r="X872" s="30"/>
    </row>
    <row r="873">
      <c r="A873" s="30"/>
      <c r="B873" s="30"/>
      <c r="C873" s="30"/>
      <c r="D873" s="30"/>
      <c r="E873" s="30"/>
      <c r="F873" s="30"/>
      <c r="I873" s="25"/>
      <c r="T873" s="30"/>
      <c r="U873" s="30"/>
      <c r="V873" s="30"/>
      <c r="W873" s="30"/>
      <c r="X873" s="30"/>
    </row>
    <row r="874">
      <c r="A874" s="30"/>
      <c r="B874" s="30"/>
      <c r="C874" s="30"/>
      <c r="D874" s="30"/>
      <c r="E874" s="30"/>
      <c r="F874" s="30"/>
      <c r="I874" s="25"/>
      <c r="T874" s="30"/>
      <c r="U874" s="30"/>
      <c r="V874" s="30"/>
      <c r="W874" s="30"/>
      <c r="X874" s="30"/>
    </row>
    <row r="875">
      <c r="A875" s="30"/>
      <c r="B875" s="30"/>
      <c r="C875" s="30"/>
      <c r="D875" s="30"/>
      <c r="E875" s="30"/>
      <c r="F875" s="30"/>
      <c r="I875" s="25"/>
      <c r="T875" s="30"/>
      <c r="U875" s="30"/>
      <c r="V875" s="30"/>
      <c r="W875" s="30"/>
      <c r="X875" s="30"/>
    </row>
    <row r="876">
      <c r="A876" s="30"/>
      <c r="B876" s="30"/>
      <c r="C876" s="30"/>
      <c r="D876" s="30"/>
      <c r="E876" s="30"/>
      <c r="F876" s="30"/>
      <c r="I876" s="25"/>
      <c r="T876" s="30"/>
      <c r="U876" s="30"/>
      <c r="V876" s="30"/>
      <c r="W876" s="30"/>
      <c r="X876" s="30"/>
    </row>
    <row r="877">
      <c r="A877" s="30"/>
      <c r="B877" s="30"/>
      <c r="C877" s="30"/>
      <c r="D877" s="30"/>
      <c r="E877" s="30"/>
      <c r="F877" s="30"/>
      <c r="I877" s="25"/>
      <c r="T877" s="30"/>
      <c r="U877" s="30"/>
      <c r="V877" s="30"/>
      <c r="W877" s="30"/>
      <c r="X877" s="30"/>
    </row>
    <row r="878">
      <c r="A878" s="30"/>
      <c r="B878" s="30"/>
      <c r="C878" s="30"/>
      <c r="D878" s="30"/>
      <c r="E878" s="30"/>
      <c r="F878" s="30"/>
      <c r="I878" s="25"/>
      <c r="T878" s="30"/>
      <c r="U878" s="30"/>
      <c r="V878" s="30"/>
      <c r="W878" s="30"/>
      <c r="X878" s="30"/>
    </row>
    <row r="879">
      <c r="A879" s="30"/>
      <c r="B879" s="30"/>
      <c r="C879" s="30"/>
      <c r="D879" s="30"/>
      <c r="E879" s="30"/>
      <c r="F879" s="30"/>
      <c r="I879" s="25"/>
      <c r="T879" s="30"/>
      <c r="U879" s="30"/>
      <c r="V879" s="30"/>
      <c r="W879" s="30"/>
      <c r="X879" s="30"/>
    </row>
    <row r="880">
      <c r="A880" s="30"/>
      <c r="B880" s="30"/>
      <c r="C880" s="30"/>
      <c r="D880" s="30"/>
      <c r="E880" s="30"/>
      <c r="F880" s="30"/>
      <c r="I880" s="25"/>
      <c r="T880" s="30"/>
      <c r="U880" s="30"/>
      <c r="V880" s="30"/>
      <c r="W880" s="30"/>
      <c r="X880" s="30"/>
    </row>
    <row r="881">
      <c r="A881" s="30"/>
      <c r="B881" s="30"/>
      <c r="C881" s="30"/>
      <c r="D881" s="30"/>
      <c r="E881" s="30"/>
      <c r="F881" s="30"/>
      <c r="I881" s="25"/>
      <c r="T881" s="30"/>
      <c r="U881" s="30"/>
      <c r="V881" s="30"/>
      <c r="W881" s="30"/>
      <c r="X881" s="30"/>
    </row>
    <row r="882">
      <c r="A882" s="30"/>
      <c r="B882" s="30"/>
      <c r="C882" s="30"/>
      <c r="D882" s="30"/>
      <c r="E882" s="30"/>
      <c r="F882" s="30"/>
      <c r="I882" s="25"/>
      <c r="T882" s="30"/>
      <c r="U882" s="30"/>
      <c r="V882" s="30"/>
      <c r="W882" s="30"/>
      <c r="X882" s="30"/>
    </row>
    <row r="883">
      <c r="A883" s="30"/>
      <c r="B883" s="30"/>
      <c r="C883" s="30"/>
      <c r="D883" s="30"/>
      <c r="E883" s="30"/>
      <c r="F883" s="30"/>
      <c r="I883" s="25"/>
      <c r="T883" s="30"/>
      <c r="U883" s="30"/>
      <c r="V883" s="30"/>
      <c r="W883" s="30"/>
      <c r="X883" s="30"/>
    </row>
    <row r="884">
      <c r="A884" s="30"/>
      <c r="B884" s="30"/>
      <c r="C884" s="30"/>
      <c r="D884" s="30"/>
      <c r="E884" s="30"/>
      <c r="F884" s="30"/>
      <c r="I884" s="25"/>
      <c r="T884" s="30"/>
      <c r="U884" s="30"/>
      <c r="V884" s="30"/>
      <c r="W884" s="30"/>
      <c r="X884" s="30"/>
    </row>
    <row r="885">
      <c r="A885" s="30"/>
      <c r="B885" s="30"/>
      <c r="C885" s="30"/>
      <c r="D885" s="30"/>
      <c r="E885" s="30"/>
      <c r="F885" s="30"/>
      <c r="I885" s="25"/>
      <c r="T885" s="30"/>
      <c r="U885" s="30"/>
      <c r="V885" s="30"/>
      <c r="W885" s="30"/>
      <c r="X885" s="30"/>
    </row>
    <row r="886">
      <c r="A886" s="30"/>
      <c r="B886" s="30"/>
      <c r="C886" s="30"/>
      <c r="D886" s="30"/>
      <c r="E886" s="30"/>
      <c r="F886" s="30"/>
      <c r="I886" s="25"/>
      <c r="T886" s="30"/>
      <c r="U886" s="30"/>
      <c r="V886" s="30"/>
      <c r="W886" s="30"/>
      <c r="X886" s="30"/>
    </row>
    <row r="887">
      <c r="A887" s="30"/>
      <c r="B887" s="30"/>
      <c r="C887" s="30"/>
      <c r="D887" s="30"/>
      <c r="E887" s="30"/>
      <c r="F887" s="30"/>
      <c r="I887" s="25"/>
      <c r="T887" s="30"/>
      <c r="U887" s="30"/>
      <c r="V887" s="30"/>
      <c r="W887" s="30"/>
      <c r="X887" s="30"/>
    </row>
    <row r="888">
      <c r="A888" s="30"/>
      <c r="B888" s="30"/>
      <c r="C888" s="30"/>
      <c r="D888" s="30"/>
      <c r="E888" s="30"/>
      <c r="F888" s="30"/>
      <c r="I888" s="25"/>
      <c r="T888" s="30"/>
      <c r="U888" s="30"/>
      <c r="V888" s="30"/>
      <c r="W888" s="30"/>
      <c r="X888" s="30"/>
    </row>
    <row r="889">
      <c r="A889" s="30"/>
      <c r="B889" s="30"/>
      <c r="C889" s="30"/>
      <c r="D889" s="30"/>
      <c r="E889" s="30"/>
      <c r="F889" s="30"/>
      <c r="I889" s="25"/>
      <c r="T889" s="30"/>
      <c r="U889" s="30"/>
      <c r="V889" s="30"/>
      <c r="W889" s="30"/>
      <c r="X889" s="30"/>
    </row>
    <row r="890">
      <c r="A890" s="30"/>
      <c r="B890" s="30"/>
      <c r="C890" s="30"/>
      <c r="D890" s="30"/>
      <c r="E890" s="30"/>
      <c r="F890" s="30"/>
      <c r="I890" s="25"/>
      <c r="T890" s="30"/>
      <c r="U890" s="30"/>
      <c r="V890" s="30"/>
      <c r="W890" s="30"/>
      <c r="X890" s="30"/>
    </row>
    <row r="891">
      <c r="A891" s="30"/>
      <c r="B891" s="30"/>
      <c r="C891" s="30"/>
      <c r="D891" s="30"/>
      <c r="E891" s="30"/>
      <c r="F891" s="30"/>
      <c r="I891" s="25"/>
      <c r="T891" s="30"/>
      <c r="U891" s="30"/>
      <c r="V891" s="30"/>
      <c r="W891" s="30"/>
      <c r="X891" s="30"/>
    </row>
    <row r="892">
      <c r="A892" s="30"/>
      <c r="B892" s="30"/>
      <c r="C892" s="30"/>
      <c r="D892" s="30"/>
      <c r="E892" s="30"/>
      <c r="F892" s="30"/>
      <c r="I892" s="25"/>
      <c r="T892" s="30"/>
      <c r="U892" s="30"/>
      <c r="V892" s="30"/>
      <c r="W892" s="30"/>
      <c r="X892" s="30"/>
    </row>
    <row r="893">
      <c r="A893" s="30"/>
      <c r="B893" s="30"/>
      <c r="C893" s="30"/>
      <c r="D893" s="30"/>
      <c r="E893" s="30"/>
      <c r="F893" s="30"/>
      <c r="I893" s="25"/>
      <c r="T893" s="30"/>
      <c r="U893" s="30"/>
      <c r="V893" s="30"/>
      <c r="W893" s="30"/>
      <c r="X893" s="30"/>
    </row>
    <row r="894">
      <c r="A894" s="30"/>
      <c r="B894" s="30"/>
      <c r="C894" s="30"/>
      <c r="D894" s="30"/>
      <c r="E894" s="30"/>
      <c r="F894" s="30"/>
      <c r="I894" s="25"/>
      <c r="T894" s="30"/>
      <c r="U894" s="30"/>
      <c r="V894" s="30"/>
      <c r="W894" s="30"/>
      <c r="X894" s="30"/>
    </row>
    <row r="895">
      <c r="A895" s="30"/>
      <c r="B895" s="30"/>
      <c r="C895" s="30"/>
      <c r="D895" s="30"/>
      <c r="E895" s="30"/>
      <c r="F895" s="30"/>
      <c r="I895" s="25"/>
      <c r="T895" s="30"/>
      <c r="U895" s="30"/>
      <c r="V895" s="30"/>
      <c r="W895" s="30"/>
      <c r="X895" s="30"/>
    </row>
    <row r="896">
      <c r="A896" s="30"/>
      <c r="B896" s="30"/>
      <c r="C896" s="30"/>
      <c r="D896" s="30"/>
      <c r="E896" s="30"/>
      <c r="F896" s="30"/>
      <c r="I896" s="25"/>
      <c r="T896" s="30"/>
      <c r="U896" s="30"/>
      <c r="V896" s="30"/>
      <c r="W896" s="30"/>
      <c r="X896" s="30"/>
    </row>
    <row r="897">
      <c r="A897" s="30"/>
      <c r="B897" s="30"/>
      <c r="C897" s="30"/>
      <c r="D897" s="30"/>
      <c r="E897" s="30"/>
      <c r="F897" s="30"/>
      <c r="I897" s="25"/>
      <c r="T897" s="30"/>
      <c r="U897" s="30"/>
      <c r="V897" s="30"/>
      <c r="W897" s="30"/>
      <c r="X897" s="30"/>
    </row>
    <row r="898">
      <c r="A898" s="30"/>
      <c r="B898" s="30"/>
      <c r="C898" s="30"/>
      <c r="D898" s="30"/>
      <c r="E898" s="30"/>
      <c r="F898" s="30"/>
      <c r="I898" s="25"/>
      <c r="T898" s="30"/>
      <c r="U898" s="30"/>
      <c r="V898" s="30"/>
      <c r="W898" s="30"/>
      <c r="X898" s="30"/>
    </row>
    <row r="899">
      <c r="A899" s="30"/>
      <c r="B899" s="30"/>
      <c r="C899" s="30"/>
      <c r="D899" s="30"/>
      <c r="E899" s="30"/>
      <c r="F899" s="30"/>
      <c r="I899" s="25"/>
      <c r="T899" s="30"/>
      <c r="U899" s="30"/>
      <c r="V899" s="30"/>
      <c r="W899" s="30"/>
      <c r="X899" s="30"/>
    </row>
    <row r="900">
      <c r="A900" s="30"/>
      <c r="B900" s="30"/>
      <c r="C900" s="30"/>
      <c r="D900" s="30"/>
      <c r="E900" s="30"/>
      <c r="F900" s="30"/>
      <c r="I900" s="25"/>
      <c r="T900" s="30"/>
      <c r="U900" s="30"/>
      <c r="V900" s="30"/>
      <c r="W900" s="30"/>
      <c r="X900" s="30"/>
    </row>
    <row r="901">
      <c r="A901" s="30"/>
      <c r="B901" s="30"/>
      <c r="C901" s="30"/>
      <c r="D901" s="30"/>
      <c r="E901" s="30"/>
      <c r="F901" s="30"/>
      <c r="I901" s="25"/>
      <c r="T901" s="30"/>
      <c r="U901" s="30"/>
      <c r="V901" s="30"/>
      <c r="W901" s="30"/>
      <c r="X901" s="30"/>
    </row>
    <row r="902">
      <c r="A902" s="30"/>
      <c r="B902" s="30"/>
      <c r="C902" s="30"/>
      <c r="D902" s="30"/>
      <c r="E902" s="30"/>
      <c r="F902" s="30"/>
      <c r="I902" s="25"/>
      <c r="T902" s="30"/>
      <c r="U902" s="30"/>
      <c r="V902" s="30"/>
      <c r="W902" s="30"/>
      <c r="X902" s="30"/>
    </row>
    <row r="903">
      <c r="A903" s="30"/>
      <c r="B903" s="30"/>
      <c r="C903" s="30"/>
      <c r="D903" s="30"/>
      <c r="E903" s="30"/>
      <c r="F903" s="30"/>
      <c r="I903" s="25"/>
      <c r="T903" s="30"/>
      <c r="U903" s="30"/>
      <c r="V903" s="30"/>
      <c r="W903" s="30"/>
      <c r="X903" s="30"/>
    </row>
    <row r="904">
      <c r="A904" s="30"/>
      <c r="B904" s="30"/>
      <c r="C904" s="30"/>
      <c r="D904" s="30"/>
      <c r="E904" s="30"/>
      <c r="F904" s="30"/>
      <c r="I904" s="25"/>
      <c r="T904" s="30"/>
      <c r="U904" s="30"/>
      <c r="V904" s="30"/>
      <c r="W904" s="30"/>
      <c r="X904" s="30"/>
    </row>
    <row r="905">
      <c r="A905" s="30"/>
      <c r="B905" s="30"/>
      <c r="C905" s="30"/>
      <c r="D905" s="30"/>
      <c r="E905" s="30"/>
      <c r="F905" s="30"/>
      <c r="I905" s="25"/>
      <c r="T905" s="30"/>
      <c r="U905" s="30"/>
      <c r="V905" s="30"/>
      <c r="W905" s="30"/>
      <c r="X905" s="30"/>
    </row>
    <row r="906">
      <c r="A906" s="30"/>
      <c r="B906" s="30"/>
      <c r="C906" s="30"/>
      <c r="D906" s="30"/>
      <c r="E906" s="30"/>
      <c r="F906" s="30"/>
      <c r="I906" s="25"/>
      <c r="T906" s="30"/>
      <c r="U906" s="30"/>
      <c r="V906" s="30"/>
      <c r="W906" s="30"/>
      <c r="X906" s="30"/>
    </row>
    <row r="907">
      <c r="A907" s="30"/>
      <c r="B907" s="30"/>
      <c r="C907" s="30"/>
      <c r="D907" s="30"/>
      <c r="E907" s="30"/>
      <c r="F907" s="30"/>
      <c r="I907" s="25"/>
      <c r="T907" s="30"/>
      <c r="U907" s="30"/>
      <c r="V907" s="30"/>
      <c r="W907" s="30"/>
      <c r="X907" s="30"/>
    </row>
    <row r="908">
      <c r="A908" s="30"/>
      <c r="B908" s="30"/>
      <c r="C908" s="30"/>
      <c r="D908" s="30"/>
      <c r="E908" s="30"/>
      <c r="F908" s="30"/>
      <c r="I908" s="25"/>
      <c r="T908" s="30"/>
      <c r="U908" s="30"/>
      <c r="V908" s="30"/>
      <c r="W908" s="30"/>
      <c r="X908" s="30"/>
    </row>
    <row r="909">
      <c r="A909" s="30"/>
      <c r="B909" s="30"/>
      <c r="C909" s="30"/>
      <c r="D909" s="30"/>
      <c r="E909" s="30"/>
      <c r="F909" s="30"/>
      <c r="I909" s="25"/>
      <c r="T909" s="30"/>
      <c r="U909" s="30"/>
      <c r="V909" s="30"/>
      <c r="W909" s="30"/>
      <c r="X909" s="30"/>
    </row>
    <row r="910">
      <c r="A910" s="30"/>
      <c r="B910" s="30"/>
      <c r="C910" s="30"/>
      <c r="D910" s="30"/>
      <c r="E910" s="30"/>
      <c r="F910" s="30"/>
      <c r="I910" s="25"/>
      <c r="T910" s="30"/>
      <c r="U910" s="30"/>
      <c r="V910" s="30"/>
      <c r="W910" s="30"/>
      <c r="X910" s="30"/>
    </row>
    <row r="911">
      <c r="A911" s="30"/>
      <c r="B911" s="30"/>
      <c r="C911" s="30"/>
      <c r="D911" s="30"/>
      <c r="E911" s="30"/>
      <c r="F911" s="30"/>
      <c r="I911" s="25"/>
      <c r="T911" s="30"/>
      <c r="U911" s="30"/>
      <c r="V911" s="30"/>
      <c r="W911" s="30"/>
      <c r="X911" s="30"/>
    </row>
    <row r="912">
      <c r="A912" s="30"/>
      <c r="B912" s="30"/>
      <c r="C912" s="30"/>
      <c r="D912" s="30"/>
      <c r="E912" s="30"/>
      <c r="F912" s="30"/>
      <c r="I912" s="25"/>
      <c r="T912" s="30"/>
      <c r="U912" s="30"/>
      <c r="V912" s="30"/>
      <c r="W912" s="30"/>
      <c r="X912" s="30"/>
    </row>
    <row r="913">
      <c r="A913" s="30"/>
      <c r="B913" s="30"/>
      <c r="C913" s="30"/>
      <c r="D913" s="30"/>
      <c r="E913" s="30"/>
      <c r="F913" s="30"/>
      <c r="I913" s="25"/>
      <c r="T913" s="30"/>
      <c r="U913" s="30"/>
      <c r="V913" s="30"/>
      <c r="W913" s="30"/>
      <c r="X913" s="30"/>
    </row>
    <row r="914">
      <c r="A914" s="30"/>
      <c r="B914" s="30"/>
      <c r="C914" s="30"/>
      <c r="D914" s="30"/>
      <c r="E914" s="30"/>
      <c r="F914" s="30"/>
      <c r="I914" s="25"/>
      <c r="T914" s="30"/>
      <c r="U914" s="30"/>
      <c r="V914" s="30"/>
      <c r="W914" s="30"/>
      <c r="X914" s="30"/>
    </row>
    <row r="915">
      <c r="A915" s="30"/>
      <c r="B915" s="30"/>
      <c r="C915" s="30"/>
      <c r="D915" s="30"/>
      <c r="E915" s="30"/>
      <c r="F915" s="30"/>
      <c r="I915" s="25"/>
      <c r="T915" s="30"/>
      <c r="U915" s="30"/>
      <c r="V915" s="30"/>
      <c r="W915" s="30"/>
      <c r="X915" s="30"/>
    </row>
    <row r="916">
      <c r="A916" s="30"/>
      <c r="B916" s="30"/>
      <c r="C916" s="30"/>
      <c r="D916" s="30"/>
      <c r="E916" s="30"/>
      <c r="F916" s="30"/>
      <c r="I916" s="25"/>
      <c r="T916" s="30"/>
      <c r="U916" s="30"/>
      <c r="V916" s="30"/>
      <c r="W916" s="30"/>
      <c r="X916" s="30"/>
    </row>
    <row r="917">
      <c r="A917" s="30"/>
      <c r="B917" s="30"/>
      <c r="C917" s="30"/>
      <c r="D917" s="30"/>
      <c r="E917" s="30"/>
      <c r="F917" s="30"/>
      <c r="I917" s="25"/>
      <c r="T917" s="30"/>
      <c r="U917" s="30"/>
      <c r="V917" s="30"/>
      <c r="W917" s="30"/>
      <c r="X917" s="30"/>
    </row>
    <row r="918">
      <c r="A918" s="30"/>
      <c r="B918" s="30"/>
      <c r="C918" s="30"/>
      <c r="D918" s="30"/>
      <c r="E918" s="30"/>
      <c r="F918" s="30"/>
      <c r="I918" s="25"/>
      <c r="T918" s="30"/>
      <c r="U918" s="30"/>
      <c r="V918" s="30"/>
      <c r="W918" s="30"/>
      <c r="X918" s="30"/>
    </row>
    <row r="919">
      <c r="A919" s="30"/>
      <c r="B919" s="30"/>
      <c r="C919" s="30"/>
      <c r="D919" s="30"/>
      <c r="E919" s="30"/>
      <c r="F919" s="30"/>
      <c r="I919" s="25"/>
      <c r="T919" s="30"/>
      <c r="U919" s="30"/>
      <c r="V919" s="30"/>
      <c r="W919" s="30"/>
      <c r="X919" s="30"/>
    </row>
    <row r="920">
      <c r="A920" s="30"/>
      <c r="B920" s="30"/>
      <c r="C920" s="30"/>
      <c r="D920" s="30"/>
      <c r="E920" s="30"/>
      <c r="F920" s="30"/>
      <c r="I920" s="25"/>
      <c r="T920" s="30"/>
      <c r="U920" s="30"/>
      <c r="V920" s="30"/>
      <c r="W920" s="30"/>
      <c r="X920" s="30"/>
    </row>
    <row r="921">
      <c r="A921" s="30"/>
      <c r="B921" s="30"/>
      <c r="C921" s="30"/>
      <c r="D921" s="30"/>
      <c r="E921" s="30"/>
      <c r="F921" s="30"/>
      <c r="I921" s="25"/>
      <c r="T921" s="30"/>
      <c r="U921" s="30"/>
      <c r="V921" s="30"/>
      <c r="W921" s="30"/>
      <c r="X921" s="30"/>
    </row>
    <row r="922">
      <c r="A922" s="30"/>
      <c r="B922" s="30"/>
      <c r="C922" s="30"/>
      <c r="D922" s="30"/>
      <c r="E922" s="30"/>
      <c r="F922" s="30"/>
      <c r="I922" s="25"/>
      <c r="T922" s="30"/>
      <c r="U922" s="30"/>
      <c r="V922" s="30"/>
      <c r="W922" s="30"/>
      <c r="X922" s="30"/>
    </row>
    <row r="923">
      <c r="A923" s="30"/>
      <c r="B923" s="30"/>
      <c r="C923" s="30"/>
      <c r="D923" s="30"/>
      <c r="E923" s="30"/>
      <c r="F923" s="30"/>
      <c r="I923" s="25"/>
      <c r="T923" s="30"/>
      <c r="U923" s="30"/>
      <c r="V923" s="30"/>
      <c r="W923" s="30"/>
      <c r="X923" s="30"/>
    </row>
    <row r="924">
      <c r="A924" s="30"/>
      <c r="B924" s="30"/>
      <c r="C924" s="30"/>
      <c r="D924" s="30"/>
      <c r="E924" s="30"/>
      <c r="F924" s="30"/>
      <c r="I924" s="25"/>
      <c r="T924" s="30"/>
      <c r="U924" s="30"/>
      <c r="V924" s="30"/>
      <c r="W924" s="30"/>
      <c r="X924" s="30"/>
    </row>
    <row r="925">
      <c r="A925" s="30"/>
      <c r="B925" s="30"/>
      <c r="C925" s="30"/>
      <c r="D925" s="30"/>
      <c r="E925" s="30"/>
      <c r="F925" s="30"/>
      <c r="I925" s="25"/>
      <c r="T925" s="30"/>
      <c r="U925" s="30"/>
      <c r="V925" s="30"/>
      <c r="W925" s="30"/>
      <c r="X925" s="30"/>
    </row>
    <row r="926">
      <c r="A926" s="30"/>
      <c r="B926" s="30"/>
      <c r="C926" s="30"/>
      <c r="D926" s="30"/>
      <c r="E926" s="30"/>
      <c r="F926" s="30"/>
      <c r="I926" s="25"/>
      <c r="T926" s="30"/>
      <c r="U926" s="30"/>
      <c r="V926" s="30"/>
      <c r="W926" s="30"/>
      <c r="X926" s="30"/>
    </row>
    <row r="927">
      <c r="A927" s="30"/>
      <c r="B927" s="30"/>
      <c r="C927" s="30"/>
      <c r="D927" s="30"/>
      <c r="E927" s="30"/>
      <c r="F927" s="30"/>
      <c r="I927" s="25"/>
      <c r="T927" s="30"/>
      <c r="U927" s="30"/>
      <c r="V927" s="30"/>
      <c r="W927" s="30"/>
      <c r="X927" s="30"/>
    </row>
    <row r="928">
      <c r="A928" s="30"/>
      <c r="B928" s="30"/>
      <c r="C928" s="30"/>
      <c r="D928" s="30"/>
      <c r="E928" s="30"/>
      <c r="F928" s="30"/>
      <c r="I928" s="25"/>
      <c r="T928" s="30"/>
      <c r="U928" s="30"/>
      <c r="V928" s="30"/>
      <c r="W928" s="30"/>
      <c r="X928" s="30"/>
    </row>
    <row r="929">
      <c r="A929" s="30"/>
      <c r="B929" s="30"/>
      <c r="C929" s="30"/>
      <c r="D929" s="30"/>
      <c r="E929" s="30"/>
      <c r="F929" s="30"/>
      <c r="I929" s="25"/>
      <c r="T929" s="30"/>
      <c r="U929" s="30"/>
      <c r="V929" s="30"/>
      <c r="W929" s="30"/>
      <c r="X929" s="30"/>
    </row>
    <row r="930">
      <c r="A930" s="30"/>
      <c r="B930" s="30"/>
      <c r="C930" s="30"/>
      <c r="D930" s="30"/>
      <c r="E930" s="30"/>
      <c r="F930" s="30"/>
      <c r="I930" s="25"/>
      <c r="T930" s="30"/>
      <c r="U930" s="30"/>
      <c r="V930" s="30"/>
      <c r="W930" s="30"/>
      <c r="X930" s="30"/>
    </row>
    <row r="931">
      <c r="A931" s="30"/>
      <c r="B931" s="30"/>
      <c r="C931" s="30"/>
      <c r="D931" s="30"/>
      <c r="E931" s="30"/>
      <c r="F931" s="30"/>
      <c r="I931" s="25"/>
      <c r="T931" s="30"/>
      <c r="U931" s="30"/>
      <c r="V931" s="30"/>
      <c r="W931" s="30"/>
      <c r="X931" s="30"/>
    </row>
    <row r="932">
      <c r="A932" s="30"/>
      <c r="B932" s="30"/>
      <c r="C932" s="30"/>
      <c r="D932" s="30"/>
      <c r="E932" s="30"/>
      <c r="F932" s="30"/>
      <c r="I932" s="25"/>
      <c r="T932" s="30"/>
      <c r="U932" s="30"/>
      <c r="V932" s="30"/>
      <c r="W932" s="30"/>
      <c r="X932" s="30"/>
    </row>
    <row r="933">
      <c r="A933" s="30"/>
      <c r="B933" s="30"/>
      <c r="C933" s="30"/>
      <c r="D933" s="30"/>
      <c r="E933" s="30"/>
      <c r="F933" s="30"/>
      <c r="I933" s="25"/>
      <c r="T933" s="30"/>
      <c r="U933" s="30"/>
      <c r="V933" s="30"/>
      <c r="W933" s="30"/>
      <c r="X933" s="30"/>
    </row>
    <row r="934">
      <c r="A934" s="30"/>
      <c r="B934" s="30"/>
      <c r="C934" s="30"/>
      <c r="D934" s="30"/>
      <c r="E934" s="30"/>
      <c r="F934" s="30"/>
      <c r="I934" s="25"/>
      <c r="T934" s="30"/>
      <c r="U934" s="30"/>
      <c r="V934" s="30"/>
      <c r="W934" s="30"/>
      <c r="X934" s="30"/>
    </row>
    <row r="935">
      <c r="A935" s="30"/>
      <c r="B935" s="30"/>
      <c r="C935" s="30"/>
      <c r="D935" s="30"/>
      <c r="E935" s="30"/>
      <c r="F935" s="30"/>
      <c r="I935" s="25"/>
      <c r="T935" s="30"/>
      <c r="U935" s="30"/>
      <c r="V935" s="30"/>
      <c r="W935" s="30"/>
      <c r="X935" s="30"/>
    </row>
    <row r="936">
      <c r="A936" s="30"/>
      <c r="B936" s="30"/>
      <c r="C936" s="30"/>
      <c r="D936" s="30"/>
      <c r="E936" s="30"/>
      <c r="F936" s="30"/>
      <c r="I936" s="25"/>
      <c r="T936" s="30"/>
      <c r="U936" s="30"/>
      <c r="V936" s="30"/>
      <c r="W936" s="30"/>
      <c r="X936" s="30"/>
    </row>
    <row r="937">
      <c r="A937" s="30"/>
      <c r="B937" s="30"/>
      <c r="C937" s="30"/>
      <c r="D937" s="30"/>
      <c r="E937" s="30"/>
      <c r="F937" s="30"/>
      <c r="I937" s="25"/>
      <c r="T937" s="30"/>
      <c r="U937" s="30"/>
      <c r="V937" s="30"/>
      <c r="W937" s="30"/>
      <c r="X937" s="30"/>
    </row>
    <row r="938">
      <c r="A938" s="30"/>
      <c r="B938" s="30"/>
      <c r="C938" s="30"/>
      <c r="D938" s="30"/>
      <c r="E938" s="30"/>
      <c r="F938" s="30"/>
      <c r="I938" s="25"/>
      <c r="T938" s="30"/>
      <c r="U938" s="30"/>
      <c r="V938" s="30"/>
      <c r="W938" s="30"/>
      <c r="X938" s="30"/>
    </row>
    <row r="939">
      <c r="A939" s="30"/>
      <c r="B939" s="30"/>
      <c r="C939" s="30"/>
      <c r="D939" s="30"/>
      <c r="E939" s="30"/>
      <c r="F939" s="30"/>
      <c r="I939" s="25"/>
      <c r="T939" s="30"/>
      <c r="U939" s="30"/>
      <c r="V939" s="30"/>
      <c r="W939" s="30"/>
      <c r="X939" s="30"/>
    </row>
    <row r="940">
      <c r="A940" s="30"/>
      <c r="B940" s="30"/>
      <c r="C940" s="30"/>
      <c r="D940" s="30"/>
      <c r="E940" s="30"/>
      <c r="F940" s="30"/>
      <c r="I940" s="25"/>
      <c r="T940" s="30"/>
      <c r="U940" s="30"/>
      <c r="V940" s="30"/>
      <c r="W940" s="30"/>
      <c r="X940" s="30"/>
    </row>
    <row r="941">
      <c r="A941" s="30"/>
      <c r="B941" s="30"/>
      <c r="C941" s="30"/>
      <c r="D941" s="30"/>
      <c r="E941" s="30"/>
      <c r="F941" s="30"/>
      <c r="I941" s="25"/>
      <c r="T941" s="30"/>
      <c r="U941" s="30"/>
      <c r="V941" s="30"/>
      <c r="W941" s="30"/>
      <c r="X941" s="30"/>
    </row>
    <row r="942">
      <c r="A942" s="30"/>
      <c r="B942" s="30"/>
      <c r="C942" s="30"/>
      <c r="D942" s="30"/>
      <c r="E942" s="30"/>
      <c r="F942" s="30"/>
      <c r="I942" s="25"/>
      <c r="T942" s="30"/>
      <c r="U942" s="30"/>
      <c r="V942" s="30"/>
      <c r="W942" s="30"/>
      <c r="X942" s="30"/>
    </row>
    <row r="943">
      <c r="A943" s="30"/>
      <c r="B943" s="30"/>
      <c r="C943" s="30"/>
      <c r="D943" s="30"/>
      <c r="E943" s="30"/>
      <c r="F943" s="30"/>
      <c r="I943" s="25"/>
      <c r="T943" s="30"/>
      <c r="U943" s="30"/>
      <c r="V943" s="30"/>
      <c r="W943" s="30"/>
      <c r="X943" s="30"/>
    </row>
    <row r="944">
      <c r="A944" s="30"/>
      <c r="B944" s="30"/>
      <c r="C944" s="30"/>
      <c r="D944" s="30"/>
      <c r="E944" s="30"/>
      <c r="F944" s="30"/>
      <c r="I944" s="25"/>
      <c r="T944" s="30"/>
      <c r="U944" s="30"/>
      <c r="V944" s="30"/>
      <c r="W944" s="30"/>
      <c r="X944" s="30"/>
    </row>
    <row r="945">
      <c r="A945" s="30"/>
      <c r="B945" s="30"/>
      <c r="C945" s="30"/>
      <c r="D945" s="30"/>
      <c r="E945" s="30"/>
      <c r="F945" s="30"/>
      <c r="I945" s="25"/>
      <c r="T945" s="30"/>
      <c r="U945" s="30"/>
      <c r="V945" s="30"/>
      <c r="W945" s="30"/>
      <c r="X945" s="30"/>
    </row>
    <row r="946">
      <c r="A946" s="30"/>
      <c r="B946" s="30"/>
      <c r="C946" s="30"/>
      <c r="D946" s="30"/>
      <c r="E946" s="30"/>
      <c r="F946" s="30"/>
      <c r="I946" s="25"/>
      <c r="T946" s="30"/>
      <c r="U946" s="30"/>
      <c r="V946" s="30"/>
      <c r="W946" s="30"/>
      <c r="X946" s="30"/>
    </row>
    <row r="947">
      <c r="A947" s="30"/>
      <c r="B947" s="30"/>
      <c r="C947" s="30"/>
      <c r="D947" s="30"/>
      <c r="E947" s="30"/>
      <c r="F947" s="30"/>
      <c r="I947" s="25"/>
      <c r="T947" s="30"/>
      <c r="U947" s="30"/>
      <c r="V947" s="30"/>
      <c r="W947" s="30"/>
      <c r="X947" s="30"/>
    </row>
    <row r="948">
      <c r="A948" s="30"/>
      <c r="B948" s="30"/>
      <c r="C948" s="30"/>
      <c r="D948" s="30"/>
      <c r="E948" s="30"/>
      <c r="F948" s="30"/>
      <c r="I948" s="25"/>
      <c r="T948" s="30"/>
      <c r="U948" s="30"/>
      <c r="V948" s="30"/>
      <c r="W948" s="30"/>
      <c r="X948" s="30"/>
    </row>
    <row r="949">
      <c r="A949" s="30"/>
      <c r="B949" s="30"/>
      <c r="C949" s="30"/>
      <c r="D949" s="30"/>
      <c r="E949" s="30"/>
      <c r="F949" s="30"/>
      <c r="I949" s="25"/>
      <c r="T949" s="30"/>
      <c r="U949" s="30"/>
      <c r="V949" s="30"/>
      <c r="W949" s="30"/>
      <c r="X949" s="30"/>
    </row>
    <row r="950">
      <c r="A950" s="30"/>
      <c r="B950" s="30"/>
      <c r="C950" s="30"/>
      <c r="D950" s="30"/>
      <c r="E950" s="30"/>
      <c r="F950" s="30"/>
      <c r="I950" s="25"/>
      <c r="T950" s="30"/>
      <c r="U950" s="30"/>
      <c r="V950" s="30"/>
      <c r="W950" s="30"/>
      <c r="X950" s="30"/>
    </row>
    <row r="951">
      <c r="A951" s="30"/>
      <c r="B951" s="30"/>
      <c r="C951" s="30"/>
      <c r="D951" s="30"/>
      <c r="E951" s="30"/>
      <c r="F951" s="30"/>
      <c r="I951" s="25"/>
      <c r="T951" s="30"/>
      <c r="U951" s="30"/>
      <c r="V951" s="30"/>
      <c r="W951" s="30"/>
      <c r="X951" s="30"/>
    </row>
    <row r="952">
      <c r="A952" s="30"/>
      <c r="B952" s="30"/>
      <c r="C952" s="30"/>
      <c r="D952" s="30"/>
      <c r="E952" s="30"/>
      <c r="F952" s="30"/>
      <c r="I952" s="25"/>
      <c r="T952" s="30"/>
      <c r="U952" s="30"/>
      <c r="V952" s="30"/>
      <c r="W952" s="30"/>
      <c r="X952" s="30"/>
    </row>
    <row r="953">
      <c r="A953" s="30"/>
      <c r="B953" s="30"/>
      <c r="C953" s="30"/>
      <c r="D953" s="30"/>
      <c r="E953" s="30"/>
      <c r="F953" s="30"/>
      <c r="I953" s="25"/>
      <c r="T953" s="30"/>
      <c r="U953" s="30"/>
      <c r="V953" s="30"/>
      <c r="W953" s="30"/>
      <c r="X953" s="30"/>
    </row>
    <row r="954">
      <c r="A954" s="30"/>
      <c r="B954" s="30"/>
      <c r="C954" s="30"/>
      <c r="D954" s="30"/>
      <c r="E954" s="30"/>
      <c r="F954" s="30"/>
      <c r="I954" s="25"/>
      <c r="T954" s="30"/>
      <c r="U954" s="30"/>
      <c r="V954" s="30"/>
      <c r="W954" s="30"/>
      <c r="X954" s="30"/>
    </row>
    <row r="955">
      <c r="A955" s="30"/>
      <c r="B955" s="30"/>
      <c r="C955" s="30"/>
      <c r="D955" s="30"/>
      <c r="E955" s="30"/>
      <c r="F955" s="30"/>
      <c r="I955" s="25"/>
      <c r="T955" s="30"/>
      <c r="U955" s="30"/>
      <c r="V955" s="30"/>
      <c r="W955" s="30"/>
      <c r="X955" s="30"/>
    </row>
    <row r="956">
      <c r="A956" s="30"/>
      <c r="B956" s="30"/>
      <c r="C956" s="30"/>
      <c r="D956" s="30"/>
      <c r="E956" s="30"/>
      <c r="F956" s="30"/>
      <c r="I956" s="25"/>
      <c r="T956" s="30"/>
      <c r="U956" s="30"/>
      <c r="V956" s="30"/>
      <c r="W956" s="30"/>
      <c r="X956" s="30"/>
    </row>
    <row r="957">
      <c r="A957" s="30"/>
      <c r="B957" s="30"/>
      <c r="C957" s="30"/>
      <c r="D957" s="30"/>
      <c r="E957" s="30"/>
      <c r="F957" s="30"/>
      <c r="I957" s="25"/>
      <c r="T957" s="30"/>
      <c r="U957" s="30"/>
      <c r="V957" s="30"/>
      <c r="W957" s="30"/>
      <c r="X957" s="30"/>
    </row>
    <row r="958">
      <c r="A958" s="30"/>
      <c r="B958" s="30"/>
      <c r="C958" s="30"/>
      <c r="D958" s="30"/>
      <c r="E958" s="30"/>
      <c r="F958" s="30"/>
      <c r="I958" s="25"/>
      <c r="T958" s="30"/>
      <c r="U958" s="30"/>
      <c r="V958" s="30"/>
      <c r="W958" s="30"/>
      <c r="X958" s="30"/>
    </row>
    <row r="959">
      <c r="A959" s="30"/>
      <c r="B959" s="30"/>
      <c r="C959" s="30"/>
      <c r="D959" s="30"/>
      <c r="E959" s="30"/>
      <c r="F959" s="30"/>
      <c r="I959" s="25"/>
      <c r="T959" s="30"/>
      <c r="U959" s="30"/>
      <c r="V959" s="30"/>
      <c r="W959" s="30"/>
      <c r="X959" s="30"/>
    </row>
    <row r="960">
      <c r="A960" s="30"/>
      <c r="B960" s="30"/>
      <c r="C960" s="30"/>
      <c r="D960" s="30"/>
      <c r="E960" s="30"/>
      <c r="F960" s="30"/>
      <c r="I960" s="25"/>
      <c r="T960" s="30"/>
      <c r="U960" s="30"/>
      <c r="V960" s="30"/>
      <c r="W960" s="30"/>
      <c r="X960" s="30"/>
    </row>
    <row r="961">
      <c r="A961" s="30"/>
      <c r="B961" s="30"/>
      <c r="C961" s="30"/>
      <c r="D961" s="30"/>
      <c r="E961" s="30"/>
      <c r="F961" s="30"/>
      <c r="I961" s="25"/>
      <c r="T961" s="30"/>
      <c r="U961" s="30"/>
      <c r="V961" s="30"/>
      <c r="W961" s="30"/>
      <c r="X961" s="30"/>
    </row>
    <row r="962">
      <c r="A962" s="30"/>
      <c r="B962" s="30"/>
      <c r="C962" s="30"/>
      <c r="D962" s="30"/>
      <c r="E962" s="30"/>
      <c r="F962" s="30"/>
      <c r="I962" s="25"/>
      <c r="T962" s="30"/>
      <c r="U962" s="30"/>
      <c r="V962" s="30"/>
      <c r="W962" s="30"/>
      <c r="X962" s="30"/>
    </row>
    <row r="963">
      <c r="A963" s="30"/>
      <c r="B963" s="30"/>
      <c r="C963" s="30"/>
      <c r="D963" s="30"/>
      <c r="E963" s="30"/>
      <c r="F963" s="30"/>
      <c r="I963" s="25"/>
      <c r="T963" s="30"/>
      <c r="U963" s="30"/>
      <c r="V963" s="30"/>
      <c r="W963" s="30"/>
      <c r="X963" s="30"/>
    </row>
    <row r="964">
      <c r="A964" s="30"/>
      <c r="B964" s="30"/>
      <c r="C964" s="30"/>
      <c r="D964" s="30"/>
      <c r="E964" s="30"/>
      <c r="F964" s="30"/>
      <c r="I964" s="25"/>
      <c r="T964" s="30"/>
      <c r="U964" s="30"/>
      <c r="V964" s="30"/>
      <c r="W964" s="30"/>
      <c r="X964" s="30"/>
    </row>
    <row r="965">
      <c r="A965" s="30"/>
      <c r="B965" s="30"/>
      <c r="C965" s="30"/>
      <c r="D965" s="30"/>
      <c r="E965" s="30"/>
      <c r="F965" s="30"/>
      <c r="I965" s="25"/>
      <c r="T965" s="30"/>
      <c r="U965" s="30"/>
      <c r="V965" s="30"/>
      <c r="W965" s="30"/>
      <c r="X965" s="30"/>
    </row>
    <row r="966">
      <c r="A966" s="30"/>
      <c r="B966" s="30"/>
      <c r="C966" s="30"/>
      <c r="D966" s="30"/>
      <c r="E966" s="30"/>
      <c r="F966" s="30"/>
      <c r="I966" s="25"/>
      <c r="T966" s="30"/>
      <c r="U966" s="30"/>
      <c r="V966" s="30"/>
      <c r="W966" s="30"/>
      <c r="X966" s="30"/>
    </row>
    <row r="967">
      <c r="A967" s="30"/>
      <c r="B967" s="30"/>
      <c r="C967" s="30"/>
      <c r="D967" s="30"/>
      <c r="E967" s="30"/>
      <c r="F967" s="30"/>
      <c r="I967" s="25"/>
      <c r="T967" s="30"/>
      <c r="U967" s="30"/>
      <c r="V967" s="30"/>
      <c r="W967" s="30"/>
      <c r="X967" s="30"/>
    </row>
    <row r="968">
      <c r="A968" s="30"/>
      <c r="B968" s="30"/>
      <c r="C968" s="30"/>
      <c r="D968" s="30"/>
      <c r="E968" s="30"/>
      <c r="F968" s="30"/>
      <c r="I968" s="25"/>
      <c r="T968" s="30"/>
      <c r="U968" s="30"/>
      <c r="V968" s="30"/>
      <c r="W968" s="30"/>
      <c r="X968" s="30"/>
    </row>
    <row r="969">
      <c r="A969" s="30"/>
      <c r="B969" s="30"/>
      <c r="C969" s="30"/>
      <c r="D969" s="30"/>
      <c r="E969" s="30"/>
      <c r="F969" s="30"/>
      <c r="I969" s="25"/>
      <c r="T969" s="30"/>
      <c r="U969" s="30"/>
      <c r="V969" s="30"/>
      <c r="W969" s="30"/>
      <c r="X969" s="30"/>
    </row>
    <row r="970">
      <c r="A970" s="30"/>
      <c r="B970" s="30"/>
      <c r="C970" s="30"/>
      <c r="D970" s="30"/>
      <c r="E970" s="30"/>
      <c r="F970" s="30"/>
      <c r="I970" s="25"/>
      <c r="T970" s="30"/>
      <c r="U970" s="30"/>
      <c r="V970" s="30"/>
      <c r="W970" s="30"/>
      <c r="X970" s="30"/>
    </row>
    <row r="971">
      <c r="A971" s="30"/>
      <c r="B971" s="30"/>
      <c r="C971" s="30"/>
      <c r="D971" s="30"/>
      <c r="E971" s="30"/>
      <c r="F971" s="30"/>
      <c r="I971" s="25"/>
      <c r="T971" s="30"/>
      <c r="U971" s="30"/>
      <c r="V971" s="30"/>
      <c r="W971" s="30"/>
      <c r="X971" s="30"/>
    </row>
    <row r="972">
      <c r="A972" s="30"/>
      <c r="B972" s="30"/>
      <c r="C972" s="30"/>
      <c r="D972" s="30"/>
      <c r="E972" s="30"/>
      <c r="F972" s="30"/>
      <c r="I972" s="25"/>
      <c r="T972" s="30"/>
      <c r="U972" s="30"/>
      <c r="V972" s="30"/>
      <c r="W972" s="30"/>
      <c r="X972" s="30"/>
    </row>
    <row r="973">
      <c r="A973" s="30"/>
      <c r="B973" s="30"/>
      <c r="C973" s="30"/>
      <c r="D973" s="30"/>
      <c r="E973" s="30"/>
      <c r="F973" s="30"/>
      <c r="I973" s="25"/>
      <c r="T973" s="30"/>
      <c r="U973" s="30"/>
      <c r="V973" s="30"/>
      <c r="W973" s="30"/>
      <c r="X973" s="30"/>
    </row>
    <row r="974">
      <c r="A974" s="30"/>
      <c r="B974" s="30"/>
      <c r="C974" s="30"/>
      <c r="D974" s="30"/>
      <c r="E974" s="30"/>
      <c r="F974" s="30"/>
      <c r="I974" s="25"/>
      <c r="T974" s="30"/>
      <c r="U974" s="30"/>
      <c r="V974" s="30"/>
      <c r="W974" s="30"/>
      <c r="X974" s="30"/>
    </row>
    <row r="975">
      <c r="A975" s="30"/>
      <c r="B975" s="30"/>
      <c r="C975" s="30"/>
      <c r="D975" s="30"/>
      <c r="E975" s="30"/>
      <c r="F975" s="30"/>
      <c r="I975" s="25"/>
      <c r="T975" s="30"/>
      <c r="U975" s="30"/>
      <c r="V975" s="30"/>
      <c r="W975" s="30"/>
      <c r="X975" s="30"/>
    </row>
    <row r="976">
      <c r="A976" s="30"/>
      <c r="B976" s="30"/>
      <c r="C976" s="30"/>
      <c r="D976" s="30"/>
      <c r="E976" s="30"/>
      <c r="F976" s="30"/>
      <c r="I976" s="25"/>
      <c r="T976" s="30"/>
      <c r="U976" s="30"/>
      <c r="V976" s="30"/>
      <c r="W976" s="30"/>
      <c r="X976" s="30"/>
    </row>
    <row r="977">
      <c r="A977" s="30"/>
      <c r="B977" s="30"/>
      <c r="C977" s="30"/>
      <c r="D977" s="30"/>
      <c r="E977" s="30"/>
      <c r="F977" s="30"/>
      <c r="I977" s="25"/>
      <c r="T977" s="30"/>
      <c r="U977" s="30"/>
      <c r="V977" s="30"/>
      <c r="W977" s="30"/>
      <c r="X977" s="30"/>
    </row>
    <row r="978">
      <c r="A978" s="30"/>
      <c r="B978" s="30"/>
      <c r="C978" s="30"/>
      <c r="D978" s="30"/>
      <c r="E978" s="30"/>
      <c r="F978" s="30"/>
      <c r="I978" s="25"/>
      <c r="T978" s="30"/>
      <c r="U978" s="30"/>
      <c r="V978" s="30"/>
      <c r="W978" s="30"/>
      <c r="X978" s="30"/>
    </row>
    <row r="979">
      <c r="A979" s="30"/>
      <c r="B979" s="30"/>
      <c r="C979" s="30"/>
      <c r="D979" s="30"/>
      <c r="E979" s="30"/>
      <c r="F979" s="30"/>
      <c r="I979" s="25"/>
      <c r="T979" s="30"/>
      <c r="U979" s="30"/>
      <c r="V979" s="30"/>
      <c r="W979" s="30"/>
      <c r="X979" s="30"/>
    </row>
    <row r="980">
      <c r="A980" s="30"/>
      <c r="B980" s="30"/>
      <c r="C980" s="30"/>
      <c r="D980" s="30"/>
      <c r="E980" s="30"/>
      <c r="F980" s="30"/>
      <c r="I980" s="25"/>
      <c r="T980" s="30"/>
      <c r="U980" s="30"/>
      <c r="V980" s="30"/>
      <c r="W980" s="30"/>
      <c r="X980" s="30"/>
    </row>
    <row r="981">
      <c r="A981" s="30"/>
      <c r="B981" s="30"/>
      <c r="C981" s="30"/>
      <c r="D981" s="30"/>
      <c r="E981" s="30"/>
      <c r="F981" s="30"/>
      <c r="I981" s="25"/>
      <c r="T981" s="30"/>
      <c r="U981" s="30"/>
      <c r="V981" s="30"/>
      <c r="W981" s="30"/>
      <c r="X981" s="30"/>
    </row>
    <row r="982">
      <c r="A982" s="30"/>
      <c r="B982" s="30"/>
      <c r="C982" s="30"/>
      <c r="D982" s="30"/>
      <c r="E982" s="30"/>
      <c r="F982" s="30"/>
      <c r="I982" s="25"/>
      <c r="T982" s="30"/>
      <c r="U982" s="30"/>
      <c r="V982" s="30"/>
      <c r="W982" s="30"/>
      <c r="X982" s="30"/>
    </row>
    <row r="983">
      <c r="A983" s="30"/>
      <c r="B983" s="30"/>
      <c r="C983" s="30"/>
      <c r="D983" s="30"/>
      <c r="E983" s="30"/>
      <c r="F983" s="30"/>
      <c r="I983" s="25"/>
      <c r="T983" s="30"/>
      <c r="U983" s="30"/>
      <c r="V983" s="30"/>
      <c r="W983" s="30"/>
      <c r="X983" s="30"/>
    </row>
    <row r="984">
      <c r="A984" s="30"/>
      <c r="B984" s="30"/>
      <c r="C984" s="30"/>
      <c r="D984" s="30"/>
      <c r="E984" s="30"/>
      <c r="F984" s="30"/>
      <c r="I984" s="25"/>
      <c r="T984" s="30"/>
      <c r="U984" s="30"/>
      <c r="V984" s="30"/>
      <c r="W984" s="30"/>
      <c r="X984" s="30"/>
    </row>
    <row r="985">
      <c r="A985" s="30"/>
      <c r="B985" s="30"/>
      <c r="C985" s="30"/>
      <c r="D985" s="30"/>
      <c r="E985" s="30"/>
      <c r="F985" s="30"/>
      <c r="I985" s="25"/>
      <c r="T985" s="30"/>
      <c r="U985" s="30"/>
      <c r="V985" s="30"/>
      <c r="W985" s="30"/>
      <c r="X985" s="30"/>
    </row>
    <row r="986">
      <c r="A986" s="30"/>
      <c r="B986" s="30"/>
      <c r="C986" s="30"/>
      <c r="D986" s="30"/>
      <c r="E986" s="30"/>
      <c r="F986" s="30"/>
      <c r="I986" s="25"/>
      <c r="T986" s="30"/>
      <c r="U986" s="30"/>
      <c r="V986" s="30"/>
      <c r="W986" s="30"/>
      <c r="X986" s="30"/>
    </row>
    <row r="987">
      <c r="A987" s="30"/>
      <c r="B987" s="30"/>
      <c r="C987" s="30"/>
      <c r="D987" s="30"/>
      <c r="E987" s="30"/>
      <c r="F987" s="30"/>
      <c r="I987" s="25"/>
      <c r="T987" s="30"/>
      <c r="U987" s="30"/>
      <c r="V987" s="30"/>
      <c r="W987" s="30"/>
      <c r="X987" s="30"/>
    </row>
    <row r="988">
      <c r="A988" s="30"/>
      <c r="B988" s="30"/>
      <c r="C988" s="30"/>
      <c r="D988" s="30"/>
      <c r="E988" s="30"/>
      <c r="F988" s="30"/>
      <c r="I988" s="25"/>
      <c r="T988" s="30"/>
      <c r="U988" s="30"/>
      <c r="V988" s="30"/>
      <c r="W988" s="30"/>
      <c r="X988" s="30"/>
    </row>
    <row r="989">
      <c r="A989" s="30"/>
      <c r="B989" s="30"/>
      <c r="C989" s="30"/>
      <c r="D989" s="30"/>
      <c r="E989" s="30"/>
      <c r="F989" s="30"/>
      <c r="I989" s="25"/>
      <c r="T989" s="30"/>
      <c r="U989" s="30"/>
      <c r="V989" s="30"/>
      <c r="W989" s="30"/>
      <c r="X989" s="30"/>
    </row>
    <row r="990">
      <c r="A990" s="30"/>
      <c r="B990" s="30"/>
      <c r="C990" s="30"/>
      <c r="D990" s="30"/>
      <c r="E990" s="30"/>
      <c r="F990" s="30"/>
      <c r="I990" s="25"/>
      <c r="T990" s="30"/>
      <c r="U990" s="30"/>
      <c r="V990" s="30"/>
      <c r="W990" s="30"/>
      <c r="X990" s="30"/>
    </row>
    <row r="991">
      <c r="A991" s="30"/>
      <c r="B991" s="30"/>
      <c r="C991" s="30"/>
      <c r="D991" s="30"/>
      <c r="E991" s="30"/>
      <c r="F991" s="30"/>
      <c r="I991" s="25"/>
      <c r="T991" s="30"/>
      <c r="U991" s="30"/>
      <c r="V991" s="30"/>
      <c r="W991" s="30"/>
      <c r="X991" s="30"/>
    </row>
    <row r="992">
      <c r="A992" s="30"/>
      <c r="B992" s="30"/>
      <c r="C992" s="30"/>
      <c r="D992" s="30"/>
      <c r="E992" s="30"/>
      <c r="F992" s="30"/>
      <c r="I992" s="25"/>
      <c r="T992" s="30"/>
      <c r="U992" s="30"/>
      <c r="V992" s="30"/>
      <c r="W992" s="30"/>
      <c r="X992" s="30"/>
    </row>
    <row r="993">
      <c r="A993" s="30"/>
      <c r="B993" s="30"/>
      <c r="C993" s="30"/>
      <c r="D993" s="30"/>
      <c r="E993" s="30"/>
      <c r="F993" s="30"/>
      <c r="I993" s="25"/>
      <c r="T993" s="30"/>
      <c r="U993" s="30"/>
      <c r="V993" s="30"/>
      <c r="W993" s="30"/>
      <c r="X993" s="30"/>
    </row>
    <row r="994">
      <c r="A994" s="30"/>
      <c r="B994" s="30"/>
      <c r="C994" s="30"/>
      <c r="D994" s="30"/>
      <c r="E994" s="30"/>
      <c r="F994" s="30"/>
      <c r="I994" s="25"/>
      <c r="T994" s="30"/>
      <c r="U994" s="30"/>
      <c r="V994" s="30"/>
      <c r="W994" s="30"/>
      <c r="X994" s="30"/>
    </row>
    <row r="995">
      <c r="A995" s="30"/>
      <c r="B995" s="30"/>
      <c r="C995" s="30"/>
      <c r="D995" s="30"/>
      <c r="E995" s="30"/>
      <c r="F995" s="30"/>
      <c r="I995" s="25"/>
      <c r="T995" s="30"/>
      <c r="U995" s="30"/>
      <c r="V995" s="30"/>
      <c r="W995" s="30"/>
      <c r="X995" s="30"/>
    </row>
    <row r="996">
      <c r="A996" s="30"/>
      <c r="B996" s="30"/>
      <c r="C996" s="30"/>
      <c r="D996" s="30"/>
      <c r="E996" s="30"/>
      <c r="F996" s="30"/>
      <c r="I996" s="25"/>
      <c r="T996" s="30"/>
      <c r="U996" s="30"/>
      <c r="V996" s="30"/>
      <c r="W996" s="30"/>
      <c r="X996" s="30"/>
    </row>
    <row r="997">
      <c r="A997" s="30"/>
      <c r="B997" s="30"/>
      <c r="C997" s="30"/>
      <c r="D997" s="30"/>
      <c r="E997" s="30"/>
      <c r="F997" s="30"/>
      <c r="I997" s="25"/>
      <c r="T997" s="30"/>
      <c r="U997" s="30"/>
      <c r="V997" s="30"/>
      <c r="W997" s="30"/>
      <c r="X997" s="30"/>
    </row>
    <row r="998">
      <c r="A998" s="30"/>
      <c r="B998" s="30"/>
      <c r="C998" s="30"/>
      <c r="D998" s="30"/>
      <c r="E998" s="30"/>
      <c r="F998" s="30"/>
      <c r="I998" s="25"/>
      <c r="T998" s="30"/>
      <c r="U998" s="30"/>
      <c r="V998" s="30"/>
      <c r="W998" s="30"/>
      <c r="X998" s="30"/>
    </row>
    <row r="999">
      <c r="A999" s="30"/>
      <c r="B999" s="30"/>
      <c r="C999" s="30"/>
      <c r="D999" s="30"/>
      <c r="E999" s="30"/>
      <c r="F999" s="30"/>
      <c r="I999" s="25"/>
      <c r="T999" s="30"/>
      <c r="U999" s="30"/>
      <c r="V999" s="30"/>
      <c r="W999" s="30"/>
      <c r="X999" s="30"/>
    </row>
    <row r="1000">
      <c r="A1000" s="30"/>
      <c r="B1000" s="30"/>
      <c r="C1000" s="30"/>
      <c r="D1000" s="30"/>
      <c r="E1000" s="30"/>
      <c r="F1000" s="30"/>
      <c r="I1000" s="25"/>
      <c r="T1000" s="30"/>
      <c r="U1000" s="30"/>
      <c r="V1000" s="30"/>
      <c r="W1000" s="30"/>
      <c r="X1000" s="30"/>
    </row>
    <row r="1001">
      <c r="A1001" s="30"/>
      <c r="B1001" s="30"/>
      <c r="C1001" s="30"/>
      <c r="D1001" s="30"/>
      <c r="E1001" s="30"/>
      <c r="F1001" s="30"/>
      <c r="I1001" s="25"/>
      <c r="T1001" s="30"/>
      <c r="U1001" s="30"/>
      <c r="V1001" s="30"/>
      <c r="W1001" s="30"/>
      <c r="X1001" s="30"/>
    </row>
  </sheetData>
  <mergeCells count="3">
    <mergeCell ref="J1:N1"/>
    <mergeCell ref="O1:P1"/>
    <mergeCell ref="V1:X1"/>
  </mergeCells>
  <dataValidations>
    <dataValidation type="list" allowBlank="1" showErrorMessage="1" sqref="I3:I1001">
      <formula1>"Operational,Construction,Blocked"</formula1>
    </dataValidation>
    <dataValidation type="list" allowBlank="1" showErrorMessage="1" sqref="A3:A35">
      <formula1>'List of Chargers'!$A$2:$A$5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21.38"/>
    <col customWidth="1" min="4" max="4" width="20.5"/>
  </cols>
  <sheetData>
    <row r="1">
      <c r="A1" s="32" t="s">
        <v>123</v>
      </c>
      <c r="B1" s="33" t="s">
        <v>50</v>
      </c>
      <c r="C1" s="34" t="s">
        <v>124</v>
      </c>
      <c r="D1" s="34" t="s">
        <v>125</v>
      </c>
    </row>
    <row r="2">
      <c r="A2" s="35">
        <v>1.0</v>
      </c>
      <c r="B2" s="36" t="s">
        <v>82</v>
      </c>
      <c r="C2" s="36" t="s">
        <v>82</v>
      </c>
      <c r="D2" s="36" t="s">
        <v>126</v>
      </c>
    </row>
    <row r="3">
      <c r="A3" s="37">
        <v>2.0</v>
      </c>
      <c r="B3" s="38" t="s">
        <v>127</v>
      </c>
      <c r="C3" s="38" t="s">
        <v>127</v>
      </c>
      <c r="D3" s="38" t="s">
        <v>128</v>
      </c>
    </row>
    <row r="4">
      <c r="A4" s="37">
        <v>3.0</v>
      </c>
      <c r="B4" s="38" t="s">
        <v>129</v>
      </c>
      <c r="C4" s="38" t="s">
        <v>129</v>
      </c>
      <c r="D4" s="38" t="s">
        <v>130</v>
      </c>
    </row>
    <row r="5">
      <c r="A5" s="37">
        <v>4.0</v>
      </c>
      <c r="B5" s="38" t="s">
        <v>131</v>
      </c>
      <c r="C5" s="38" t="s">
        <v>132</v>
      </c>
      <c r="D5" s="38" t="s">
        <v>133</v>
      </c>
    </row>
    <row r="6">
      <c r="A6" s="37">
        <v>5.0</v>
      </c>
      <c r="B6" s="38" t="s">
        <v>134</v>
      </c>
      <c r="C6" s="38" t="s">
        <v>134</v>
      </c>
      <c r="D6" s="38" t="s">
        <v>135</v>
      </c>
    </row>
    <row r="7">
      <c r="A7" s="37">
        <v>6.0</v>
      </c>
      <c r="B7" s="38" t="s">
        <v>136</v>
      </c>
      <c r="C7" s="38" t="s">
        <v>137</v>
      </c>
      <c r="D7" s="38" t="s">
        <v>138</v>
      </c>
    </row>
    <row r="8">
      <c r="A8" s="37">
        <v>7.0</v>
      </c>
      <c r="B8" s="38" t="s">
        <v>139</v>
      </c>
      <c r="C8" s="38" t="s">
        <v>139</v>
      </c>
      <c r="D8" s="38" t="s">
        <v>140</v>
      </c>
    </row>
    <row r="9">
      <c r="A9" s="37">
        <v>8.0</v>
      </c>
      <c r="B9" s="38" t="s">
        <v>141</v>
      </c>
      <c r="C9" s="38" t="s">
        <v>141</v>
      </c>
      <c r="D9" s="38" t="s">
        <v>142</v>
      </c>
    </row>
    <row r="10">
      <c r="A10" s="37">
        <v>9.0</v>
      </c>
      <c r="B10" s="38" t="s">
        <v>143</v>
      </c>
      <c r="C10" s="38" t="s">
        <v>143</v>
      </c>
      <c r="D10" s="38" t="s">
        <v>144</v>
      </c>
    </row>
    <row r="11">
      <c r="A11" s="37">
        <v>10.0</v>
      </c>
      <c r="B11" s="38" t="s">
        <v>145</v>
      </c>
      <c r="C11" s="38" t="s">
        <v>145</v>
      </c>
      <c r="D11" s="38" t="s">
        <v>146</v>
      </c>
    </row>
    <row r="12">
      <c r="A12" s="37">
        <v>11.0</v>
      </c>
      <c r="B12" s="38" t="s">
        <v>147</v>
      </c>
      <c r="C12" s="38" t="s">
        <v>147</v>
      </c>
      <c r="D12" s="38" t="s">
        <v>148</v>
      </c>
    </row>
    <row r="13">
      <c r="A13" s="37">
        <v>12.0</v>
      </c>
      <c r="B13" s="38" t="s">
        <v>149</v>
      </c>
      <c r="C13" s="38" t="s">
        <v>149</v>
      </c>
      <c r="D13" s="38" t="s">
        <v>150</v>
      </c>
    </row>
    <row r="14">
      <c r="A14" s="37">
        <v>13.0</v>
      </c>
      <c r="B14" s="38" t="s">
        <v>151</v>
      </c>
      <c r="C14" s="38" t="s">
        <v>152</v>
      </c>
      <c r="D14" s="38" t="s">
        <v>153</v>
      </c>
    </row>
    <row r="15">
      <c r="A15" s="37">
        <v>14.0</v>
      </c>
      <c r="B15" s="38" t="s">
        <v>154</v>
      </c>
      <c r="C15" s="38" t="s">
        <v>154</v>
      </c>
      <c r="D15" s="38" t="s">
        <v>155</v>
      </c>
    </row>
    <row r="16">
      <c r="A16" s="37">
        <v>15.0</v>
      </c>
      <c r="B16" s="38" t="s">
        <v>156</v>
      </c>
      <c r="C16" s="38" t="s">
        <v>156</v>
      </c>
      <c r="D16" s="38" t="s">
        <v>157</v>
      </c>
    </row>
    <row r="17">
      <c r="A17" s="37">
        <v>16.0</v>
      </c>
      <c r="B17" s="38" t="s">
        <v>158</v>
      </c>
      <c r="C17" s="38" t="s">
        <v>158</v>
      </c>
      <c r="D17" s="38" t="s">
        <v>159</v>
      </c>
    </row>
    <row r="18">
      <c r="A18" s="37">
        <v>17.0</v>
      </c>
      <c r="B18" s="38" t="s">
        <v>160</v>
      </c>
      <c r="C18" s="38" t="s">
        <v>161</v>
      </c>
      <c r="D18" s="38" t="s">
        <v>162</v>
      </c>
    </row>
    <row r="19">
      <c r="A19" s="37">
        <v>18.0</v>
      </c>
      <c r="B19" s="38" t="s">
        <v>163</v>
      </c>
      <c r="C19" s="38" t="s">
        <v>164</v>
      </c>
      <c r="D19" s="38" t="s">
        <v>165</v>
      </c>
    </row>
    <row r="20">
      <c r="A20" s="37">
        <v>19.0</v>
      </c>
      <c r="B20" s="38" t="s">
        <v>166</v>
      </c>
      <c r="C20" s="38" t="s">
        <v>166</v>
      </c>
      <c r="D20" s="38" t="s">
        <v>167</v>
      </c>
    </row>
    <row r="21">
      <c r="A21" s="37">
        <v>20.0</v>
      </c>
      <c r="B21" s="38" t="s">
        <v>168</v>
      </c>
      <c r="C21" s="38" t="s">
        <v>169</v>
      </c>
      <c r="D21" s="38" t="s">
        <v>170</v>
      </c>
    </row>
    <row r="22">
      <c r="A22" s="37">
        <v>21.0</v>
      </c>
      <c r="B22" s="38" t="s">
        <v>171</v>
      </c>
      <c r="C22" s="38" t="s">
        <v>171</v>
      </c>
      <c r="D22" s="38" t="s">
        <v>172</v>
      </c>
    </row>
    <row r="23">
      <c r="A23" s="37">
        <v>22.0</v>
      </c>
      <c r="B23" s="38" t="s">
        <v>173</v>
      </c>
      <c r="C23" s="38" t="s">
        <v>173</v>
      </c>
      <c r="D23" s="38" t="s">
        <v>174</v>
      </c>
    </row>
    <row r="24">
      <c r="A24" s="37">
        <v>23.0</v>
      </c>
      <c r="B24" s="38" t="s">
        <v>175</v>
      </c>
      <c r="C24" s="38" t="s">
        <v>176</v>
      </c>
      <c r="D24" s="38" t="s">
        <v>177</v>
      </c>
    </row>
    <row r="25">
      <c r="A25" s="37">
        <v>24.0</v>
      </c>
      <c r="B25" s="38" t="s">
        <v>178</v>
      </c>
      <c r="C25" s="38" t="s">
        <v>179</v>
      </c>
      <c r="D25" s="38" t="s">
        <v>180</v>
      </c>
    </row>
    <row r="26">
      <c r="A26" s="37">
        <v>25.0</v>
      </c>
      <c r="B26" s="38" t="s">
        <v>181</v>
      </c>
      <c r="C26" s="38" t="s">
        <v>182</v>
      </c>
      <c r="D26" s="38" t="s">
        <v>183</v>
      </c>
    </row>
    <row r="27">
      <c r="A27" s="37">
        <v>26.0</v>
      </c>
      <c r="B27" s="38" t="s">
        <v>184</v>
      </c>
      <c r="C27" s="38" t="s">
        <v>185</v>
      </c>
      <c r="D27" s="38" t="s">
        <v>186</v>
      </c>
    </row>
    <row r="28">
      <c r="A28" s="35">
        <v>27.0</v>
      </c>
      <c r="B28" s="36" t="s">
        <v>187</v>
      </c>
      <c r="C28" s="36" t="s">
        <v>188</v>
      </c>
      <c r="D28" s="36" t="s">
        <v>189</v>
      </c>
    </row>
    <row r="29">
      <c r="A29" s="39">
        <v>28.0</v>
      </c>
      <c r="B29" s="40" t="s">
        <v>190</v>
      </c>
      <c r="C29" s="40" t="s">
        <v>191</v>
      </c>
      <c r="D29" s="40" t="s">
        <v>192</v>
      </c>
    </row>
    <row r="30">
      <c r="A30" s="39">
        <v>29.0</v>
      </c>
      <c r="B30" s="40" t="s">
        <v>193</v>
      </c>
      <c r="C30" s="40" t="s">
        <v>194</v>
      </c>
      <c r="D30" s="40" t="s">
        <v>195</v>
      </c>
    </row>
    <row r="31">
      <c r="A31" s="39">
        <v>30.0</v>
      </c>
      <c r="B31" s="40" t="s">
        <v>196</v>
      </c>
      <c r="C31" s="40" t="s">
        <v>197</v>
      </c>
      <c r="D31" s="40" t="s">
        <v>198</v>
      </c>
    </row>
    <row r="32">
      <c r="A32" s="39">
        <v>31.0</v>
      </c>
      <c r="B32" s="40" t="s">
        <v>199</v>
      </c>
      <c r="C32" s="40" t="s">
        <v>200</v>
      </c>
      <c r="D32" s="40" t="s">
        <v>201</v>
      </c>
    </row>
    <row r="33">
      <c r="A33" s="39">
        <v>32.0</v>
      </c>
      <c r="B33" s="40" t="s">
        <v>202</v>
      </c>
      <c r="C33" s="40" t="s">
        <v>202</v>
      </c>
      <c r="D33" s="40" t="s">
        <v>203</v>
      </c>
    </row>
    <row r="34">
      <c r="A34" s="39">
        <v>33.0</v>
      </c>
      <c r="B34" s="40" t="s">
        <v>204</v>
      </c>
      <c r="C34" s="40" t="s">
        <v>204</v>
      </c>
      <c r="D34" s="40" t="s">
        <v>205</v>
      </c>
    </row>
    <row r="35">
      <c r="A35" s="39">
        <v>34.0</v>
      </c>
      <c r="B35" s="40" t="s">
        <v>206</v>
      </c>
      <c r="C35" s="40" t="s">
        <v>206</v>
      </c>
      <c r="D35" s="40" t="s">
        <v>207</v>
      </c>
    </row>
    <row r="36">
      <c r="A36" s="39">
        <v>35.0</v>
      </c>
      <c r="B36" s="40" t="s">
        <v>208</v>
      </c>
      <c r="C36" s="40" t="s">
        <v>208</v>
      </c>
      <c r="D36" s="40" t="s">
        <v>209</v>
      </c>
    </row>
    <row r="37">
      <c r="A37" s="39">
        <v>36.0</v>
      </c>
      <c r="B37" s="40" t="s">
        <v>210</v>
      </c>
      <c r="C37" s="40" t="s">
        <v>210</v>
      </c>
      <c r="D37" s="40" t="s">
        <v>211</v>
      </c>
    </row>
    <row r="38">
      <c r="A38" s="39">
        <v>37.0</v>
      </c>
      <c r="B38" s="40" t="s">
        <v>212</v>
      </c>
      <c r="C38" s="40" t="s">
        <v>212</v>
      </c>
      <c r="D38" s="40" t="s">
        <v>213</v>
      </c>
    </row>
    <row r="39">
      <c r="A39" s="39">
        <v>38.0</v>
      </c>
      <c r="B39" s="40" t="s">
        <v>214</v>
      </c>
      <c r="C39" s="40" t="s">
        <v>215</v>
      </c>
      <c r="D39" s="40" t="s">
        <v>216</v>
      </c>
    </row>
    <row r="40">
      <c r="A40" s="39">
        <v>39.0</v>
      </c>
      <c r="B40" s="40" t="s">
        <v>217</v>
      </c>
      <c r="C40" s="40" t="s">
        <v>217</v>
      </c>
      <c r="D40" s="40" t="s">
        <v>218</v>
      </c>
    </row>
    <row r="41">
      <c r="A41" s="39">
        <v>40.0</v>
      </c>
      <c r="B41" s="40" t="s">
        <v>219</v>
      </c>
      <c r="C41" s="40" t="s">
        <v>219</v>
      </c>
      <c r="D41" s="40" t="s">
        <v>220</v>
      </c>
    </row>
    <row r="42">
      <c r="A42" s="39">
        <v>41.0</v>
      </c>
      <c r="B42" s="40" t="s">
        <v>221</v>
      </c>
      <c r="C42" s="40" t="s">
        <v>221</v>
      </c>
      <c r="D42" s="40" t="s">
        <v>222</v>
      </c>
    </row>
    <row r="43">
      <c r="A43" s="39">
        <v>42.0</v>
      </c>
      <c r="B43" s="40" t="s">
        <v>223</v>
      </c>
      <c r="C43" s="40" t="s">
        <v>223</v>
      </c>
      <c r="D43" s="40" t="s">
        <v>224</v>
      </c>
    </row>
    <row r="44">
      <c r="A44" s="39">
        <v>43.0</v>
      </c>
      <c r="B44" s="40" t="s">
        <v>225</v>
      </c>
      <c r="C44" s="40" t="s">
        <v>225</v>
      </c>
      <c r="D44" s="40" t="s">
        <v>226</v>
      </c>
    </row>
    <row r="45">
      <c r="A45" s="39">
        <v>44.0</v>
      </c>
      <c r="B45" s="40" t="s">
        <v>227</v>
      </c>
      <c r="C45" s="40" t="s">
        <v>227</v>
      </c>
      <c r="D45" s="40" t="s">
        <v>228</v>
      </c>
    </row>
    <row r="46">
      <c r="A46" s="39">
        <v>45.0</v>
      </c>
      <c r="B46" s="40" t="s">
        <v>229</v>
      </c>
      <c r="C46" s="40" t="s">
        <v>229</v>
      </c>
      <c r="D46" s="40" t="s">
        <v>230</v>
      </c>
    </row>
    <row r="47">
      <c r="A47" s="39">
        <v>46.0</v>
      </c>
      <c r="B47" s="40" t="s">
        <v>231</v>
      </c>
      <c r="C47" s="40" t="s">
        <v>231</v>
      </c>
      <c r="D47" s="40" t="s">
        <v>232</v>
      </c>
    </row>
    <row r="48">
      <c r="A48" s="41">
        <v>47.0</v>
      </c>
      <c r="B48" s="42" t="s">
        <v>233</v>
      </c>
      <c r="C48" s="42" t="s">
        <v>233</v>
      </c>
      <c r="D48" s="42" t="s">
        <v>74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63"/>
    <col customWidth="1" min="4" max="4" width="14.25"/>
    <col customWidth="1" min="5" max="5" width="15.13"/>
  </cols>
  <sheetData>
    <row r="2">
      <c r="B2" s="43" t="s">
        <v>234</v>
      </c>
      <c r="C2" s="44"/>
      <c r="D2" s="44"/>
      <c r="F2" s="45" t="s">
        <v>235</v>
      </c>
    </row>
    <row r="4">
      <c r="B4" s="13" t="s">
        <v>236</v>
      </c>
      <c r="C4" s="13" t="s">
        <v>237</v>
      </c>
    </row>
    <row r="5">
      <c r="B5" s="13" t="s">
        <v>238</v>
      </c>
      <c r="C5" s="13" t="s">
        <v>239</v>
      </c>
    </row>
    <row r="6">
      <c r="B6" s="13" t="s">
        <v>240</v>
      </c>
      <c r="C6" s="13" t="s">
        <v>241</v>
      </c>
    </row>
    <row r="8">
      <c r="B8" s="43" t="s">
        <v>242</v>
      </c>
      <c r="C8" s="44"/>
      <c r="D8" s="44"/>
    </row>
    <row r="10">
      <c r="B10" s="13" t="s">
        <v>243</v>
      </c>
    </row>
    <row r="12">
      <c r="B12" s="13" t="s">
        <v>236</v>
      </c>
      <c r="C12" s="13" t="s">
        <v>244</v>
      </c>
    </row>
    <row r="13">
      <c r="B13" s="13" t="s">
        <v>74</v>
      </c>
      <c r="C13" s="13" t="s">
        <v>245</v>
      </c>
    </row>
    <row r="14">
      <c r="B14" s="46" t="s">
        <v>76</v>
      </c>
      <c r="C14" s="13" t="s">
        <v>246</v>
      </c>
    </row>
    <row r="15">
      <c r="B15" s="13" t="s">
        <v>247</v>
      </c>
    </row>
    <row r="16">
      <c r="B16" s="13" t="s">
        <v>248</v>
      </c>
      <c r="C16" s="13" t="s">
        <v>249</v>
      </c>
    </row>
    <row r="17">
      <c r="B17" s="13" t="s">
        <v>73</v>
      </c>
      <c r="C17" s="13" t="s">
        <v>250</v>
      </c>
    </row>
    <row r="18">
      <c r="B18" s="13" t="s">
        <v>75</v>
      </c>
      <c r="C18" s="13" t="s">
        <v>251</v>
      </c>
    </row>
    <row r="19">
      <c r="B19" s="46" t="s">
        <v>76</v>
      </c>
      <c r="C19" s="13" t="s">
        <v>252</v>
      </c>
    </row>
    <row r="21">
      <c r="B21" s="43" t="s">
        <v>253</v>
      </c>
      <c r="C21" s="44"/>
      <c r="D21" s="44"/>
    </row>
    <row r="23">
      <c r="B23" s="47" t="s">
        <v>254</v>
      </c>
      <c r="C23" s="48" t="s">
        <v>255</v>
      </c>
    </row>
    <row r="24">
      <c r="B24" s="13" t="s">
        <v>74</v>
      </c>
      <c r="C24" s="49" t="s">
        <v>256</v>
      </c>
    </row>
    <row r="25">
      <c r="C25" s="50"/>
      <c r="D25" s="50"/>
    </row>
    <row r="26">
      <c r="C26" s="50"/>
      <c r="D26" s="50"/>
    </row>
    <row r="27">
      <c r="B27" s="43" t="s">
        <v>257</v>
      </c>
      <c r="C27" s="44"/>
      <c r="D27" s="44"/>
    </row>
    <row r="29">
      <c r="B29" s="47" t="s">
        <v>254</v>
      </c>
      <c r="C29" s="51" t="s">
        <v>258</v>
      </c>
      <c r="D29" s="51" t="s">
        <v>259</v>
      </c>
      <c r="E29" s="51" t="s">
        <v>260</v>
      </c>
    </row>
    <row r="30">
      <c r="B30" s="13" t="s">
        <v>74</v>
      </c>
      <c r="C30" s="52" t="s">
        <v>76</v>
      </c>
      <c r="D30" s="53" t="str">
        <f t="shared" ref="D30:D35" si="1">CONCATENATE("FO-",B30,"-",TEXT(C30,"00"))</f>
        <v>FO-NBI-01</v>
      </c>
      <c r="E30" s="54" t="s">
        <v>261</v>
      </c>
    </row>
    <row r="31">
      <c r="B31" s="13" t="s">
        <v>74</v>
      </c>
      <c r="C31" s="52" t="s">
        <v>83</v>
      </c>
      <c r="D31" s="53" t="str">
        <f t="shared" si="1"/>
        <v>FO-NBI-02</v>
      </c>
      <c r="E31" s="54" t="s">
        <v>262</v>
      </c>
    </row>
    <row r="32">
      <c r="B32" s="13" t="s">
        <v>74</v>
      </c>
      <c r="C32" s="54" t="s">
        <v>85</v>
      </c>
      <c r="D32" s="53" t="str">
        <f t="shared" si="1"/>
        <v>FO-NBI-03</v>
      </c>
      <c r="E32" s="54" t="s">
        <v>158</v>
      </c>
    </row>
    <row r="33">
      <c r="B33" s="13" t="s">
        <v>74</v>
      </c>
      <c r="C33" s="54" t="s">
        <v>87</v>
      </c>
      <c r="D33" s="53" t="str">
        <f t="shared" si="1"/>
        <v>FO-NBI-04</v>
      </c>
      <c r="E33" s="54" t="s">
        <v>263</v>
      </c>
    </row>
    <row r="34">
      <c r="B34" s="13" t="s">
        <v>74</v>
      </c>
      <c r="C34" s="54" t="s">
        <v>91</v>
      </c>
      <c r="D34" s="53" t="str">
        <f t="shared" si="1"/>
        <v>FO-NBI-05</v>
      </c>
      <c r="E34" s="54" t="s">
        <v>264</v>
      </c>
    </row>
    <row r="35">
      <c r="B35" s="13" t="s">
        <v>74</v>
      </c>
      <c r="C35" s="54" t="s">
        <v>95</v>
      </c>
      <c r="D35" s="53" t="str">
        <f t="shared" si="1"/>
        <v>FO-NBI-06</v>
      </c>
      <c r="E35" s="54" t="s">
        <v>265</v>
      </c>
    </row>
    <row r="36">
      <c r="C36" s="50"/>
      <c r="D36" s="50"/>
    </row>
    <row r="37">
      <c r="C37" s="50"/>
      <c r="D37" s="50"/>
    </row>
    <row r="38">
      <c r="C38" s="50"/>
      <c r="D38" s="50"/>
    </row>
    <row r="39">
      <c r="C39" s="50"/>
      <c r="D39" s="50"/>
    </row>
    <row r="40">
      <c r="C40" s="50"/>
      <c r="D40" s="50"/>
    </row>
    <row r="41">
      <c r="C41" s="50"/>
      <c r="D41" s="50"/>
    </row>
    <row r="42">
      <c r="C42" s="50"/>
      <c r="D42" s="50"/>
    </row>
  </sheetData>
  <hyperlinks>
    <hyperlink r:id="rId1" location="gid=0" ref="F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1.5"/>
    <col customWidth="1" min="3" max="4" width="17.63"/>
    <col customWidth="1" min="5" max="7" width="7.38"/>
    <col customWidth="1" min="8" max="8" width="16.75"/>
    <col customWidth="1" min="9" max="9" width="25.5"/>
    <col customWidth="1" min="10" max="10" width="20.5"/>
    <col customWidth="1" min="11" max="11" width="16.63"/>
    <col customWidth="1" min="12" max="12" width="15.5"/>
    <col customWidth="1" min="13" max="13" width="19.75"/>
    <col customWidth="1" min="14" max="14" width="28.25"/>
    <col customWidth="1" min="15" max="15" width="49.38"/>
    <col customWidth="1" min="16" max="16" width="23.5"/>
    <col customWidth="1" min="17" max="18" width="20.0"/>
    <col customWidth="1" min="19" max="23" width="12.63"/>
    <col customWidth="1" min="24" max="24" width="19.5"/>
    <col customWidth="1" min="25" max="28" width="15.38"/>
    <col customWidth="1" min="29" max="29" width="18.5"/>
    <col customWidth="1" min="30" max="30" width="17.75"/>
    <col customWidth="1" min="31" max="37" width="10.13"/>
    <col customWidth="1" min="38" max="39" width="12.75"/>
    <col customWidth="1" min="40" max="41" width="13.63"/>
    <col customWidth="1" min="42" max="42" width="19.25"/>
    <col customWidth="1" min="43" max="45" width="20.5"/>
  </cols>
  <sheetData>
    <row r="1">
      <c r="A1" s="14" t="s">
        <v>266</v>
      </c>
      <c r="C1" s="14" t="s">
        <v>267</v>
      </c>
      <c r="J1" s="55">
        <f>countif(J3:J502,"Operational")</f>
        <v>17</v>
      </c>
      <c r="K1" s="56" t="s">
        <v>268</v>
      </c>
      <c r="L1" s="15" t="s">
        <v>41</v>
      </c>
      <c r="M1" s="15"/>
      <c r="N1" s="15"/>
      <c r="O1" s="15"/>
      <c r="P1" s="15"/>
      <c r="Q1" s="16" t="s">
        <v>42</v>
      </c>
      <c r="S1" s="57" t="s">
        <v>46</v>
      </c>
      <c r="T1" s="57"/>
      <c r="U1" s="57">
        <f>COUNTIFS(U3:U502,TRUE,J3:J502,"Operational")</f>
        <v>6</v>
      </c>
      <c r="V1" s="58" t="s">
        <v>269</v>
      </c>
      <c r="X1" s="17" t="s">
        <v>43</v>
      </c>
      <c r="Y1" s="59" t="s">
        <v>270</v>
      </c>
      <c r="AC1" s="60" t="s">
        <v>271</v>
      </c>
      <c r="AE1" s="18" t="s">
        <v>45</v>
      </c>
      <c r="AL1" s="61" t="s">
        <v>272</v>
      </c>
      <c r="AP1" s="12" t="s">
        <v>273</v>
      </c>
    </row>
    <row r="2">
      <c r="A2" s="14" t="s">
        <v>274</v>
      </c>
      <c r="B2" s="62" t="s">
        <v>275</v>
      </c>
      <c r="C2" s="19" t="s">
        <v>276</v>
      </c>
      <c r="D2" s="19" t="s">
        <v>277</v>
      </c>
      <c r="E2" s="19" t="s">
        <v>49</v>
      </c>
      <c r="F2" s="19" t="s">
        <v>51</v>
      </c>
      <c r="G2" s="19" t="s">
        <v>52</v>
      </c>
      <c r="H2" s="20" t="s">
        <v>53</v>
      </c>
      <c r="I2" s="20" t="s">
        <v>54</v>
      </c>
      <c r="J2" s="20" t="s">
        <v>55</v>
      </c>
      <c r="K2" s="21" t="s">
        <v>278</v>
      </c>
      <c r="L2" s="20" t="s">
        <v>56</v>
      </c>
      <c r="M2" s="20" t="s">
        <v>57</v>
      </c>
      <c r="N2" s="20" t="s">
        <v>279</v>
      </c>
      <c r="O2" s="20" t="s">
        <v>48</v>
      </c>
      <c r="P2" s="20" t="s">
        <v>60</v>
      </c>
      <c r="Q2" s="20" t="s">
        <v>61</v>
      </c>
      <c r="R2" s="21" t="s">
        <v>62</v>
      </c>
      <c r="S2" s="63" t="s">
        <v>70</v>
      </c>
      <c r="T2" s="63" t="s">
        <v>71</v>
      </c>
      <c r="U2" s="63" t="s">
        <v>280</v>
      </c>
      <c r="V2" s="19" t="s">
        <v>281</v>
      </c>
      <c r="W2" s="19" t="s">
        <v>282</v>
      </c>
      <c r="X2" s="19" t="s">
        <v>66</v>
      </c>
      <c r="Y2" s="21" t="s">
        <v>283</v>
      </c>
      <c r="Z2" s="21" t="s">
        <v>284</v>
      </c>
      <c r="AA2" s="21" t="s">
        <v>285</v>
      </c>
      <c r="AB2" s="21" t="s">
        <v>286</v>
      </c>
      <c r="AC2" s="19" t="s">
        <v>287</v>
      </c>
      <c r="AD2" s="19" t="s">
        <v>288</v>
      </c>
      <c r="AE2" s="19" t="s">
        <v>289</v>
      </c>
      <c r="AF2" s="19" t="s">
        <v>290</v>
      </c>
      <c r="AG2" s="19" t="s">
        <v>291</v>
      </c>
      <c r="AH2" s="19" t="s">
        <v>292</v>
      </c>
      <c r="AI2" s="19" t="s">
        <v>67</v>
      </c>
      <c r="AJ2" s="19" t="s">
        <v>293</v>
      </c>
      <c r="AK2" s="19" t="s">
        <v>294</v>
      </c>
      <c r="AL2" s="19" t="s">
        <v>295</v>
      </c>
      <c r="AM2" s="19" t="s">
        <v>296</v>
      </c>
      <c r="AN2" s="19" t="s">
        <v>297</v>
      </c>
      <c r="AO2" s="19" t="s">
        <v>298</v>
      </c>
      <c r="AP2" s="20" t="s">
        <v>63</v>
      </c>
      <c r="AQ2" s="20" t="s">
        <v>64</v>
      </c>
      <c r="AR2" s="20" t="s">
        <v>299</v>
      </c>
      <c r="AS2" s="20" t="s">
        <v>300</v>
      </c>
    </row>
    <row r="3">
      <c r="A3" s="12" t="s">
        <v>74</v>
      </c>
      <c r="B3" s="64">
        <v>1.0</v>
      </c>
      <c r="C3" s="12" t="s">
        <v>248</v>
      </c>
      <c r="D3" s="12" t="str">
        <f>vlookup(C3,'List of Chargers'!$A$2:$B$5,2,FALSE)</f>
        <v>Roam Hub</v>
      </c>
      <c r="E3" s="12" t="s">
        <v>73</v>
      </c>
      <c r="F3" s="12" t="s">
        <v>75</v>
      </c>
      <c r="G3" s="65" t="s">
        <v>76</v>
      </c>
      <c r="H3" s="13" t="str">
        <f t="shared" ref="H3:H502" si="1">CONCATENATE("#",C3,"-",E3,"-",F3,"-",G3,)</f>
        <v>#RH-KE-A-01</v>
      </c>
      <c r="I3" s="13" t="str">
        <f t="shared" ref="I3:I502" si="2">concatenate("FO-",A3,"-",TEXT(B3,"00"),H3)</f>
        <v>FO-NBI-01#RH-KE-A-01</v>
      </c>
      <c r="J3" s="25" t="s">
        <v>77</v>
      </c>
      <c r="K3" s="66" t="s">
        <v>301</v>
      </c>
      <c r="L3" s="25" t="s">
        <v>302</v>
      </c>
      <c r="M3" s="25" t="s">
        <v>303</v>
      </c>
      <c r="N3" s="26" t="str">
        <f t="shared" ref="N3:N502" si="3">D3&amp;" - "&amp;M3</f>
        <v>Roam Hub - Outering</v>
      </c>
      <c r="O3" s="26" t="str">
        <f t="shared" ref="O3:O502" si="4">CONCATENATE(I3,": ",N3)</f>
        <v>FO-NBI-01#RH-KE-A-01: Roam Hub - Outering</v>
      </c>
      <c r="P3" s="67" t="s">
        <v>304</v>
      </c>
      <c r="Q3" s="13" t="s">
        <v>305</v>
      </c>
      <c r="R3" s="54">
        <v>2.54723655007E11</v>
      </c>
      <c r="S3" s="68" t="b">
        <v>1</v>
      </c>
      <c r="T3" s="68" t="b">
        <v>1</v>
      </c>
      <c r="U3" s="68" t="b">
        <v>0</v>
      </c>
      <c r="V3" s="69" t="b">
        <v>1</v>
      </c>
      <c r="W3" s="28" t="b">
        <v>0</v>
      </c>
      <c r="X3" s="28"/>
      <c r="Y3" s="28" t="s">
        <v>306</v>
      </c>
      <c r="Z3" s="11" t="s">
        <v>307</v>
      </c>
      <c r="AA3" s="11" t="s">
        <v>308</v>
      </c>
      <c r="AB3" s="11" t="s">
        <v>309</v>
      </c>
      <c r="AC3" s="12">
        <v>2.54114930561E11</v>
      </c>
      <c r="AD3" s="12"/>
      <c r="AE3" s="12">
        <f t="shared" ref="AE3:AE502" si="5">sum(AG3:AK3)</f>
        <v>34</v>
      </c>
      <c r="AF3" s="70">
        <f t="shared" ref="AF3:AF502" si="6">AG3*(6*84/1000)+AH3*(9*84/1000)+AI3*(10*84/1000)+AJ3*(25*84/1000)+AK3*(40*84/1000)</f>
        <v>40.068</v>
      </c>
      <c r="AG3" s="23"/>
      <c r="AH3" s="23">
        <v>13.0</v>
      </c>
      <c r="AI3" s="23">
        <v>11.0</v>
      </c>
      <c r="AJ3" s="23">
        <v>10.0</v>
      </c>
      <c r="AK3" s="23"/>
      <c r="AL3" s="12" t="s">
        <v>310</v>
      </c>
      <c r="AM3" s="71">
        <v>9.2800552884E10</v>
      </c>
      <c r="AN3" s="71">
        <v>1.67221569E8</v>
      </c>
      <c r="AO3" s="71"/>
      <c r="AP3" s="13" t="s">
        <v>80</v>
      </c>
      <c r="AQ3" s="13" t="s">
        <v>80</v>
      </c>
      <c r="AR3" s="13"/>
    </row>
    <row r="4">
      <c r="A4" s="12" t="s">
        <v>74</v>
      </c>
      <c r="B4" s="64">
        <v>1.0</v>
      </c>
      <c r="C4" s="12" t="s">
        <v>248</v>
      </c>
      <c r="D4" s="12" t="str">
        <f>vlookup(C4,'List of Chargers'!$A$2:$B$5,2,FALSE)</f>
        <v>Roam Hub</v>
      </c>
      <c r="E4" s="12" t="s">
        <v>73</v>
      </c>
      <c r="F4" s="12" t="s">
        <v>75</v>
      </c>
      <c r="G4" s="12" t="s">
        <v>83</v>
      </c>
      <c r="H4" s="13" t="str">
        <f t="shared" si="1"/>
        <v>#RH-KE-A-02</v>
      </c>
      <c r="I4" s="13" t="str">
        <f t="shared" si="2"/>
        <v>FO-NBI-01#RH-KE-A-02</v>
      </c>
      <c r="J4" s="25" t="s">
        <v>77</v>
      </c>
      <c r="K4" s="72">
        <v>44931.0</v>
      </c>
      <c r="L4" s="25" t="s">
        <v>302</v>
      </c>
      <c r="M4" s="25" t="s">
        <v>311</v>
      </c>
      <c r="N4" s="26" t="str">
        <f t="shared" si="3"/>
        <v>Roam Hub - Wayaki Way</v>
      </c>
      <c r="O4" s="26" t="str">
        <f t="shared" si="4"/>
        <v>FO-NBI-01#RH-KE-A-02: Roam Hub - Wayaki Way</v>
      </c>
      <c r="P4" s="67" t="s">
        <v>312</v>
      </c>
      <c r="Q4" s="13" t="s">
        <v>313</v>
      </c>
      <c r="R4" s="54">
        <v>2.54727204078E11</v>
      </c>
      <c r="S4" s="68" t="b">
        <v>1</v>
      </c>
      <c r="T4" s="68" t="b">
        <v>1</v>
      </c>
      <c r="U4" s="73" t="b">
        <v>1</v>
      </c>
      <c r="V4" s="69" t="b">
        <v>1</v>
      </c>
      <c r="W4" s="11" t="b">
        <v>0</v>
      </c>
      <c r="X4" s="11"/>
      <c r="Y4" s="11"/>
      <c r="Z4" s="11"/>
      <c r="AB4" s="30"/>
      <c r="AC4" s="12">
        <v>2.54113585123E11</v>
      </c>
      <c r="AD4" s="12"/>
      <c r="AE4" s="12">
        <f t="shared" si="5"/>
        <v>36</v>
      </c>
      <c r="AF4" s="70">
        <f t="shared" si="6"/>
        <v>36.036</v>
      </c>
      <c r="AG4" s="23">
        <v>2.0</v>
      </c>
      <c r="AH4" s="23">
        <v>13.0</v>
      </c>
      <c r="AI4" s="23">
        <v>15.0</v>
      </c>
      <c r="AJ4" s="23">
        <v>6.0</v>
      </c>
      <c r="AK4" s="23"/>
      <c r="AL4" s="12" t="s">
        <v>310</v>
      </c>
      <c r="AM4" s="71">
        <v>2.570063158E10</v>
      </c>
      <c r="AN4" s="71">
        <v>1.6304233E8</v>
      </c>
      <c r="AO4" s="71"/>
      <c r="AP4" s="13" t="s">
        <v>80</v>
      </c>
      <c r="AQ4" s="13" t="s">
        <v>80</v>
      </c>
      <c r="AR4" s="13"/>
    </row>
    <row r="5">
      <c r="A5" s="12" t="s">
        <v>74</v>
      </c>
      <c r="B5" s="64">
        <v>1.0</v>
      </c>
      <c r="C5" s="12" t="s">
        <v>248</v>
      </c>
      <c r="D5" s="12" t="str">
        <f>vlookup(C5,'List of Chargers'!$A$2:$B$5,2,FALSE)</f>
        <v>Roam Hub</v>
      </c>
      <c r="E5" s="12" t="s">
        <v>73</v>
      </c>
      <c r="F5" s="12" t="s">
        <v>75</v>
      </c>
      <c r="G5" s="12" t="s">
        <v>85</v>
      </c>
      <c r="H5" s="13" t="str">
        <f t="shared" si="1"/>
        <v>#RH-KE-A-03</v>
      </c>
      <c r="I5" s="13" t="str">
        <f t="shared" si="2"/>
        <v>FO-NBI-01#RH-KE-A-03</v>
      </c>
      <c r="J5" s="25" t="s">
        <v>77</v>
      </c>
      <c r="K5" s="72">
        <v>45296.0</v>
      </c>
      <c r="L5" s="25" t="s">
        <v>314</v>
      </c>
      <c r="M5" s="25" t="s">
        <v>315</v>
      </c>
      <c r="N5" s="26" t="str">
        <f t="shared" si="3"/>
        <v>Roam Hub - Kayole </v>
      </c>
      <c r="O5" s="26" t="str">
        <f t="shared" si="4"/>
        <v>FO-NBI-01#RH-KE-A-03: Roam Hub - Kayole </v>
      </c>
      <c r="P5" s="67" t="s">
        <v>316</v>
      </c>
      <c r="Q5" s="13" t="s">
        <v>317</v>
      </c>
      <c r="R5" s="54">
        <v>2.5472146156E11</v>
      </c>
      <c r="S5" s="68" t="b">
        <v>1</v>
      </c>
      <c r="T5" s="68" t="b">
        <v>1</v>
      </c>
      <c r="U5" s="73" t="b">
        <v>1</v>
      </c>
      <c r="V5" s="69" t="b">
        <v>1</v>
      </c>
      <c r="W5" s="11" t="b">
        <v>0</v>
      </c>
      <c r="X5" s="11"/>
      <c r="Y5" s="11"/>
      <c r="Z5" s="11"/>
      <c r="AB5" s="30"/>
      <c r="AC5" s="12">
        <v>2.54700010315E11</v>
      </c>
      <c r="AD5" s="12"/>
      <c r="AE5" s="12">
        <f t="shared" si="5"/>
        <v>37</v>
      </c>
      <c r="AF5" s="70">
        <f t="shared" si="6"/>
        <v>42.84</v>
      </c>
      <c r="AG5" s="23"/>
      <c r="AH5" s="23">
        <v>10.0</v>
      </c>
      <c r="AI5" s="23">
        <v>17.0</v>
      </c>
      <c r="AJ5" s="23">
        <v>10.0</v>
      </c>
      <c r="AK5" s="23"/>
      <c r="AL5" s="12" t="s">
        <v>310</v>
      </c>
      <c r="AM5" s="71">
        <v>2.5700954479E10</v>
      </c>
      <c r="AN5" s="71">
        <v>1.61712787E8</v>
      </c>
      <c r="AO5" s="71"/>
      <c r="AP5" s="13" t="s">
        <v>80</v>
      </c>
      <c r="AQ5" s="13" t="s">
        <v>80</v>
      </c>
      <c r="AR5" s="13"/>
    </row>
    <row r="6">
      <c r="A6" s="12" t="s">
        <v>74</v>
      </c>
      <c r="B6" s="64">
        <v>1.0</v>
      </c>
      <c r="C6" s="12" t="s">
        <v>248</v>
      </c>
      <c r="D6" s="12" t="str">
        <f>vlookup(C6,'List of Chargers'!$A$2:$B$5,2,FALSE)</f>
        <v>Roam Hub</v>
      </c>
      <c r="E6" s="12" t="s">
        <v>73</v>
      </c>
      <c r="F6" s="12" t="s">
        <v>75</v>
      </c>
      <c r="G6" s="12" t="s">
        <v>87</v>
      </c>
      <c r="H6" s="13" t="str">
        <f t="shared" si="1"/>
        <v>#RH-KE-A-04</v>
      </c>
      <c r="I6" s="13" t="str">
        <f t="shared" si="2"/>
        <v>FO-NBI-01#RH-KE-A-04</v>
      </c>
      <c r="J6" s="25" t="s">
        <v>77</v>
      </c>
      <c r="K6" s="72">
        <v>44929.0</v>
      </c>
      <c r="L6" s="25" t="s">
        <v>302</v>
      </c>
      <c r="M6" s="25" t="s">
        <v>318</v>
      </c>
      <c r="N6" s="26" t="str">
        <f t="shared" si="3"/>
        <v>Roam Hub - Lusaka Road</v>
      </c>
      <c r="O6" s="26" t="str">
        <f t="shared" si="4"/>
        <v>FO-NBI-01#RH-KE-A-04: Roam Hub - Lusaka Road</v>
      </c>
      <c r="P6" s="67" t="s">
        <v>319</v>
      </c>
      <c r="Q6" s="13" t="s">
        <v>320</v>
      </c>
      <c r="R6" s="54">
        <v>2.54724051752E11</v>
      </c>
      <c r="S6" s="68" t="b">
        <v>1</v>
      </c>
      <c r="T6" s="68" t="b">
        <v>1</v>
      </c>
      <c r="U6" s="68" t="b">
        <v>0</v>
      </c>
      <c r="V6" s="69" t="b">
        <v>1</v>
      </c>
      <c r="W6" s="11" t="b">
        <v>0</v>
      </c>
      <c r="X6" s="11"/>
      <c r="Y6" s="11"/>
      <c r="Z6" s="11"/>
      <c r="AB6" s="30"/>
      <c r="AC6" s="12">
        <v>2.54745145482E11</v>
      </c>
      <c r="AD6" s="12"/>
      <c r="AE6" s="12">
        <f t="shared" si="5"/>
        <v>38</v>
      </c>
      <c r="AF6" s="70">
        <f t="shared" si="6"/>
        <v>38.388</v>
      </c>
      <c r="AG6" s="23"/>
      <c r="AH6" s="23">
        <v>13.0</v>
      </c>
      <c r="AI6" s="23">
        <v>19.0</v>
      </c>
      <c r="AJ6" s="23">
        <v>6.0</v>
      </c>
      <c r="AK6" s="23"/>
      <c r="AL6" s="12" t="s">
        <v>310</v>
      </c>
      <c r="AM6" s="71">
        <v>2.5700599993E10</v>
      </c>
      <c r="AN6" s="71">
        <v>1.63042405E8</v>
      </c>
      <c r="AO6" s="71"/>
      <c r="AP6" s="13" t="s">
        <v>80</v>
      </c>
      <c r="AQ6" s="13" t="s">
        <v>80</v>
      </c>
      <c r="AR6" s="13"/>
    </row>
    <row r="7">
      <c r="A7" s="12" t="s">
        <v>74</v>
      </c>
      <c r="B7" s="64">
        <v>1.0</v>
      </c>
      <c r="C7" s="12" t="s">
        <v>248</v>
      </c>
      <c r="D7" s="12" t="str">
        <f>vlookup(C7,'List of Chargers'!$A$2:$B$5,2,FALSE)</f>
        <v>Roam Hub</v>
      </c>
      <c r="E7" s="12" t="s">
        <v>73</v>
      </c>
      <c r="F7" s="12" t="s">
        <v>75</v>
      </c>
      <c r="G7" s="12" t="s">
        <v>91</v>
      </c>
      <c r="H7" s="13" t="str">
        <f t="shared" si="1"/>
        <v>#RH-KE-A-05</v>
      </c>
      <c r="I7" s="13" t="str">
        <f t="shared" si="2"/>
        <v>FO-NBI-01#RH-KE-A-05</v>
      </c>
      <c r="J7" s="25" t="s">
        <v>77</v>
      </c>
      <c r="K7" s="74">
        <v>44938.0</v>
      </c>
      <c r="L7" s="25" t="s">
        <v>321</v>
      </c>
      <c r="M7" s="25" t="s">
        <v>322</v>
      </c>
      <c r="N7" s="26" t="str">
        <f t="shared" si="3"/>
        <v>Roam Hub - Roysambu</v>
      </c>
      <c r="O7" s="26" t="str">
        <f t="shared" si="4"/>
        <v>FO-NBI-01#RH-KE-A-05: Roam Hub - Roysambu</v>
      </c>
      <c r="P7" s="67" t="s">
        <v>323</v>
      </c>
      <c r="Q7" s="13" t="s">
        <v>324</v>
      </c>
      <c r="R7" s="75">
        <v>2.54700838383E11</v>
      </c>
      <c r="S7" s="68" t="b">
        <v>1</v>
      </c>
      <c r="T7" s="68" t="b">
        <v>1</v>
      </c>
      <c r="U7" s="68" t="b">
        <v>0</v>
      </c>
      <c r="V7" s="69" t="b">
        <v>1</v>
      </c>
      <c r="W7" s="11" t="b">
        <v>0</v>
      </c>
      <c r="X7" s="11"/>
      <c r="Y7" s="28"/>
      <c r="Z7" s="11"/>
      <c r="AA7" s="11"/>
      <c r="AB7" s="11"/>
      <c r="AC7" s="12">
        <v>2.54111917217E11</v>
      </c>
      <c r="AD7" s="12"/>
      <c r="AE7" s="12">
        <f t="shared" si="5"/>
        <v>42</v>
      </c>
      <c r="AF7" s="70">
        <f t="shared" si="6"/>
        <v>47.88</v>
      </c>
      <c r="AG7" s="23"/>
      <c r="AH7" s="23"/>
      <c r="AI7" s="23">
        <v>32.0</v>
      </c>
      <c r="AJ7" s="23">
        <v>10.0</v>
      </c>
      <c r="AK7" s="23"/>
      <c r="AL7" s="12" t="s">
        <v>310</v>
      </c>
      <c r="AM7" s="71">
        <v>9.2802562857E10</v>
      </c>
      <c r="AN7" s="71">
        <v>1.77073766E8</v>
      </c>
      <c r="AO7" s="71"/>
      <c r="AP7" s="13" t="s">
        <v>80</v>
      </c>
      <c r="AQ7" s="13" t="s">
        <v>80</v>
      </c>
      <c r="AR7" s="13"/>
    </row>
    <row r="8">
      <c r="A8" s="12" t="s">
        <v>74</v>
      </c>
      <c r="B8" s="64">
        <v>1.0</v>
      </c>
      <c r="C8" s="12" t="s">
        <v>248</v>
      </c>
      <c r="D8" s="12" t="str">
        <f>vlookup(C8,'List of Chargers'!$A$2:$B$5,2,FALSE)</f>
        <v>Roam Hub</v>
      </c>
      <c r="E8" s="12" t="s">
        <v>73</v>
      </c>
      <c r="F8" s="12" t="s">
        <v>75</v>
      </c>
      <c r="G8" s="12" t="s">
        <v>95</v>
      </c>
      <c r="H8" s="13" t="str">
        <f t="shared" si="1"/>
        <v>#RH-KE-A-06</v>
      </c>
      <c r="I8" s="13" t="str">
        <f t="shared" si="2"/>
        <v>FO-NBI-01#RH-KE-A-06</v>
      </c>
      <c r="J8" s="25" t="s">
        <v>77</v>
      </c>
      <c r="K8" s="74">
        <v>45573.0</v>
      </c>
      <c r="L8" s="25" t="s">
        <v>302</v>
      </c>
      <c r="M8" s="25" t="s">
        <v>325</v>
      </c>
      <c r="N8" s="26" t="str">
        <f t="shared" si="3"/>
        <v>Roam Hub - Sabaki</v>
      </c>
      <c r="O8" s="26" t="str">
        <f t="shared" si="4"/>
        <v>FO-NBI-01#RH-KE-A-06: Roam Hub - Sabaki</v>
      </c>
      <c r="P8" s="67" t="s">
        <v>326</v>
      </c>
      <c r="R8" s="54">
        <v>2.54114930589E11</v>
      </c>
      <c r="S8" s="73" t="b">
        <v>1</v>
      </c>
      <c r="T8" s="73" t="b">
        <v>1</v>
      </c>
      <c r="U8" s="73" t="b">
        <v>0</v>
      </c>
      <c r="V8" s="69" t="b">
        <v>1</v>
      </c>
      <c r="W8" s="11" t="b">
        <v>0</v>
      </c>
      <c r="X8" s="11"/>
      <c r="Y8" s="11"/>
      <c r="Z8" s="30"/>
      <c r="AA8" s="30"/>
      <c r="AB8" s="30"/>
      <c r="AC8" s="30"/>
      <c r="AD8" s="30"/>
      <c r="AE8" s="12">
        <f t="shared" si="5"/>
        <v>24</v>
      </c>
      <c r="AF8" s="70">
        <f t="shared" si="6"/>
        <v>27.72</v>
      </c>
      <c r="AG8" s="23"/>
      <c r="AH8" s="76"/>
      <c r="AI8" s="23">
        <v>18.0</v>
      </c>
      <c r="AJ8" s="23">
        <v>6.0</v>
      </c>
      <c r="AK8" s="76"/>
      <c r="AL8" s="12" t="s">
        <v>310</v>
      </c>
      <c r="AM8" s="71">
        <v>9.2800485606E10</v>
      </c>
      <c r="AN8" s="71">
        <v>1.75846847E8</v>
      </c>
      <c r="AO8" s="71"/>
      <c r="AP8" s="13" t="s">
        <v>80</v>
      </c>
      <c r="AQ8" s="13" t="s">
        <v>80</v>
      </c>
      <c r="AR8" s="13"/>
    </row>
    <row r="9">
      <c r="A9" s="12" t="s">
        <v>74</v>
      </c>
      <c r="B9" s="64">
        <v>1.0</v>
      </c>
      <c r="C9" s="12" t="s">
        <v>248</v>
      </c>
      <c r="D9" s="12" t="str">
        <f>vlookup(C9,'List of Chargers'!$A$2:$B$5,2,FALSE)</f>
        <v>Roam Hub</v>
      </c>
      <c r="E9" s="12" t="s">
        <v>73</v>
      </c>
      <c r="F9" s="12" t="s">
        <v>75</v>
      </c>
      <c r="G9" s="12" t="s">
        <v>96</v>
      </c>
      <c r="H9" s="13" t="str">
        <f t="shared" si="1"/>
        <v>#RH-KE-A-07</v>
      </c>
      <c r="I9" s="13" t="str">
        <f t="shared" si="2"/>
        <v>FO-NBI-01#RH-KE-A-07</v>
      </c>
      <c r="J9" s="25" t="s">
        <v>77</v>
      </c>
      <c r="K9" s="74">
        <v>45300.0</v>
      </c>
      <c r="L9" s="25" t="s">
        <v>327</v>
      </c>
      <c r="M9" s="25" t="s">
        <v>328</v>
      </c>
      <c r="N9" s="26" t="str">
        <f t="shared" si="3"/>
        <v>Roam Hub - Forest Road</v>
      </c>
      <c r="O9" s="26" t="str">
        <f t="shared" si="4"/>
        <v>FO-NBI-01#RH-KE-A-07: Roam Hub - Forest Road</v>
      </c>
      <c r="P9" s="77" t="s">
        <v>329</v>
      </c>
      <c r="Q9" s="13" t="s">
        <v>330</v>
      </c>
      <c r="R9" s="54">
        <v>2.54722528051E11</v>
      </c>
      <c r="S9" s="73" t="b">
        <v>1</v>
      </c>
      <c r="T9" s="73" t="b">
        <v>1</v>
      </c>
      <c r="U9" s="78" t="b">
        <v>0</v>
      </c>
      <c r="V9" s="69" t="b">
        <v>1</v>
      </c>
      <c r="W9" s="11" t="b">
        <v>0</v>
      </c>
      <c r="X9" s="11"/>
      <c r="Y9" s="11"/>
      <c r="Z9" s="30"/>
      <c r="AA9" s="30"/>
      <c r="AB9" s="30"/>
      <c r="AC9" s="12">
        <v>2.54112685256E11</v>
      </c>
      <c r="AD9" s="30"/>
      <c r="AE9" s="12">
        <f t="shared" si="5"/>
        <v>30</v>
      </c>
      <c r="AF9" s="70">
        <f t="shared" si="6"/>
        <v>31.668</v>
      </c>
      <c r="AG9" s="23"/>
      <c r="AH9" s="23">
        <v>13.0</v>
      </c>
      <c r="AI9" s="23">
        <v>11.0</v>
      </c>
      <c r="AJ9" s="23">
        <v>6.0</v>
      </c>
      <c r="AK9" s="23"/>
      <c r="AL9" s="12" t="s">
        <v>52</v>
      </c>
      <c r="AM9" s="79"/>
      <c r="AN9" s="79"/>
      <c r="AO9" s="79"/>
      <c r="AP9" s="13" t="s">
        <v>80</v>
      </c>
      <c r="AQ9" s="13" t="s">
        <v>80</v>
      </c>
      <c r="AR9" s="13"/>
    </row>
    <row r="10" ht="15.0" customHeight="1">
      <c r="A10" s="12" t="s">
        <v>74</v>
      </c>
      <c r="B10" s="64">
        <v>1.0</v>
      </c>
      <c r="C10" s="12" t="s">
        <v>248</v>
      </c>
      <c r="D10" s="12" t="str">
        <f>vlookup(C10,'List of Chargers'!$A$2:$B$5,2,FALSE)</f>
        <v>Roam Hub</v>
      </c>
      <c r="E10" s="12" t="s">
        <v>73</v>
      </c>
      <c r="F10" s="12" t="s">
        <v>75</v>
      </c>
      <c r="G10" s="12" t="s">
        <v>97</v>
      </c>
      <c r="H10" s="13" t="str">
        <f t="shared" si="1"/>
        <v>#RH-KE-A-08</v>
      </c>
      <c r="I10" s="13" t="str">
        <f t="shared" si="2"/>
        <v>FO-NBI-01#RH-KE-A-08</v>
      </c>
      <c r="J10" s="25" t="s">
        <v>77</v>
      </c>
      <c r="K10" s="74">
        <v>45717.0</v>
      </c>
      <c r="L10" s="25" t="s">
        <v>302</v>
      </c>
      <c r="M10" s="25" t="s">
        <v>331</v>
      </c>
      <c r="N10" s="26" t="str">
        <f t="shared" si="3"/>
        <v>Roam Hub - Karambee</v>
      </c>
      <c r="O10" s="26" t="str">
        <f t="shared" si="4"/>
        <v>FO-NBI-01#RH-KE-A-08: Roam Hub - Karambee</v>
      </c>
      <c r="P10" s="77" t="s">
        <v>332</v>
      </c>
      <c r="R10" s="54">
        <v>2.54117473213E11</v>
      </c>
      <c r="S10" s="73" t="b">
        <v>1</v>
      </c>
      <c r="T10" s="73" t="b">
        <v>1</v>
      </c>
      <c r="U10" s="73" t="b">
        <v>0</v>
      </c>
      <c r="V10" s="69" t="b">
        <v>1</v>
      </c>
      <c r="W10" s="11" t="b">
        <v>0</v>
      </c>
      <c r="X10" s="11"/>
      <c r="Y10" s="11"/>
      <c r="Z10" s="30"/>
      <c r="AA10" s="30"/>
      <c r="AB10" s="30"/>
      <c r="AC10" s="12">
        <v>2.54117473213E11</v>
      </c>
      <c r="AD10" s="30"/>
      <c r="AE10" s="12">
        <f t="shared" si="5"/>
        <v>31</v>
      </c>
      <c r="AF10" s="70">
        <f t="shared" si="6"/>
        <v>37.38</v>
      </c>
      <c r="AG10" s="23"/>
      <c r="AH10" s="23">
        <v>15.0</v>
      </c>
      <c r="AI10" s="23">
        <v>6.0</v>
      </c>
      <c r="AJ10" s="23">
        <v>10.0</v>
      </c>
      <c r="AK10" s="76"/>
      <c r="AL10" s="12" t="s">
        <v>52</v>
      </c>
      <c r="AM10" s="71">
        <v>9.2800562289E10</v>
      </c>
      <c r="AN10" s="71">
        <v>1.69093444E8</v>
      </c>
      <c r="AO10" s="71"/>
      <c r="AP10" s="13" t="s">
        <v>80</v>
      </c>
      <c r="AQ10" s="13" t="s">
        <v>80</v>
      </c>
      <c r="AR10" s="13"/>
    </row>
    <row r="11" hidden="1">
      <c r="A11" s="12" t="s">
        <v>74</v>
      </c>
      <c r="B11" s="64">
        <v>1.0</v>
      </c>
      <c r="C11" s="12" t="s">
        <v>248</v>
      </c>
      <c r="D11" s="12" t="str">
        <f>vlookup(C11,'List of Chargers'!$A$2:$B$5,2,FALSE)</f>
        <v>Roam Hub</v>
      </c>
      <c r="E11" s="12" t="s">
        <v>73</v>
      </c>
      <c r="F11" s="12" t="s">
        <v>75</v>
      </c>
      <c r="G11" s="12" t="s">
        <v>98</v>
      </c>
      <c r="H11" s="13" t="str">
        <f t="shared" si="1"/>
        <v>#RH-KE-A-09</v>
      </c>
      <c r="I11" s="13" t="str">
        <f t="shared" si="2"/>
        <v>FO-NBI-01#RH-KE-A-09</v>
      </c>
      <c r="J11" s="25" t="s">
        <v>88</v>
      </c>
      <c r="K11" s="66" t="s">
        <v>333</v>
      </c>
      <c r="L11" s="25" t="s">
        <v>334</v>
      </c>
      <c r="M11" s="25" t="s">
        <v>335</v>
      </c>
      <c r="N11" s="26" t="str">
        <f t="shared" si="3"/>
        <v>Roam Hub - Oryx Ruai</v>
      </c>
      <c r="O11" s="26" t="str">
        <f t="shared" si="4"/>
        <v>FO-NBI-01#RH-KE-A-09: Roam Hub - Oryx Ruai</v>
      </c>
      <c r="P11" s="67" t="s">
        <v>336</v>
      </c>
      <c r="R11" s="53"/>
      <c r="S11" s="73" t="b">
        <v>1</v>
      </c>
      <c r="T11" s="73" t="b">
        <v>1</v>
      </c>
      <c r="U11" s="78" t="b">
        <v>0</v>
      </c>
      <c r="V11" s="12" t="b">
        <v>1</v>
      </c>
      <c r="W11" s="11" t="b">
        <v>0</v>
      </c>
      <c r="X11" s="11"/>
      <c r="Y11" s="28"/>
      <c r="Z11" s="30"/>
      <c r="AA11" s="30"/>
      <c r="AB11" s="30"/>
      <c r="AC11" s="30"/>
      <c r="AD11" s="30"/>
      <c r="AE11" s="12">
        <f t="shared" si="5"/>
        <v>0</v>
      </c>
      <c r="AF11" s="70">
        <f t="shared" si="6"/>
        <v>0</v>
      </c>
      <c r="AG11" s="23"/>
      <c r="AH11" s="23"/>
      <c r="AI11" s="23"/>
      <c r="AJ11" s="76"/>
      <c r="AK11" s="76"/>
      <c r="AL11" s="12" t="s">
        <v>52</v>
      </c>
      <c r="AM11" s="79"/>
      <c r="AN11" s="79"/>
      <c r="AO11" s="79"/>
      <c r="AP11" s="13" t="s">
        <v>80</v>
      </c>
      <c r="AQ11" s="13" t="s">
        <v>80</v>
      </c>
      <c r="AR11" s="13"/>
    </row>
    <row r="12">
      <c r="A12" s="12" t="s">
        <v>74</v>
      </c>
      <c r="B12" s="64">
        <v>3.0</v>
      </c>
      <c r="C12" s="12" t="s">
        <v>248</v>
      </c>
      <c r="D12" s="12" t="str">
        <f>vlookup(C12,'List of Chargers'!$A$2:$B$5,2,FALSE)</f>
        <v>Roam Hub</v>
      </c>
      <c r="E12" s="12" t="s">
        <v>73</v>
      </c>
      <c r="F12" s="12" t="s">
        <v>75</v>
      </c>
      <c r="G12" s="12" t="s">
        <v>99</v>
      </c>
      <c r="H12" s="13" t="str">
        <f t="shared" si="1"/>
        <v>#RH-KE-A-10</v>
      </c>
      <c r="I12" s="13" t="str">
        <f t="shared" si="2"/>
        <v>FO-NBI-03#RH-KE-A-10</v>
      </c>
      <c r="J12" s="25" t="s">
        <v>77</v>
      </c>
      <c r="K12" s="66"/>
      <c r="L12" s="25" t="s">
        <v>337</v>
      </c>
      <c r="M12" s="25" t="s">
        <v>338</v>
      </c>
      <c r="N12" s="26" t="str">
        <f t="shared" si="3"/>
        <v>Roam Hub - Machakos Town</v>
      </c>
      <c r="O12" s="26" t="str">
        <f t="shared" si="4"/>
        <v>FO-NBI-03#RH-KE-A-10: Roam Hub - Machakos Town</v>
      </c>
      <c r="P12" s="77" t="s">
        <v>339</v>
      </c>
      <c r="R12" s="53"/>
      <c r="S12" s="73" t="b">
        <v>1</v>
      </c>
      <c r="T12" s="73" t="b">
        <v>1</v>
      </c>
      <c r="U12" s="78" t="b">
        <v>0</v>
      </c>
      <c r="V12" s="12" t="b">
        <v>1</v>
      </c>
      <c r="W12" s="30" t="b">
        <v>0</v>
      </c>
      <c r="X12" s="30"/>
      <c r="Y12" s="11"/>
      <c r="Z12" s="30"/>
      <c r="AA12" s="30"/>
      <c r="AB12" s="30"/>
      <c r="AC12" s="30"/>
      <c r="AD12" s="30"/>
      <c r="AE12" s="12">
        <f t="shared" si="5"/>
        <v>16</v>
      </c>
      <c r="AF12" s="70">
        <f t="shared" si="6"/>
        <v>21</v>
      </c>
      <c r="AG12" s="23"/>
      <c r="AH12" s="23"/>
      <c r="AI12" s="23">
        <v>10.0</v>
      </c>
      <c r="AJ12" s="23">
        <v>6.0</v>
      </c>
      <c r="AK12" s="76"/>
      <c r="AL12" s="12" t="s">
        <v>52</v>
      </c>
      <c r="AM12" s="79"/>
      <c r="AN12" s="79"/>
      <c r="AO12" s="79"/>
      <c r="AP12" s="13" t="s">
        <v>80</v>
      </c>
      <c r="AQ12" s="13" t="s">
        <v>80</v>
      </c>
    </row>
    <row r="13">
      <c r="A13" s="12" t="s">
        <v>74</v>
      </c>
      <c r="B13" s="64">
        <v>1.0</v>
      </c>
      <c r="C13" s="12" t="s">
        <v>248</v>
      </c>
      <c r="D13" s="12" t="str">
        <f>vlookup(C13,'List of Chargers'!$A$2:$B$5,2,FALSE)</f>
        <v>Roam Hub</v>
      </c>
      <c r="E13" s="12" t="s">
        <v>73</v>
      </c>
      <c r="F13" s="12" t="s">
        <v>75</v>
      </c>
      <c r="G13" s="12" t="s">
        <v>100</v>
      </c>
      <c r="H13" s="13" t="str">
        <f t="shared" si="1"/>
        <v>#RH-KE-A-11</v>
      </c>
      <c r="I13" s="13" t="str">
        <f t="shared" si="2"/>
        <v>FO-NBI-01#RH-KE-A-11</v>
      </c>
      <c r="J13" s="25" t="s">
        <v>77</v>
      </c>
      <c r="K13" s="66" t="s">
        <v>340</v>
      </c>
      <c r="L13" s="25" t="s">
        <v>341</v>
      </c>
      <c r="M13" s="25" t="s">
        <v>342</v>
      </c>
      <c r="N13" s="26" t="str">
        <f t="shared" si="3"/>
        <v>Roam Hub - Ojijo</v>
      </c>
      <c r="O13" s="26" t="str">
        <f t="shared" si="4"/>
        <v>FO-NBI-01#RH-KE-A-11: Roam Hub - Ojijo</v>
      </c>
      <c r="P13" s="80" t="s">
        <v>343</v>
      </c>
      <c r="R13" s="53"/>
      <c r="S13" s="73" t="b">
        <v>1</v>
      </c>
      <c r="T13" s="73" t="b">
        <v>1</v>
      </c>
      <c r="U13" s="78" t="b">
        <v>0</v>
      </c>
      <c r="V13" s="12" t="b">
        <v>1</v>
      </c>
      <c r="W13" s="30" t="b">
        <v>0</v>
      </c>
      <c r="X13" s="30"/>
      <c r="Y13" s="11"/>
      <c r="Z13" s="30"/>
      <c r="AA13" s="30"/>
      <c r="AB13" s="30"/>
      <c r="AC13" s="30"/>
      <c r="AD13" s="30"/>
      <c r="AE13" s="12">
        <f t="shared" si="5"/>
        <v>30</v>
      </c>
      <c r="AF13" s="70">
        <f t="shared" si="6"/>
        <v>31.92</v>
      </c>
      <c r="AG13" s="23"/>
      <c r="AH13" s="23">
        <v>10.0</v>
      </c>
      <c r="AI13" s="23">
        <v>14.0</v>
      </c>
      <c r="AJ13" s="23">
        <v>6.0</v>
      </c>
      <c r="AK13" s="76"/>
      <c r="AL13" s="12" t="s">
        <v>52</v>
      </c>
      <c r="AM13" s="71">
        <v>9.280054629E10</v>
      </c>
      <c r="AN13" s="71">
        <v>1.79263787E8</v>
      </c>
      <c r="AO13" s="71"/>
      <c r="AP13" s="13" t="s">
        <v>80</v>
      </c>
      <c r="AQ13" s="13" t="s">
        <v>80</v>
      </c>
      <c r="AR13" s="13"/>
    </row>
    <row r="14" hidden="1">
      <c r="A14" s="12" t="s">
        <v>74</v>
      </c>
      <c r="B14" s="64"/>
      <c r="C14" s="12" t="s">
        <v>248</v>
      </c>
      <c r="D14" s="12" t="str">
        <f>vlookup(C14,'List of Chargers'!$A$2:$B$5,2,FALSE)</f>
        <v>Roam Hub</v>
      </c>
      <c r="E14" s="12" t="s">
        <v>73</v>
      </c>
      <c r="F14" s="12" t="s">
        <v>75</v>
      </c>
      <c r="G14" s="12" t="s">
        <v>101</v>
      </c>
      <c r="H14" s="13" t="str">
        <f t="shared" si="1"/>
        <v>#RH-KE-A-12</v>
      </c>
      <c r="I14" s="13" t="str">
        <f t="shared" si="2"/>
        <v>FO-NBI-00#RH-KE-A-12</v>
      </c>
      <c r="J14" s="25"/>
      <c r="K14" s="66" t="s">
        <v>344</v>
      </c>
      <c r="L14" s="25"/>
      <c r="M14" s="25"/>
      <c r="N14" s="26" t="str">
        <f t="shared" si="3"/>
        <v>Roam Hub - </v>
      </c>
      <c r="O14" s="26" t="str">
        <f t="shared" si="4"/>
        <v>FO-NBI-00#RH-KE-A-12: Roam Hub - </v>
      </c>
      <c r="R14" s="53"/>
      <c r="S14" s="73" t="b">
        <v>1</v>
      </c>
      <c r="T14" s="73" t="b">
        <v>1</v>
      </c>
      <c r="U14" s="78" t="b">
        <v>0</v>
      </c>
      <c r="V14" s="12" t="b">
        <v>1</v>
      </c>
      <c r="W14" s="30" t="b">
        <v>0</v>
      </c>
      <c r="X14" s="30"/>
      <c r="Y14" s="11"/>
      <c r="Z14" s="30"/>
      <c r="AA14" s="30"/>
      <c r="AB14" s="30"/>
      <c r="AC14" s="50"/>
      <c r="AD14" s="30"/>
      <c r="AE14" s="12">
        <f t="shared" si="5"/>
        <v>0</v>
      </c>
      <c r="AF14" s="70">
        <f t="shared" si="6"/>
        <v>0</v>
      </c>
      <c r="AG14" s="76"/>
      <c r="AH14" s="76"/>
      <c r="AI14" s="76"/>
      <c r="AJ14" s="76"/>
      <c r="AK14" s="76"/>
      <c r="AL14" s="30"/>
      <c r="AM14" s="79"/>
      <c r="AN14" s="79"/>
      <c r="AO14" s="79"/>
    </row>
    <row r="15" hidden="1">
      <c r="A15" s="12" t="s">
        <v>74</v>
      </c>
      <c r="B15" s="64"/>
      <c r="C15" s="12" t="s">
        <v>248</v>
      </c>
      <c r="D15" s="12" t="str">
        <f>vlookup(C15,'List of Chargers'!$A$2:$B$5,2,FALSE)</f>
        <v>Roam Hub</v>
      </c>
      <c r="E15" s="12" t="s">
        <v>73</v>
      </c>
      <c r="F15" s="12" t="s">
        <v>75</v>
      </c>
      <c r="G15" s="12" t="s">
        <v>102</v>
      </c>
      <c r="H15" s="13" t="str">
        <f t="shared" si="1"/>
        <v>#RH-KE-A-13</v>
      </c>
      <c r="I15" s="13" t="str">
        <f t="shared" si="2"/>
        <v>FO-NBI-00#RH-KE-A-13</v>
      </c>
      <c r="J15" s="25"/>
      <c r="K15" s="66"/>
      <c r="L15" s="25"/>
      <c r="M15" s="25"/>
      <c r="N15" s="26" t="str">
        <f t="shared" si="3"/>
        <v>Roam Hub - </v>
      </c>
      <c r="O15" s="26" t="str">
        <f t="shared" si="4"/>
        <v>FO-NBI-00#RH-KE-A-13: Roam Hub - </v>
      </c>
      <c r="R15" s="53"/>
      <c r="S15" s="78" t="b">
        <v>0</v>
      </c>
      <c r="T15" s="78" t="b">
        <v>0</v>
      </c>
      <c r="U15" s="78" t="b">
        <v>0</v>
      </c>
      <c r="V15" s="12" t="b">
        <v>1</v>
      </c>
      <c r="W15" s="30" t="b">
        <v>0</v>
      </c>
      <c r="X15" s="30"/>
      <c r="Y15" s="30"/>
      <c r="Z15" s="30"/>
      <c r="AA15" s="30"/>
      <c r="AB15" s="30"/>
      <c r="AC15" s="50"/>
      <c r="AD15" s="30"/>
      <c r="AE15" s="12">
        <f t="shared" si="5"/>
        <v>0</v>
      </c>
      <c r="AF15" s="70">
        <f t="shared" si="6"/>
        <v>0</v>
      </c>
      <c r="AG15" s="76"/>
      <c r="AH15" s="76"/>
      <c r="AI15" s="76"/>
      <c r="AJ15" s="76"/>
      <c r="AK15" s="76"/>
      <c r="AL15" s="30"/>
      <c r="AM15" s="79"/>
      <c r="AN15" s="79"/>
      <c r="AO15" s="79"/>
    </row>
    <row r="16" hidden="1">
      <c r="A16" s="12" t="s">
        <v>74</v>
      </c>
      <c r="B16" s="64"/>
      <c r="C16" s="12" t="s">
        <v>248</v>
      </c>
      <c r="D16" s="12" t="str">
        <f>vlookup(C16,'List of Chargers'!$A$2:$B$5,2,FALSE)</f>
        <v>Roam Hub</v>
      </c>
      <c r="E16" s="12" t="s">
        <v>73</v>
      </c>
      <c r="F16" s="12" t="s">
        <v>75</v>
      </c>
      <c r="G16" s="12" t="s">
        <v>103</v>
      </c>
      <c r="H16" s="13" t="str">
        <f t="shared" si="1"/>
        <v>#RH-KE-A-14</v>
      </c>
      <c r="I16" s="13" t="str">
        <f t="shared" si="2"/>
        <v>FO-NBI-00#RH-KE-A-14</v>
      </c>
      <c r="J16" s="25"/>
      <c r="K16" s="66"/>
      <c r="L16" s="25"/>
      <c r="M16" s="25"/>
      <c r="N16" s="26" t="str">
        <f t="shared" si="3"/>
        <v>Roam Hub - </v>
      </c>
      <c r="O16" s="26" t="str">
        <f t="shared" si="4"/>
        <v>FO-NBI-00#RH-KE-A-14: Roam Hub - </v>
      </c>
      <c r="R16" s="53"/>
      <c r="S16" s="78" t="b">
        <v>0</v>
      </c>
      <c r="T16" s="78" t="b">
        <v>0</v>
      </c>
      <c r="U16" s="78" t="b">
        <v>0</v>
      </c>
      <c r="V16" s="12" t="b">
        <v>1</v>
      </c>
      <c r="W16" s="30" t="b">
        <v>0</v>
      </c>
      <c r="X16" s="30"/>
      <c r="Y16" s="30"/>
      <c r="Z16" s="30"/>
      <c r="AA16" s="30"/>
      <c r="AB16" s="30"/>
      <c r="AC16" s="50"/>
      <c r="AD16" s="30"/>
      <c r="AE16" s="12">
        <f t="shared" si="5"/>
        <v>0</v>
      </c>
      <c r="AF16" s="70">
        <f t="shared" si="6"/>
        <v>0</v>
      </c>
      <c r="AG16" s="76"/>
      <c r="AH16" s="76"/>
      <c r="AI16" s="76"/>
      <c r="AJ16" s="76"/>
      <c r="AK16" s="76"/>
      <c r="AL16" s="30"/>
      <c r="AM16" s="79"/>
      <c r="AN16" s="79"/>
      <c r="AO16" s="79"/>
    </row>
    <row r="17" hidden="1">
      <c r="A17" s="12" t="s">
        <v>74</v>
      </c>
      <c r="B17" s="64"/>
      <c r="C17" s="12" t="s">
        <v>248</v>
      </c>
      <c r="D17" s="12" t="str">
        <f>vlookup(C17,'List of Chargers'!$A$2:$B$5,2,FALSE)</f>
        <v>Roam Hub</v>
      </c>
      <c r="E17" s="12" t="s">
        <v>73</v>
      </c>
      <c r="F17" s="12" t="s">
        <v>75</v>
      </c>
      <c r="G17" s="12" t="s">
        <v>104</v>
      </c>
      <c r="H17" s="13" t="str">
        <f t="shared" si="1"/>
        <v>#RH-KE-A-15</v>
      </c>
      <c r="I17" s="13" t="str">
        <f t="shared" si="2"/>
        <v>FO-NBI-00#RH-KE-A-15</v>
      </c>
      <c r="J17" s="25"/>
      <c r="K17" s="66"/>
      <c r="L17" s="31"/>
      <c r="M17" s="31"/>
      <c r="N17" s="26" t="str">
        <f t="shared" si="3"/>
        <v>Roam Hub - </v>
      </c>
      <c r="O17" s="26" t="str">
        <f t="shared" si="4"/>
        <v>FO-NBI-00#RH-KE-A-15: Roam Hub - </v>
      </c>
      <c r="R17" s="53"/>
      <c r="S17" s="78" t="b">
        <v>0</v>
      </c>
      <c r="T17" s="78" t="b">
        <v>0</v>
      </c>
      <c r="U17" s="78" t="b">
        <v>0</v>
      </c>
      <c r="V17" s="12" t="b">
        <v>1</v>
      </c>
      <c r="W17" s="30" t="b">
        <v>0</v>
      </c>
      <c r="X17" s="30"/>
      <c r="Y17" s="30"/>
      <c r="Z17" s="30"/>
      <c r="AA17" s="30"/>
      <c r="AB17" s="30"/>
      <c r="AC17" s="50"/>
      <c r="AD17" s="30"/>
      <c r="AE17" s="12">
        <f t="shared" si="5"/>
        <v>0</v>
      </c>
      <c r="AF17" s="70">
        <f t="shared" si="6"/>
        <v>0</v>
      </c>
      <c r="AG17" s="76"/>
      <c r="AH17" s="76"/>
      <c r="AI17" s="76"/>
      <c r="AJ17" s="76"/>
      <c r="AK17" s="76"/>
      <c r="AL17" s="30"/>
      <c r="AM17" s="79"/>
      <c r="AN17" s="79"/>
      <c r="AO17" s="79"/>
    </row>
    <row r="18">
      <c r="A18" s="12" t="s">
        <v>74</v>
      </c>
      <c r="B18" s="64">
        <v>1.0</v>
      </c>
      <c r="C18" s="12" t="s">
        <v>248</v>
      </c>
      <c r="D18" s="12" t="str">
        <f>vlookup(C18,'List of Chargers'!$A$2:$B$5,2,FALSE)</f>
        <v>Roam Hub</v>
      </c>
      <c r="E18" s="12" t="s">
        <v>73</v>
      </c>
      <c r="F18" s="12" t="s">
        <v>75</v>
      </c>
      <c r="G18" s="12" t="s">
        <v>105</v>
      </c>
      <c r="H18" s="13" t="str">
        <f t="shared" si="1"/>
        <v>#RH-KE-A-16</v>
      </c>
      <c r="I18" s="13" t="str">
        <f t="shared" si="2"/>
        <v>FO-NBI-01#RH-KE-A-16</v>
      </c>
      <c r="J18" s="25" t="s">
        <v>77</v>
      </c>
      <c r="K18" s="66" t="s">
        <v>345</v>
      </c>
      <c r="L18" s="25" t="s">
        <v>346</v>
      </c>
      <c r="M18" s="25" t="s">
        <v>347</v>
      </c>
      <c r="N18" s="26" t="str">
        <f t="shared" si="3"/>
        <v>Roam Hub - Roam Park</v>
      </c>
      <c r="O18" s="26" t="str">
        <f t="shared" si="4"/>
        <v>FO-NBI-01#RH-KE-A-16: Roam Hub - Roam Park</v>
      </c>
      <c r="P18" s="81" t="s">
        <v>348</v>
      </c>
      <c r="R18" s="53"/>
      <c r="S18" s="78" t="b">
        <v>0</v>
      </c>
      <c r="T18" s="78" t="b">
        <v>0</v>
      </c>
      <c r="U18" s="78" t="b">
        <v>0</v>
      </c>
      <c r="V18" s="12" t="b">
        <v>1</v>
      </c>
      <c r="W18" s="30" t="b">
        <v>0</v>
      </c>
      <c r="X18" s="30"/>
      <c r="Y18" s="30"/>
      <c r="Z18" s="30"/>
      <c r="AA18" s="30"/>
      <c r="AB18" s="30"/>
      <c r="AC18" s="30"/>
      <c r="AD18" s="30"/>
      <c r="AE18" s="12">
        <f t="shared" si="5"/>
        <v>18</v>
      </c>
      <c r="AF18" s="70">
        <f t="shared" si="6"/>
        <v>37.8</v>
      </c>
      <c r="AG18" s="76"/>
      <c r="AH18" s="76"/>
      <c r="AI18" s="76"/>
      <c r="AJ18" s="23">
        <v>18.0</v>
      </c>
      <c r="AK18" s="76"/>
      <c r="AL18" s="12" t="s">
        <v>52</v>
      </c>
      <c r="AM18" s="79"/>
      <c r="AN18" s="79"/>
      <c r="AO18" s="79"/>
      <c r="AP18" s="13" t="s">
        <v>80</v>
      </c>
      <c r="AQ18" s="13" t="s">
        <v>80</v>
      </c>
      <c r="AR18" s="13"/>
    </row>
    <row r="19">
      <c r="A19" s="12" t="s">
        <v>74</v>
      </c>
      <c r="B19" s="64">
        <v>1.0</v>
      </c>
      <c r="C19" s="12" t="s">
        <v>248</v>
      </c>
      <c r="D19" s="12" t="str">
        <f>vlookup(C19,'List of Chargers'!$A$2:$B$5,2,FALSE)</f>
        <v>Roam Hub</v>
      </c>
      <c r="E19" s="12" t="s">
        <v>73</v>
      </c>
      <c r="F19" s="12" t="s">
        <v>75</v>
      </c>
      <c r="G19" s="12" t="s">
        <v>106</v>
      </c>
      <c r="H19" s="13" t="str">
        <f t="shared" si="1"/>
        <v>#RH-KE-A-17</v>
      </c>
      <c r="I19" s="13" t="str">
        <f t="shared" si="2"/>
        <v>FO-NBI-01#RH-KE-A-17</v>
      </c>
      <c r="J19" s="25" t="s">
        <v>77</v>
      </c>
      <c r="K19" s="66" t="s">
        <v>349</v>
      </c>
      <c r="L19" s="25" t="s">
        <v>346</v>
      </c>
      <c r="M19" s="25" t="s">
        <v>350</v>
      </c>
      <c r="N19" s="26" t="str">
        <f t="shared" si="3"/>
        <v>Roam Hub - Suguta</v>
      </c>
      <c r="O19" s="26" t="str">
        <f t="shared" si="4"/>
        <v>FO-NBI-01#RH-KE-A-17: Roam Hub - Suguta</v>
      </c>
      <c r="P19" s="81" t="s">
        <v>351</v>
      </c>
      <c r="Q19" s="13" t="s">
        <v>352</v>
      </c>
      <c r="R19" s="54">
        <v>7.24148162E8</v>
      </c>
      <c r="S19" s="73" t="b">
        <v>1</v>
      </c>
      <c r="T19" s="73" t="b">
        <v>1</v>
      </c>
      <c r="U19" s="78" t="b">
        <v>0</v>
      </c>
      <c r="V19" s="30" t="b">
        <v>0</v>
      </c>
      <c r="W19" s="12" t="b">
        <v>1</v>
      </c>
      <c r="X19" s="30"/>
      <c r="Y19" s="30"/>
      <c r="Z19" s="30"/>
      <c r="AA19" s="30"/>
      <c r="AB19" s="30"/>
      <c r="AC19" s="12">
        <v>2.54704264393E11</v>
      </c>
      <c r="AD19" s="30"/>
      <c r="AE19" s="12">
        <f t="shared" si="5"/>
        <v>60</v>
      </c>
      <c r="AF19" s="70">
        <f t="shared" si="6"/>
        <v>53.508</v>
      </c>
      <c r="AG19" s="23">
        <v>6.0</v>
      </c>
      <c r="AH19" s="23">
        <v>29.0</v>
      </c>
      <c r="AI19" s="23">
        <v>19.0</v>
      </c>
      <c r="AJ19" s="23">
        <v>6.0</v>
      </c>
      <c r="AK19" s="23"/>
      <c r="AL19" s="12" t="s">
        <v>52</v>
      </c>
      <c r="AM19" s="79"/>
      <c r="AN19" s="79"/>
      <c r="AO19" s="79"/>
      <c r="AP19" s="13" t="s">
        <v>80</v>
      </c>
      <c r="AQ19" s="13" t="s">
        <v>80</v>
      </c>
      <c r="AR19" s="13"/>
    </row>
    <row r="20" hidden="1">
      <c r="A20" s="12" t="s">
        <v>74</v>
      </c>
      <c r="B20" s="64">
        <v>1.0</v>
      </c>
      <c r="C20" s="12" t="s">
        <v>248</v>
      </c>
      <c r="D20" s="12" t="str">
        <f>vlookup(C20,'List of Chargers'!$A$2:$B$5,2,FALSE)</f>
        <v>Roam Hub</v>
      </c>
      <c r="E20" s="12" t="s">
        <v>73</v>
      </c>
      <c r="F20" s="12" t="s">
        <v>75</v>
      </c>
      <c r="G20" s="12" t="s">
        <v>107</v>
      </c>
      <c r="H20" s="13" t="str">
        <f t="shared" si="1"/>
        <v>#RH-KE-A-18</v>
      </c>
      <c r="I20" s="13" t="str">
        <f t="shared" si="2"/>
        <v>FO-NBI-01#RH-KE-A-18</v>
      </c>
      <c r="J20" s="25"/>
      <c r="K20" s="66" t="s">
        <v>353</v>
      </c>
      <c r="L20" s="25" t="s">
        <v>354</v>
      </c>
      <c r="M20" s="25" t="s">
        <v>355</v>
      </c>
      <c r="N20" s="26" t="str">
        <f t="shared" si="3"/>
        <v>Roam Hub - GreenWheels HQ</v>
      </c>
      <c r="O20" s="26" t="str">
        <f t="shared" si="4"/>
        <v>FO-NBI-01#RH-KE-A-18: Roam Hub - GreenWheels HQ</v>
      </c>
      <c r="R20" s="54"/>
      <c r="S20" s="78" t="b">
        <v>0</v>
      </c>
      <c r="T20" s="78" t="b">
        <v>0</v>
      </c>
      <c r="U20" s="78" t="b">
        <v>0</v>
      </c>
      <c r="V20" s="12" t="b">
        <v>0</v>
      </c>
      <c r="W20" s="12" t="b">
        <v>0</v>
      </c>
      <c r="X20" s="30"/>
      <c r="Y20" s="30"/>
      <c r="Z20" s="30"/>
      <c r="AA20" s="30"/>
      <c r="AB20" s="30"/>
      <c r="AC20" s="50"/>
      <c r="AD20" s="30"/>
      <c r="AE20" s="12">
        <f t="shared" si="5"/>
        <v>0</v>
      </c>
      <c r="AF20" s="70">
        <f t="shared" si="6"/>
        <v>0</v>
      </c>
      <c r="AG20" s="23"/>
      <c r="AH20" s="23"/>
      <c r="AI20" s="23"/>
      <c r="AJ20" s="23"/>
      <c r="AK20" s="23"/>
      <c r="AL20" s="30"/>
      <c r="AM20" s="79"/>
      <c r="AN20" s="79"/>
      <c r="AO20" s="79"/>
    </row>
    <row r="21">
      <c r="A21" s="12" t="s">
        <v>74</v>
      </c>
      <c r="B21" s="64">
        <v>2.0</v>
      </c>
      <c r="C21" s="12" t="s">
        <v>248</v>
      </c>
      <c r="D21" s="12" t="str">
        <f>vlookup(C21,'List of Chargers'!$A$2:$B$5,2,FALSE)</f>
        <v>Roam Hub</v>
      </c>
      <c r="E21" s="12" t="s">
        <v>73</v>
      </c>
      <c r="F21" s="12" t="s">
        <v>75</v>
      </c>
      <c r="G21" s="12" t="s">
        <v>108</v>
      </c>
      <c r="H21" s="13" t="str">
        <f t="shared" si="1"/>
        <v>#RH-KE-A-19</v>
      </c>
      <c r="I21" s="13" t="str">
        <f t="shared" si="2"/>
        <v>FO-NBI-02#RH-KE-A-19</v>
      </c>
      <c r="J21" s="25" t="s">
        <v>77</v>
      </c>
      <c r="K21" s="74">
        <v>45515.0</v>
      </c>
      <c r="L21" s="25" t="s">
        <v>346</v>
      </c>
      <c r="M21" s="25" t="s">
        <v>356</v>
      </c>
      <c r="N21" s="26" t="str">
        <f t="shared" si="3"/>
        <v>Roam Hub - Thika Centre</v>
      </c>
      <c r="O21" s="26" t="str">
        <f t="shared" si="4"/>
        <v>FO-NBI-02#RH-KE-A-19: Roam Hub - Thika Centre</v>
      </c>
      <c r="P21" s="81" t="s">
        <v>357</v>
      </c>
      <c r="R21" s="54" t="s">
        <v>358</v>
      </c>
      <c r="S21" s="73" t="b">
        <v>1</v>
      </c>
      <c r="T21" s="73" t="b">
        <v>1</v>
      </c>
      <c r="U21" s="73" t="b">
        <v>1</v>
      </c>
      <c r="V21" s="30" t="b">
        <v>0</v>
      </c>
      <c r="W21" s="12" t="b">
        <v>1</v>
      </c>
      <c r="X21" s="28"/>
      <c r="Y21" s="28"/>
      <c r="Z21" s="11"/>
      <c r="AA21" s="11"/>
      <c r="AB21" s="11"/>
      <c r="AC21" s="12">
        <v>2.54704269168E11</v>
      </c>
      <c r="AD21" s="82">
        <v>2.54724322965E11</v>
      </c>
      <c r="AE21" s="12">
        <f t="shared" si="5"/>
        <v>15</v>
      </c>
      <c r="AF21" s="70">
        <f t="shared" si="6"/>
        <v>12.6</v>
      </c>
      <c r="AG21" s="23"/>
      <c r="AH21" s="23"/>
      <c r="AI21" s="23">
        <v>15.0</v>
      </c>
      <c r="AJ21" s="23"/>
      <c r="AK21" s="23"/>
      <c r="AL21" s="12" t="s">
        <v>310</v>
      </c>
      <c r="AM21" s="71">
        <v>9.2800511104E10</v>
      </c>
      <c r="AN21" s="71">
        <v>1.67723861E8</v>
      </c>
      <c r="AO21" s="71"/>
      <c r="AP21" s="13" t="s">
        <v>80</v>
      </c>
      <c r="AQ21" s="13" t="s">
        <v>80</v>
      </c>
      <c r="AR21" s="13"/>
    </row>
    <row r="22">
      <c r="A22" s="12" t="s">
        <v>74</v>
      </c>
      <c r="B22" s="64">
        <v>3.0</v>
      </c>
      <c r="C22" s="12" t="s">
        <v>248</v>
      </c>
      <c r="D22" s="12" t="str">
        <f>vlookup(C22,'List of Chargers'!$A$2:$B$5,2,FALSE)</f>
        <v>Roam Hub</v>
      </c>
      <c r="E22" s="12" t="s">
        <v>73</v>
      </c>
      <c r="F22" s="12" t="s">
        <v>75</v>
      </c>
      <c r="G22" s="12" t="s">
        <v>109</v>
      </c>
      <c r="H22" s="13" t="str">
        <f t="shared" si="1"/>
        <v>#RH-KE-A-20</v>
      </c>
      <c r="I22" s="13" t="str">
        <f t="shared" si="2"/>
        <v>FO-NBI-03#RH-KE-A-20</v>
      </c>
      <c r="J22" s="25" t="s">
        <v>77</v>
      </c>
      <c r="K22" s="66" t="s">
        <v>359</v>
      </c>
      <c r="L22" s="25" t="s">
        <v>302</v>
      </c>
      <c r="M22" s="25" t="s">
        <v>360</v>
      </c>
      <c r="N22" s="26" t="str">
        <f t="shared" si="3"/>
        <v>Roam Hub - Machakos Centre</v>
      </c>
      <c r="O22" s="26" t="str">
        <f t="shared" si="4"/>
        <v>FO-NBI-03#RH-KE-A-20: Roam Hub - Machakos Centre</v>
      </c>
      <c r="P22" s="81" t="s">
        <v>361</v>
      </c>
      <c r="R22" s="54">
        <v>2.54116879836E11</v>
      </c>
      <c r="S22" s="73" t="b">
        <v>1</v>
      </c>
      <c r="T22" s="73" t="b">
        <v>1</v>
      </c>
      <c r="U22" s="73" t="b">
        <v>1</v>
      </c>
      <c r="V22" s="30" t="b">
        <v>0</v>
      </c>
      <c r="W22" s="12" t="b">
        <v>1</v>
      </c>
      <c r="X22" s="30"/>
      <c r="Y22" s="30"/>
      <c r="Z22" s="30"/>
      <c r="AA22" s="30"/>
      <c r="AB22" s="30"/>
      <c r="AC22" s="30"/>
      <c r="AD22" s="30"/>
      <c r="AE22" s="12">
        <f t="shared" si="5"/>
        <v>10</v>
      </c>
      <c r="AF22" s="70">
        <f t="shared" si="6"/>
        <v>8.4</v>
      </c>
      <c r="AG22" s="23"/>
      <c r="AH22" s="23"/>
      <c r="AI22" s="23">
        <v>10.0</v>
      </c>
      <c r="AJ22" s="23"/>
      <c r="AK22" s="23"/>
      <c r="AL22" s="12" t="s">
        <v>52</v>
      </c>
      <c r="AM22" s="71">
        <v>2.77800051124E11</v>
      </c>
      <c r="AN22" s="71">
        <v>1.79361789E8</v>
      </c>
      <c r="AO22" s="71"/>
      <c r="AP22" s="13" t="s">
        <v>80</v>
      </c>
      <c r="AQ22" s="13" t="s">
        <v>80</v>
      </c>
      <c r="AR22" s="13"/>
    </row>
    <row r="23">
      <c r="A23" s="12" t="s">
        <v>74</v>
      </c>
      <c r="B23" s="64">
        <v>1.0</v>
      </c>
      <c r="C23" s="12" t="s">
        <v>248</v>
      </c>
      <c r="D23" s="12" t="str">
        <f>vlookup(C23,'List of Chargers'!$A$2:$B$5,2,FALSE)</f>
        <v>Roam Hub</v>
      </c>
      <c r="E23" s="12" t="s">
        <v>73</v>
      </c>
      <c r="F23" s="12" t="s">
        <v>75</v>
      </c>
      <c r="G23" s="12" t="s">
        <v>110</v>
      </c>
      <c r="H23" s="13" t="str">
        <f t="shared" si="1"/>
        <v>#RH-KE-A-21</v>
      </c>
      <c r="I23" s="13" t="str">
        <f t="shared" si="2"/>
        <v>FO-NBI-01#RH-KE-A-21</v>
      </c>
      <c r="J23" s="25" t="s">
        <v>77</v>
      </c>
      <c r="K23" s="66" t="s">
        <v>362</v>
      </c>
      <c r="L23" s="25" t="s">
        <v>346</v>
      </c>
      <c r="M23" s="25" t="s">
        <v>363</v>
      </c>
      <c r="N23" s="26" t="str">
        <f t="shared" si="3"/>
        <v>Roam Hub - Narobi Regional Office</v>
      </c>
      <c r="O23" s="26" t="str">
        <f t="shared" si="4"/>
        <v>FO-NBI-01#RH-KE-A-21: Roam Hub - Narobi Regional Office</v>
      </c>
      <c r="P23" s="81" t="s">
        <v>364</v>
      </c>
      <c r="R23" s="53"/>
      <c r="S23" s="73" t="b">
        <v>1</v>
      </c>
      <c r="T23" s="73" t="b">
        <v>1</v>
      </c>
      <c r="U23" s="73" t="b">
        <v>1</v>
      </c>
      <c r="V23" s="30" t="b">
        <v>0</v>
      </c>
      <c r="W23" s="12" t="b">
        <v>1</v>
      </c>
      <c r="X23" s="30"/>
      <c r="Y23" s="30"/>
      <c r="Z23" s="30"/>
      <c r="AA23" s="30"/>
      <c r="AB23" s="30"/>
      <c r="AC23" s="30"/>
      <c r="AD23" s="30"/>
      <c r="AE23" s="12">
        <f t="shared" si="5"/>
        <v>61</v>
      </c>
      <c r="AF23" s="70">
        <f t="shared" si="6"/>
        <v>51.24</v>
      </c>
      <c r="AG23" s="76"/>
      <c r="AH23" s="76"/>
      <c r="AI23" s="23">
        <v>61.0</v>
      </c>
      <c r="AJ23" s="76"/>
      <c r="AK23" s="76"/>
      <c r="AL23" s="12" t="s">
        <v>52</v>
      </c>
      <c r="AM23" s="79"/>
      <c r="AN23" s="79"/>
      <c r="AO23" s="79"/>
      <c r="AP23" s="13" t="s">
        <v>80</v>
      </c>
      <c r="AQ23" s="13" t="s">
        <v>80</v>
      </c>
      <c r="AR23" s="13"/>
    </row>
    <row r="24" hidden="1">
      <c r="A24" s="12" t="s">
        <v>74</v>
      </c>
      <c r="B24" s="64">
        <v>4.0</v>
      </c>
      <c r="C24" s="12" t="s">
        <v>248</v>
      </c>
      <c r="D24" s="12" t="str">
        <f>vlookup(C24,'List of Chargers'!$A$2:$B$5,2,FALSE)</f>
        <v>Roam Hub</v>
      </c>
      <c r="E24" s="12" t="s">
        <v>73</v>
      </c>
      <c r="F24" s="12" t="s">
        <v>75</v>
      </c>
      <c r="G24" s="12" t="s">
        <v>111</v>
      </c>
      <c r="H24" s="13" t="str">
        <f t="shared" si="1"/>
        <v>#RH-KE-A-22</v>
      </c>
      <c r="I24" s="13" t="str">
        <f t="shared" si="2"/>
        <v>FO-NBI-04#RH-KE-A-22</v>
      </c>
      <c r="J24" s="25"/>
      <c r="K24" s="66"/>
      <c r="L24" s="25" t="s">
        <v>365</v>
      </c>
      <c r="M24" s="25" t="s">
        <v>366</v>
      </c>
      <c r="N24" s="26" t="str">
        <f t="shared" si="3"/>
        <v>Roam Hub - Ngong Center</v>
      </c>
      <c r="O24" s="26" t="str">
        <f t="shared" si="4"/>
        <v>FO-NBI-04#RH-KE-A-22: Roam Hub - Ngong Center</v>
      </c>
      <c r="R24" s="53"/>
      <c r="S24" s="73" t="b">
        <v>1</v>
      </c>
      <c r="T24" s="73" t="b">
        <v>1</v>
      </c>
      <c r="U24" s="73" t="b">
        <v>1</v>
      </c>
      <c r="V24" s="30" t="b">
        <v>0</v>
      </c>
      <c r="W24" s="12" t="b">
        <v>1</v>
      </c>
      <c r="X24" s="30"/>
      <c r="Y24" s="30"/>
      <c r="Z24" s="30"/>
      <c r="AA24" s="30"/>
      <c r="AB24" s="30"/>
      <c r="AC24" s="50"/>
      <c r="AD24" s="30"/>
      <c r="AE24" s="12">
        <f t="shared" si="5"/>
        <v>0</v>
      </c>
      <c r="AF24" s="70">
        <f t="shared" si="6"/>
        <v>0</v>
      </c>
      <c r="AG24" s="76"/>
      <c r="AH24" s="76"/>
      <c r="AI24" s="76"/>
      <c r="AJ24" s="76"/>
      <c r="AK24" s="76"/>
      <c r="AL24" s="30"/>
      <c r="AM24" s="79"/>
      <c r="AN24" s="79"/>
      <c r="AO24" s="79"/>
    </row>
    <row r="25">
      <c r="A25" s="12" t="s">
        <v>74</v>
      </c>
      <c r="B25" s="64">
        <v>1.0</v>
      </c>
      <c r="C25" s="12" t="s">
        <v>248</v>
      </c>
      <c r="D25" s="12" t="str">
        <f>vlookup(C25,'List of Chargers'!$A$2:$B$5,2,FALSE)</f>
        <v>Roam Hub</v>
      </c>
      <c r="E25" s="12" t="s">
        <v>73</v>
      </c>
      <c r="F25" s="12" t="s">
        <v>75</v>
      </c>
      <c r="G25" s="12" t="s">
        <v>112</v>
      </c>
      <c r="H25" s="13" t="str">
        <f t="shared" si="1"/>
        <v>#RH-KE-A-23</v>
      </c>
      <c r="I25" s="13" t="str">
        <f t="shared" si="2"/>
        <v>FO-NBI-01#RH-KE-A-23</v>
      </c>
      <c r="J25" s="25" t="s">
        <v>77</v>
      </c>
      <c r="K25" s="72">
        <v>45969.0</v>
      </c>
      <c r="L25" s="25" t="s">
        <v>367</v>
      </c>
      <c r="M25" s="25" t="s">
        <v>367</v>
      </c>
      <c r="N25" s="26" t="str">
        <f t="shared" si="3"/>
        <v>Roam Hub - Adam's Minimall</v>
      </c>
      <c r="O25" s="26" t="str">
        <f t="shared" si="4"/>
        <v>FO-NBI-01#RH-KE-A-23: Roam Hub - Adam's Minimall</v>
      </c>
      <c r="P25" s="81" t="s">
        <v>368</v>
      </c>
      <c r="R25" s="53"/>
      <c r="S25" s="73" t="b">
        <v>1</v>
      </c>
      <c r="T25" s="73" t="b">
        <v>1</v>
      </c>
      <c r="U25" s="73" t="b">
        <v>1</v>
      </c>
      <c r="V25" s="30" t="b">
        <v>0</v>
      </c>
      <c r="W25" s="12" t="b">
        <v>1</v>
      </c>
      <c r="X25" s="30"/>
      <c r="Y25" s="30"/>
      <c r="Z25" s="30"/>
      <c r="AA25" s="30"/>
      <c r="AB25" s="30"/>
      <c r="AC25" s="30"/>
      <c r="AD25" s="30"/>
      <c r="AE25" s="12">
        <f t="shared" si="5"/>
        <v>79</v>
      </c>
      <c r="AF25" s="70">
        <f t="shared" si="6"/>
        <v>77.7</v>
      </c>
      <c r="AG25" s="76"/>
      <c r="AH25" s="76"/>
      <c r="AI25" s="23">
        <v>70.0</v>
      </c>
      <c r="AJ25" s="23">
        <v>9.0</v>
      </c>
      <c r="AK25" s="76"/>
      <c r="AL25" s="12" t="s">
        <v>310</v>
      </c>
      <c r="AM25" s="71">
        <v>2.5700889873E10</v>
      </c>
      <c r="AN25" s="71">
        <v>1.77047802E8</v>
      </c>
      <c r="AO25" s="71"/>
      <c r="AP25" s="13" t="s">
        <v>80</v>
      </c>
      <c r="AQ25" s="13" t="s">
        <v>80</v>
      </c>
      <c r="AR25" s="13"/>
    </row>
    <row r="26">
      <c r="A26" s="12" t="s">
        <v>74</v>
      </c>
      <c r="B26" s="64">
        <v>1.0</v>
      </c>
      <c r="C26" s="12" t="s">
        <v>248</v>
      </c>
      <c r="D26" s="12" t="str">
        <f>vlookup(C26,'List of Chargers'!$A$2:$B$5,2,FALSE)</f>
        <v>Roam Hub</v>
      </c>
      <c r="E26" s="12" t="s">
        <v>73</v>
      </c>
      <c r="F26" s="12" t="s">
        <v>75</v>
      </c>
      <c r="G26" s="12" t="s">
        <v>113</v>
      </c>
      <c r="H26" s="13" t="str">
        <f t="shared" si="1"/>
        <v>#RH-KE-A-24</v>
      </c>
      <c r="I26" s="13" t="str">
        <f t="shared" si="2"/>
        <v>FO-NBI-01#RH-KE-A-24</v>
      </c>
      <c r="J26" s="25" t="s">
        <v>77</v>
      </c>
      <c r="K26" s="74">
        <v>46113.0</v>
      </c>
      <c r="L26" s="25" t="s">
        <v>346</v>
      </c>
      <c r="M26" s="25" t="s">
        <v>369</v>
      </c>
      <c r="N26" s="26" t="str">
        <f t="shared" si="3"/>
        <v>Roam Hub - Langata</v>
      </c>
      <c r="O26" s="26" t="str">
        <f t="shared" si="4"/>
        <v>FO-NBI-01#RH-KE-A-24: Roam Hub - Langata</v>
      </c>
      <c r="P26" s="81" t="s">
        <v>370</v>
      </c>
      <c r="R26" s="53"/>
      <c r="S26" s="73" t="b">
        <v>1</v>
      </c>
      <c r="T26" s="73" t="b">
        <v>1</v>
      </c>
      <c r="U26" s="78" t="b">
        <v>0</v>
      </c>
      <c r="V26" s="30" t="b">
        <v>0</v>
      </c>
      <c r="W26" s="12" t="b">
        <v>1</v>
      </c>
      <c r="X26" s="30"/>
      <c r="Y26" s="30"/>
      <c r="Z26" s="30"/>
      <c r="AA26" s="30"/>
      <c r="AB26" s="30"/>
      <c r="AC26" s="30"/>
      <c r="AD26" s="30"/>
      <c r="AE26" s="12">
        <f t="shared" si="5"/>
        <v>30</v>
      </c>
      <c r="AF26" s="70">
        <f t="shared" si="6"/>
        <v>25.2</v>
      </c>
      <c r="AG26" s="76"/>
      <c r="AH26" s="76"/>
      <c r="AI26" s="23">
        <v>30.0</v>
      </c>
      <c r="AJ26" s="76"/>
      <c r="AK26" s="76"/>
      <c r="AL26" s="12" t="s">
        <v>52</v>
      </c>
      <c r="AM26" s="71">
        <v>4.5704547319E10</v>
      </c>
      <c r="AN26" s="71">
        <v>1.75573658E8</v>
      </c>
      <c r="AO26" s="71"/>
      <c r="AP26" s="13" t="s">
        <v>80</v>
      </c>
      <c r="AQ26" s="13" t="s">
        <v>80</v>
      </c>
      <c r="AR26" s="13"/>
    </row>
    <row r="27" hidden="1">
      <c r="A27" s="12" t="s">
        <v>74</v>
      </c>
      <c r="B27" s="64">
        <v>1.0</v>
      </c>
      <c r="C27" s="12" t="s">
        <v>248</v>
      </c>
      <c r="D27" s="12" t="str">
        <f>vlookup(C27,'List of Chargers'!$A$2:$B$5,2,FALSE)</f>
        <v>Roam Hub</v>
      </c>
      <c r="E27" s="12" t="s">
        <v>73</v>
      </c>
      <c r="F27" s="12" t="s">
        <v>75</v>
      </c>
      <c r="G27" s="12" t="s">
        <v>114</v>
      </c>
      <c r="H27" s="13" t="str">
        <f t="shared" si="1"/>
        <v>#RH-KE-A-25</v>
      </c>
      <c r="I27" s="13" t="str">
        <f t="shared" si="2"/>
        <v>FO-NBI-01#RH-KE-A-25</v>
      </c>
      <c r="J27" s="25" t="s">
        <v>88</v>
      </c>
      <c r="K27" s="66"/>
      <c r="L27" s="25" t="s">
        <v>371</v>
      </c>
      <c r="M27" s="25" t="s">
        <v>372</v>
      </c>
      <c r="N27" s="26" t="str">
        <f t="shared" si="3"/>
        <v>Roam Hub - Banana</v>
      </c>
      <c r="O27" s="26" t="str">
        <f t="shared" si="4"/>
        <v>FO-NBI-01#RH-KE-A-25: Roam Hub - Banana</v>
      </c>
      <c r="P27" s="81" t="s">
        <v>373</v>
      </c>
      <c r="R27" s="53"/>
      <c r="S27" s="73" t="b">
        <v>1</v>
      </c>
      <c r="T27" s="73" t="b">
        <v>1</v>
      </c>
      <c r="U27" s="78" t="b">
        <v>0</v>
      </c>
      <c r="V27" s="30" t="b">
        <v>0</v>
      </c>
      <c r="W27" s="12" t="b">
        <v>1</v>
      </c>
      <c r="X27" s="30"/>
      <c r="Y27" s="30"/>
      <c r="Z27" s="30"/>
      <c r="AA27" s="30"/>
      <c r="AB27" s="30"/>
      <c r="AC27" s="30"/>
      <c r="AD27" s="30"/>
      <c r="AE27" s="12">
        <f t="shared" si="5"/>
        <v>0</v>
      </c>
      <c r="AF27" s="70">
        <f t="shared" si="6"/>
        <v>0</v>
      </c>
      <c r="AG27" s="76"/>
      <c r="AH27" s="76"/>
      <c r="AI27" s="23"/>
      <c r="AJ27" s="76"/>
      <c r="AK27" s="76"/>
      <c r="AL27" s="12" t="s">
        <v>52</v>
      </c>
      <c r="AM27" s="79"/>
      <c r="AN27" s="79"/>
      <c r="AO27" s="79"/>
      <c r="AP27" s="13" t="s">
        <v>80</v>
      </c>
      <c r="AQ27" s="13" t="s">
        <v>80</v>
      </c>
      <c r="AR27" s="13"/>
    </row>
    <row r="28" hidden="1">
      <c r="A28" s="12" t="s">
        <v>74</v>
      </c>
      <c r="B28" s="64"/>
      <c r="C28" s="12" t="s">
        <v>248</v>
      </c>
      <c r="D28" s="12" t="str">
        <f>vlookup(C28,'List of Chargers'!$A$2:$B$5,2,FALSE)</f>
        <v>Roam Hub</v>
      </c>
      <c r="E28" s="12" t="s">
        <v>73</v>
      </c>
      <c r="F28" s="12" t="s">
        <v>75</v>
      </c>
      <c r="G28" s="12" t="s">
        <v>115</v>
      </c>
      <c r="H28" s="13" t="str">
        <f t="shared" si="1"/>
        <v>#RH-KE-A-26</v>
      </c>
      <c r="I28" s="13" t="str">
        <f t="shared" si="2"/>
        <v>FO-NBI-00#RH-KE-A-26</v>
      </c>
      <c r="J28" s="25"/>
      <c r="K28" s="66"/>
      <c r="L28" s="25"/>
      <c r="M28" s="25"/>
      <c r="N28" s="26" t="str">
        <f t="shared" si="3"/>
        <v>Roam Hub - </v>
      </c>
      <c r="O28" s="26" t="str">
        <f t="shared" si="4"/>
        <v>FO-NBI-00#RH-KE-A-26: Roam Hub - </v>
      </c>
      <c r="R28" s="53"/>
      <c r="S28" s="73" t="b">
        <v>0</v>
      </c>
      <c r="T28" s="73" t="b">
        <v>0</v>
      </c>
      <c r="U28" s="78" t="b">
        <v>0</v>
      </c>
      <c r="V28" s="12" t="b">
        <v>0</v>
      </c>
      <c r="W28" s="30" t="b">
        <v>0</v>
      </c>
      <c r="X28" s="30"/>
      <c r="Y28" s="30"/>
      <c r="Z28" s="30"/>
      <c r="AA28" s="30"/>
      <c r="AB28" s="30"/>
      <c r="AC28" s="50"/>
      <c r="AD28" s="30"/>
      <c r="AE28" s="12">
        <f t="shared" si="5"/>
        <v>0</v>
      </c>
      <c r="AF28" s="70">
        <f t="shared" si="6"/>
        <v>0</v>
      </c>
      <c r="AG28" s="76"/>
      <c r="AH28" s="76"/>
      <c r="AI28" s="23"/>
      <c r="AJ28" s="23"/>
      <c r="AK28" s="76"/>
      <c r="AL28" s="30"/>
      <c r="AM28" s="79"/>
      <c r="AN28" s="79"/>
      <c r="AO28" s="79"/>
    </row>
    <row r="29" hidden="1">
      <c r="A29" s="12" t="s">
        <v>74</v>
      </c>
      <c r="B29" s="64"/>
      <c r="C29" s="12" t="s">
        <v>248</v>
      </c>
      <c r="D29" s="12" t="str">
        <f>vlookup(C29,'List of Chargers'!$A$2:$B$5,2,FALSE)</f>
        <v>Roam Hub</v>
      </c>
      <c r="E29" s="12" t="s">
        <v>73</v>
      </c>
      <c r="F29" s="12" t="s">
        <v>75</v>
      </c>
      <c r="G29" s="12" t="s">
        <v>116</v>
      </c>
      <c r="H29" s="13" t="str">
        <f t="shared" si="1"/>
        <v>#RH-KE-A-27</v>
      </c>
      <c r="I29" s="13" t="str">
        <f t="shared" si="2"/>
        <v>FO-NBI-00#RH-KE-A-27</v>
      </c>
      <c r="J29" s="25"/>
      <c r="K29" s="66"/>
      <c r="L29" s="31"/>
      <c r="M29" s="31"/>
      <c r="N29" s="26" t="str">
        <f t="shared" si="3"/>
        <v>Roam Hub - </v>
      </c>
      <c r="O29" s="26" t="str">
        <f t="shared" si="4"/>
        <v>FO-NBI-00#RH-KE-A-27: Roam Hub - </v>
      </c>
      <c r="R29" s="53"/>
      <c r="S29" s="78" t="b">
        <v>0</v>
      </c>
      <c r="T29" s="78" t="b">
        <v>0</v>
      </c>
      <c r="U29" s="78" t="b">
        <v>0</v>
      </c>
      <c r="V29" s="30" t="b">
        <v>0</v>
      </c>
      <c r="W29" s="30" t="b">
        <v>0</v>
      </c>
      <c r="X29" s="30"/>
      <c r="Y29" s="30"/>
      <c r="Z29" s="30"/>
      <c r="AA29" s="30"/>
      <c r="AB29" s="30"/>
      <c r="AC29" s="50"/>
      <c r="AD29" s="30"/>
      <c r="AE29" s="12">
        <f t="shared" si="5"/>
        <v>0</v>
      </c>
      <c r="AF29" s="70">
        <f t="shared" si="6"/>
        <v>0</v>
      </c>
      <c r="AG29" s="76"/>
      <c r="AH29" s="76"/>
      <c r="AI29" s="76"/>
      <c r="AJ29" s="76"/>
      <c r="AK29" s="76"/>
      <c r="AL29" s="30"/>
      <c r="AM29" s="79"/>
      <c r="AN29" s="79"/>
      <c r="AO29" s="79"/>
    </row>
    <row r="30" hidden="1">
      <c r="A30" s="12" t="s">
        <v>74</v>
      </c>
      <c r="B30" s="64"/>
      <c r="C30" s="12" t="s">
        <v>248</v>
      </c>
      <c r="D30" s="12" t="str">
        <f>vlookup(C30,'List of Chargers'!$A$2:$B$5,2,FALSE)</f>
        <v>Roam Hub</v>
      </c>
      <c r="E30" s="12" t="s">
        <v>73</v>
      </c>
      <c r="F30" s="12" t="s">
        <v>75</v>
      </c>
      <c r="G30" s="12" t="s">
        <v>117</v>
      </c>
      <c r="H30" s="13" t="str">
        <f t="shared" si="1"/>
        <v>#RH-KE-A-28</v>
      </c>
      <c r="I30" s="13" t="str">
        <f t="shared" si="2"/>
        <v>FO-NBI-00#RH-KE-A-28</v>
      </c>
      <c r="J30" s="25"/>
      <c r="K30" s="66"/>
      <c r="L30" s="31"/>
      <c r="M30" s="31"/>
      <c r="N30" s="26" t="str">
        <f t="shared" si="3"/>
        <v>Roam Hub - </v>
      </c>
      <c r="O30" s="26" t="str">
        <f t="shared" si="4"/>
        <v>FO-NBI-00#RH-KE-A-28: Roam Hub - </v>
      </c>
      <c r="R30" s="53"/>
      <c r="S30" s="78" t="b">
        <v>0</v>
      </c>
      <c r="T30" s="78" t="b">
        <v>0</v>
      </c>
      <c r="U30" s="78" t="b">
        <v>0</v>
      </c>
      <c r="V30" s="30" t="b">
        <v>0</v>
      </c>
      <c r="W30" s="30" t="b">
        <v>0</v>
      </c>
      <c r="X30" s="30"/>
      <c r="Y30" s="30"/>
      <c r="Z30" s="30"/>
      <c r="AA30" s="30"/>
      <c r="AB30" s="30"/>
      <c r="AC30" s="50"/>
      <c r="AD30" s="30"/>
      <c r="AE30" s="12">
        <f t="shared" si="5"/>
        <v>0</v>
      </c>
      <c r="AF30" s="70">
        <f t="shared" si="6"/>
        <v>0</v>
      </c>
      <c r="AG30" s="76"/>
      <c r="AH30" s="76"/>
      <c r="AI30" s="76"/>
      <c r="AJ30" s="76"/>
      <c r="AK30" s="76"/>
      <c r="AL30" s="30"/>
      <c r="AM30" s="79"/>
      <c r="AN30" s="79"/>
      <c r="AO30" s="79"/>
    </row>
    <row r="31" hidden="1">
      <c r="A31" s="12" t="s">
        <v>74</v>
      </c>
      <c r="B31" s="64"/>
      <c r="C31" s="12" t="s">
        <v>248</v>
      </c>
      <c r="D31" s="12" t="str">
        <f>vlookup(C31,'List of Chargers'!$A$2:$B$5,2,FALSE)</f>
        <v>Roam Hub</v>
      </c>
      <c r="E31" s="12" t="s">
        <v>73</v>
      </c>
      <c r="F31" s="12" t="s">
        <v>75</v>
      </c>
      <c r="G31" s="12" t="s">
        <v>118</v>
      </c>
      <c r="H31" s="13" t="str">
        <f t="shared" si="1"/>
        <v>#RH-KE-A-29</v>
      </c>
      <c r="I31" s="13" t="str">
        <f t="shared" si="2"/>
        <v>FO-NBI-00#RH-KE-A-29</v>
      </c>
      <c r="J31" s="25"/>
      <c r="K31" s="66"/>
      <c r="L31" s="31"/>
      <c r="M31" s="31"/>
      <c r="N31" s="26" t="str">
        <f t="shared" si="3"/>
        <v>Roam Hub - </v>
      </c>
      <c r="O31" s="26" t="str">
        <f t="shared" si="4"/>
        <v>FO-NBI-00#RH-KE-A-29: Roam Hub - </v>
      </c>
      <c r="R31" s="53"/>
      <c r="S31" s="78" t="b">
        <v>0</v>
      </c>
      <c r="T31" s="78" t="b">
        <v>0</v>
      </c>
      <c r="U31" s="78" t="b">
        <v>0</v>
      </c>
      <c r="V31" s="30" t="b">
        <v>0</v>
      </c>
      <c r="W31" s="30" t="b">
        <v>0</v>
      </c>
      <c r="X31" s="30"/>
      <c r="Y31" s="30"/>
      <c r="Z31" s="30"/>
      <c r="AA31" s="30"/>
      <c r="AB31" s="30"/>
      <c r="AC31" s="50"/>
      <c r="AD31" s="30"/>
      <c r="AE31" s="12">
        <f t="shared" si="5"/>
        <v>0</v>
      </c>
      <c r="AF31" s="70">
        <f t="shared" si="6"/>
        <v>0</v>
      </c>
      <c r="AG31" s="76"/>
      <c r="AH31" s="76"/>
      <c r="AI31" s="76"/>
      <c r="AJ31" s="76"/>
      <c r="AK31" s="76"/>
      <c r="AL31" s="30"/>
      <c r="AM31" s="79"/>
      <c r="AN31" s="79"/>
      <c r="AO31" s="79"/>
    </row>
    <row r="32" hidden="1">
      <c r="A32" s="12" t="s">
        <v>74</v>
      </c>
      <c r="B32" s="64"/>
      <c r="C32" s="12" t="s">
        <v>248</v>
      </c>
      <c r="D32" s="12" t="str">
        <f>vlookup(C32,'List of Chargers'!$A$2:$B$5,2,FALSE)</f>
        <v>Roam Hub</v>
      </c>
      <c r="E32" s="12" t="s">
        <v>73</v>
      </c>
      <c r="F32" s="12" t="s">
        <v>75</v>
      </c>
      <c r="G32" s="12" t="s">
        <v>119</v>
      </c>
      <c r="H32" s="13" t="str">
        <f t="shared" si="1"/>
        <v>#RH-KE-A-30</v>
      </c>
      <c r="I32" s="13" t="str">
        <f t="shared" si="2"/>
        <v>FO-NBI-00#RH-KE-A-30</v>
      </c>
      <c r="J32" s="25"/>
      <c r="K32" s="66"/>
      <c r="L32" s="31"/>
      <c r="M32" s="31"/>
      <c r="N32" s="26" t="str">
        <f t="shared" si="3"/>
        <v>Roam Hub - </v>
      </c>
      <c r="O32" s="26" t="str">
        <f t="shared" si="4"/>
        <v>FO-NBI-00#RH-KE-A-30: Roam Hub - </v>
      </c>
      <c r="R32" s="53"/>
      <c r="S32" s="78" t="b">
        <v>0</v>
      </c>
      <c r="T32" s="78" t="b">
        <v>0</v>
      </c>
      <c r="U32" s="78" t="b">
        <v>0</v>
      </c>
      <c r="V32" s="30" t="b">
        <v>0</v>
      </c>
      <c r="W32" s="30" t="b">
        <v>0</v>
      </c>
      <c r="X32" s="30"/>
      <c r="Y32" s="30"/>
      <c r="Z32" s="30"/>
      <c r="AA32" s="30"/>
      <c r="AB32" s="30"/>
      <c r="AC32" s="50"/>
      <c r="AD32" s="30"/>
      <c r="AE32" s="12">
        <f t="shared" si="5"/>
        <v>0</v>
      </c>
      <c r="AF32" s="70">
        <f t="shared" si="6"/>
        <v>0</v>
      </c>
      <c r="AG32" s="76"/>
      <c r="AH32" s="76"/>
      <c r="AI32" s="76"/>
      <c r="AJ32" s="76"/>
      <c r="AK32" s="76"/>
      <c r="AL32" s="30"/>
      <c r="AM32" s="79"/>
      <c r="AN32" s="79"/>
      <c r="AO32" s="79"/>
    </row>
    <row r="33" hidden="1">
      <c r="A33" s="12" t="s">
        <v>74</v>
      </c>
      <c r="B33" s="64"/>
      <c r="C33" s="12" t="s">
        <v>248</v>
      </c>
      <c r="D33" s="12" t="str">
        <f>vlookup(C33,'List of Chargers'!$A$2:$B$5,2,FALSE)</f>
        <v>Roam Hub</v>
      </c>
      <c r="E33" s="12" t="s">
        <v>73</v>
      </c>
      <c r="F33" s="12" t="s">
        <v>75</v>
      </c>
      <c r="G33" s="12" t="s">
        <v>120</v>
      </c>
      <c r="H33" s="13" t="str">
        <f t="shared" si="1"/>
        <v>#RH-KE-A-31</v>
      </c>
      <c r="I33" s="13" t="str">
        <f t="shared" si="2"/>
        <v>FO-NBI-00#RH-KE-A-31</v>
      </c>
      <c r="J33" s="25"/>
      <c r="K33" s="66"/>
      <c r="L33" s="31"/>
      <c r="M33" s="31"/>
      <c r="N33" s="26" t="str">
        <f t="shared" si="3"/>
        <v>Roam Hub - </v>
      </c>
      <c r="O33" s="26" t="str">
        <f t="shared" si="4"/>
        <v>FO-NBI-00#RH-KE-A-31: Roam Hub - </v>
      </c>
      <c r="R33" s="53"/>
      <c r="S33" s="78" t="b">
        <v>0</v>
      </c>
      <c r="T33" s="78" t="b">
        <v>0</v>
      </c>
      <c r="U33" s="78" t="b">
        <v>0</v>
      </c>
      <c r="V33" s="30" t="b">
        <v>0</v>
      </c>
      <c r="W33" s="30" t="b">
        <v>0</v>
      </c>
      <c r="X33" s="30"/>
      <c r="Y33" s="30"/>
      <c r="Z33" s="30"/>
      <c r="AA33" s="30"/>
      <c r="AB33" s="30"/>
      <c r="AC33" s="50"/>
      <c r="AD33" s="30"/>
      <c r="AE33" s="12">
        <f t="shared" si="5"/>
        <v>0</v>
      </c>
      <c r="AF33" s="70">
        <f t="shared" si="6"/>
        <v>0</v>
      </c>
      <c r="AG33" s="76"/>
      <c r="AH33" s="76"/>
      <c r="AI33" s="76"/>
      <c r="AJ33" s="76"/>
      <c r="AK33" s="76"/>
      <c r="AL33" s="30"/>
      <c r="AM33" s="79"/>
      <c r="AN33" s="79"/>
      <c r="AO33" s="79"/>
    </row>
    <row r="34" hidden="1">
      <c r="A34" s="12" t="s">
        <v>74</v>
      </c>
      <c r="B34" s="64"/>
      <c r="C34" s="12" t="s">
        <v>248</v>
      </c>
      <c r="D34" s="12" t="str">
        <f>vlookup(C34,'List of Chargers'!$A$2:$B$5,2,FALSE)</f>
        <v>Roam Hub</v>
      </c>
      <c r="E34" s="12" t="s">
        <v>73</v>
      </c>
      <c r="F34" s="12" t="s">
        <v>75</v>
      </c>
      <c r="G34" s="12" t="s">
        <v>121</v>
      </c>
      <c r="H34" s="13" t="str">
        <f t="shared" si="1"/>
        <v>#RH-KE-A-32</v>
      </c>
      <c r="I34" s="13" t="str">
        <f t="shared" si="2"/>
        <v>FO-NBI-00#RH-KE-A-32</v>
      </c>
      <c r="J34" s="25"/>
      <c r="K34" s="66"/>
      <c r="L34" s="31"/>
      <c r="M34" s="31"/>
      <c r="N34" s="26" t="str">
        <f t="shared" si="3"/>
        <v>Roam Hub - </v>
      </c>
      <c r="O34" s="26" t="str">
        <f t="shared" si="4"/>
        <v>FO-NBI-00#RH-KE-A-32: Roam Hub - </v>
      </c>
      <c r="R34" s="53"/>
      <c r="S34" s="78" t="b">
        <v>0</v>
      </c>
      <c r="T34" s="78" t="b">
        <v>0</v>
      </c>
      <c r="U34" s="78" t="b">
        <v>0</v>
      </c>
      <c r="V34" s="30" t="b">
        <v>0</v>
      </c>
      <c r="W34" s="30" t="b">
        <v>0</v>
      </c>
      <c r="X34" s="30"/>
      <c r="Y34" s="30"/>
      <c r="Z34" s="30"/>
      <c r="AA34" s="30"/>
      <c r="AB34" s="30"/>
      <c r="AC34" s="50"/>
      <c r="AD34" s="30"/>
      <c r="AE34" s="12">
        <f t="shared" si="5"/>
        <v>0</v>
      </c>
      <c r="AF34" s="70">
        <f t="shared" si="6"/>
        <v>0</v>
      </c>
      <c r="AG34" s="76"/>
      <c r="AH34" s="76"/>
      <c r="AI34" s="76"/>
      <c r="AJ34" s="76"/>
      <c r="AK34" s="76"/>
      <c r="AL34" s="30"/>
      <c r="AM34" s="79"/>
      <c r="AN34" s="79"/>
      <c r="AO34" s="79"/>
    </row>
    <row r="35" hidden="1">
      <c r="A35" s="12" t="s">
        <v>74</v>
      </c>
      <c r="B35" s="64"/>
      <c r="C35" s="12" t="s">
        <v>248</v>
      </c>
      <c r="D35" s="12" t="str">
        <f>vlookup(C35,'List of Chargers'!$A$2:$B$5,2,FALSE)</f>
        <v>Roam Hub</v>
      </c>
      <c r="E35" s="12" t="s">
        <v>73</v>
      </c>
      <c r="F35" s="12" t="s">
        <v>75</v>
      </c>
      <c r="G35" s="12" t="s">
        <v>122</v>
      </c>
      <c r="H35" s="13" t="str">
        <f t="shared" si="1"/>
        <v>#RH-KE-A-33</v>
      </c>
      <c r="I35" s="13" t="str">
        <f t="shared" si="2"/>
        <v>FO-NBI-00#RH-KE-A-33</v>
      </c>
      <c r="J35" s="25"/>
      <c r="K35" s="66"/>
      <c r="L35" s="31"/>
      <c r="M35" s="31"/>
      <c r="N35" s="26" t="str">
        <f t="shared" si="3"/>
        <v>Roam Hub - </v>
      </c>
      <c r="O35" s="26" t="str">
        <f t="shared" si="4"/>
        <v>FO-NBI-00#RH-KE-A-33: Roam Hub - </v>
      </c>
      <c r="R35" s="53"/>
      <c r="S35" s="78" t="b">
        <v>0</v>
      </c>
      <c r="T35" s="78" t="b">
        <v>0</v>
      </c>
      <c r="U35" s="78" t="b">
        <v>0</v>
      </c>
      <c r="V35" s="30" t="b">
        <v>0</v>
      </c>
      <c r="W35" s="30" t="b">
        <v>0</v>
      </c>
      <c r="X35" s="30"/>
      <c r="Y35" s="30"/>
      <c r="Z35" s="30"/>
      <c r="AA35" s="30"/>
      <c r="AB35" s="30"/>
      <c r="AC35" s="50"/>
      <c r="AD35" s="30"/>
      <c r="AE35" s="12">
        <f t="shared" si="5"/>
        <v>0</v>
      </c>
      <c r="AF35" s="70">
        <f t="shared" si="6"/>
        <v>0</v>
      </c>
      <c r="AG35" s="76"/>
      <c r="AH35" s="76"/>
      <c r="AI35" s="76"/>
      <c r="AJ35" s="76"/>
      <c r="AK35" s="76"/>
      <c r="AL35" s="30"/>
      <c r="AM35" s="79"/>
      <c r="AN35" s="79"/>
      <c r="AO35" s="79"/>
    </row>
    <row r="36" hidden="1">
      <c r="A36" s="12" t="s">
        <v>74</v>
      </c>
      <c r="B36" s="64"/>
      <c r="C36" s="12" t="s">
        <v>248</v>
      </c>
      <c r="D36" s="12" t="str">
        <f>vlookup(C36,'List of Chargers'!$A$2:$B$5,2,FALSE)</f>
        <v>Roam Hub</v>
      </c>
      <c r="E36" s="12" t="s">
        <v>73</v>
      </c>
      <c r="F36" s="12" t="s">
        <v>75</v>
      </c>
      <c r="G36" s="12">
        <v>34.0</v>
      </c>
      <c r="H36" s="13" t="str">
        <f t="shared" si="1"/>
        <v>#RH-KE-A-34</v>
      </c>
      <c r="I36" s="13" t="str">
        <f t="shared" si="2"/>
        <v>FO-NBI-00#RH-KE-A-34</v>
      </c>
      <c r="J36" s="25"/>
      <c r="K36" s="66"/>
      <c r="L36" s="31"/>
      <c r="M36" s="31"/>
      <c r="N36" s="26" t="str">
        <f t="shared" si="3"/>
        <v>Roam Hub - </v>
      </c>
      <c r="O36" s="26" t="str">
        <f t="shared" si="4"/>
        <v>FO-NBI-00#RH-KE-A-34: Roam Hub - </v>
      </c>
      <c r="R36" s="53"/>
      <c r="S36" s="78" t="b">
        <v>0</v>
      </c>
      <c r="T36" s="78" t="b">
        <v>0</v>
      </c>
      <c r="U36" s="78" t="b">
        <v>0</v>
      </c>
      <c r="V36" s="30" t="b">
        <v>0</v>
      </c>
      <c r="W36" s="30" t="b">
        <v>0</v>
      </c>
      <c r="X36" s="30"/>
      <c r="Y36" s="30"/>
      <c r="Z36" s="30"/>
      <c r="AA36" s="30"/>
      <c r="AB36" s="30"/>
      <c r="AC36" s="50"/>
      <c r="AD36" s="30"/>
      <c r="AE36" s="12">
        <f t="shared" si="5"/>
        <v>0</v>
      </c>
      <c r="AF36" s="70">
        <f t="shared" si="6"/>
        <v>0</v>
      </c>
      <c r="AG36" s="76"/>
      <c r="AH36" s="76"/>
      <c r="AI36" s="76"/>
      <c r="AJ36" s="76"/>
      <c r="AK36" s="76"/>
      <c r="AL36" s="30"/>
      <c r="AM36" s="79"/>
      <c r="AN36" s="79"/>
      <c r="AO36" s="79"/>
    </row>
    <row r="37" hidden="1">
      <c r="A37" s="12" t="s">
        <v>74</v>
      </c>
      <c r="B37" s="64"/>
      <c r="C37" s="12" t="s">
        <v>248</v>
      </c>
      <c r="D37" s="12" t="str">
        <f>vlookup(C37,'List of Chargers'!$A$2:$B$5,2,FALSE)</f>
        <v>Roam Hub</v>
      </c>
      <c r="E37" s="12" t="s">
        <v>73</v>
      </c>
      <c r="F37" s="12" t="s">
        <v>75</v>
      </c>
      <c r="G37" s="12">
        <v>35.0</v>
      </c>
      <c r="H37" s="13" t="str">
        <f t="shared" si="1"/>
        <v>#RH-KE-A-35</v>
      </c>
      <c r="I37" s="13" t="str">
        <f t="shared" si="2"/>
        <v>FO-NBI-00#RH-KE-A-35</v>
      </c>
      <c r="J37" s="25"/>
      <c r="K37" s="66"/>
      <c r="L37" s="31"/>
      <c r="M37" s="31"/>
      <c r="N37" s="26" t="str">
        <f t="shared" si="3"/>
        <v>Roam Hub - </v>
      </c>
      <c r="O37" s="26" t="str">
        <f t="shared" si="4"/>
        <v>FO-NBI-00#RH-KE-A-35: Roam Hub - </v>
      </c>
      <c r="R37" s="53"/>
      <c r="S37" s="78" t="b">
        <v>0</v>
      </c>
      <c r="T37" s="78" t="b">
        <v>0</v>
      </c>
      <c r="U37" s="78" t="b">
        <v>0</v>
      </c>
      <c r="V37" s="30" t="b">
        <v>0</v>
      </c>
      <c r="W37" s="30" t="b">
        <v>0</v>
      </c>
      <c r="X37" s="30"/>
      <c r="Y37" s="30"/>
      <c r="Z37" s="30"/>
      <c r="AA37" s="30"/>
      <c r="AB37" s="30"/>
      <c r="AC37" s="50"/>
      <c r="AD37" s="30"/>
      <c r="AE37" s="12">
        <f t="shared" si="5"/>
        <v>0</v>
      </c>
      <c r="AF37" s="70">
        <f t="shared" si="6"/>
        <v>0</v>
      </c>
      <c r="AG37" s="76"/>
      <c r="AH37" s="76"/>
      <c r="AI37" s="76"/>
      <c r="AJ37" s="76"/>
      <c r="AK37" s="76"/>
      <c r="AL37" s="30"/>
      <c r="AM37" s="79"/>
      <c r="AN37" s="79"/>
      <c r="AO37" s="79"/>
    </row>
    <row r="38" hidden="1">
      <c r="A38" s="12" t="s">
        <v>74</v>
      </c>
      <c r="B38" s="64"/>
      <c r="C38" s="12" t="s">
        <v>248</v>
      </c>
      <c r="D38" s="12" t="str">
        <f>vlookup(C38,'List of Chargers'!$A$2:$B$5,2,FALSE)</f>
        <v>Roam Hub</v>
      </c>
      <c r="E38" s="12" t="s">
        <v>73</v>
      </c>
      <c r="F38" s="12" t="s">
        <v>75</v>
      </c>
      <c r="G38" s="12">
        <v>36.0</v>
      </c>
      <c r="H38" s="13" t="str">
        <f t="shared" si="1"/>
        <v>#RH-KE-A-36</v>
      </c>
      <c r="I38" s="13" t="str">
        <f t="shared" si="2"/>
        <v>FO-NBI-00#RH-KE-A-36</v>
      </c>
      <c r="J38" s="25"/>
      <c r="K38" s="66"/>
      <c r="L38" s="31"/>
      <c r="M38" s="31"/>
      <c r="N38" s="26" t="str">
        <f t="shared" si="3"/>
        <v>Roam Hub - </v>
      </c>
      <c r="O38" s="26" t="str">
        <f t="shared" si="4"/>
        <v>FO-NBI-00#RH-KE-A-36: Roam Hub - </v>
      </c>
      <c r="R38" s="53"/>
      <c r="S38" s="78" t="b">
        <v>0</v>
      </c>
      <c r="T38" s="78" t="b">
        <v>0</v>
      </c>
      <c r="U38" s="78" t="b">
        <v>0</v>
      </c>
      <c r="V38" s="30" t="b">
        <v>0</v>
      </c>
      <c r="W38" s="30" t="b">
        <v>0</v>
      </c>
      <c r="X38" s="30"/>
      <c r="Y38" s="30"/>
      <c r="Z38" s="30"/>
      <c r="AA38" s="30"/>
      <c r="AB38" s="30"/>
      <c r="AC38" s="50"/>
      <c r="AD38" s="30"/>
      <c r="AE38" s="12">
        <f t="shared" si="5"/>
        <v>0</v>
      </c>
      <c r="AF38" s="70">
        <f t="shared" si="6"/>
        <v>0</v>
      </c>
      <c r="AG38" s="76"/>
      <c r="AH38" s="76"/>
      <c r="AI38" s="76"/>
      <c r="AJ38" s="76"/>
      <c r="AK38" s="76"/>
      <c r="AL38" s="30"/>
      <c r="AM38" s="79"/>
      <c r="AN38" s="79"/>
      <c r="AO38" s="79"/>
    </row>
    <row r="39" hidden="1">
      <c r="A39" s="12" t="s">
        <v>74</v>
      </c>
      <c r="B39" s="64"/>
      <c r="C39" s="12" t="s">
        <v>248</v>
      </c>
      <c r="D39" s="12" t="str">
        <f>vlookup(C39,'List of Chargers'!$A$2:$B$5,2,FALSE)</f>
        <v>Roam Hub</v>
      </c>
      <c r="E39" s="12" t="s">
        <v>73</v>
      </c>
      <c r="F39" s="12" t="s">
        <v>75</v>
      </c>
      <c r="G39" s="12">
        <v>37.0</v>
      </c>
      <c r="H39" s="13" t="str">
        <f t="shared" si="1"/>
        <v>#RH-KE-A-37</v>
      </c>
      <c r="I39" s="13" t="str">
        <f t="shared" si="2"/>
        <v>FO-NBI-00#RH-KE-A-37</v>
      </c>
      <c r="J39" s="25"/>
      <c r="K39" s="66"/>
      <c r="L39" s="31"/>
      <c r="M39" s="31"/>
      <c r="N39" s="26" t="str">
        <f t="shared" si="3"/>
        <v>Roam Hub - </v>
      </c>
      <c r="O39" s="26" t="str">
        <f t="shared" si="4"/>
        <v>FO-NBI-00#RH-KE-A-37: Roam Hub - </v>
      </c>
      <c r="R39" s="53"/>
      <c r="S39" s="78" t="b">
        <v>0</v>
      </c>
      <c r="T39" s="78" t="b">
        <v>0</v>
      </c>
      <c r="U39" s="78" t="b">
        <v>0</v>
      </c>
      <c r="V39" s="30" t="b">
        <v>0</v>
      </c>
      <c r="W39" s="30" t="b">
        <v>0</v>
      </c>
      <c r="X39" s="30"/>
      <c r="Y39" s="30"/>
      <c r="Z39" s="30"/>
      <c r="AA39" s="30"/>
      <c r="AB39" s="30"/>
      <c r="AC39" s="50"/>
      <c r="AD39" s="30"/>
      <c r="AE39" s="12">
        <f t="shared" si="5"/>
        <v>0</v>
      </c>
      <c r="AF39" s="70">
        <f t="shared" si="6"/>
        <v>0</v>
      </c>
      <c r="AG39" s="76"/>
      <c r="AH39" s="76"/>
      <c r="AI39" s="76"/>
      <c r="AJ39" s="76"/>
      <c r="AK39" s="76"/>
      <c r="AL39" s="30"/>
      <c r="AM39" s="79"/>
      <c r="AN39" s="79"/>
      <c r="AO39" s="79"/>
    </row>
    <row r="40" hidden="1">
      <c r="A40" s="12" t="s">
        <v>74</v>
      </c>
      <c r="B40" s="64"/>
      <c r="C40" s="12" t="s">
        <v>248</v>
      </c>
      <c r="D40" s="12" t="str">
        <f>vlookup(C40,'List of Chargers'!$A$2:$B$5,2,FALSE)</f>
        <v>Roam Hub</v>
      </c>
      <c r="E40" s="12" t="s">
        <v>73</v>
      </c>
      <c r="F40" s="12" t="s">
        <v>75</v>
      </c>
      <c r="G40" s="12">
        <v>38.0</v>
      </c>
      <c r="H40" s="13" t="str">
        <f t="shared" si="1"/>
        <v>#RH-KE-A-38</v>
      </c>
      <c r="I40" s="13" t="str">
        <f t="shared" si="2"/>
        <v>FO-NBI-00#RH-KE-A-38</v>
      </c>
      <c r="J40" s="25"/>
      <c r="K40" s="66"/>
      <c r="L40" s="31"/>
      <c r="M40" s="31"/>
      <c r="N40" s="26" t="str">
        <f t="shared" si="3"/>
        <v>Roam Hub - </v>
      </c>
      <c r="O40" s="26" t="str">
        <f t="shared" si="4"/>
        <v>FO-NBI-00#RH-KE-A-38: Roam Hub - </v>
      </c>
      <c r="R40" s="53"/>
      <c r="S40" s="78" t="b">
        <v>0</v>
      </c>
      <c r="T40" s="78" t="b">
        <v>0</v>
      </c>
      <c r="U40" s="78" t="b">
        <v>0</v>
      </c>
      <c r="V40" s="30" t="b">
        <v>0</v>
      </c>
      <c r="W40" s="30" t="b">
        <v>0</v>
      </c>
      <c r="X40" s="30"/>
      <c r="Y40" s="30"/>
      <c r="Z40" s="30"/>
      <c r="AA40" s="30"/>
      <c r="AB40" s="30"/>
      <c r="AC40" s="50"/>
      <c r="AD40" s="30"/>
      <c r="AE40" s="12">
        <f t="shared" si="5"/>
        <v>0</v>
      </c>
      <c r="AF40" s="70">
        <f t="shared" si="6"/>
        <v>0</v>
      </c>
      <c r="AG40" s="76"/>
      <c r="AH40" s="76"/>
      <c r="AI40" s="76"/>
      <c r="AJ40" s="76"/>
      <c r="AK40" s="76"/>
      <c r="AL40" s="30"/>
      <c r="AM40" s="79"/>
      <c r="AN40" s="79"/>
      <c r="AO40" s="79"/>
    </row>
    <row r="41" hidden="1">
      <c r="A41" s="12" t="s">
        <v>74</v>
      </c>
      <c r="B41" s="64"/>
      <c r="C41" s="12" t="s">
        <v>248</v>
      </c>
      <c r="D41" s="12" t="str">
        <f>vlookup(C41,'List of Chargers'!$A$2:$B$5,2,FALSE)</f>
        <v>Roam Hub</v>
      </c>
      <c r="E41" s="12" t="s">
        <v>73</v>
      </c>
      <c r="F41" s="12" t="s">
        <v>75</v>
      </c>
      <c r="G41" s="12">
        <v>39.0</v>
      </c>
      <c r="H41" s="13" t="str">
        <f t="shared" si="1"/>
        <v>#RH-KE-A-39</v>
      </c>
      <c r="I41" s="13" t="str">
        <f t="shared" si="2"/>
        <v>FO-NBI-00#RH-KE-A-39</v>
      </c>
      <c r="J41" s="25"/>
      <c r="K41" s="66"/>
      <c r="L41" s="31"/>
      <c r="M41" s="31"/>
      <c r="N41" s="26" t="str">
        <f t="shared" si="3"/>
        <v>Roam Hub - </v>
      </c>
      <c r="O41" s="26" t="str">
        <f t="shared" si="4"/>
        <v>FO-NBI-00#RH-KE-A-39: Roam Hub - </v>
      </c>
      <c r="R41" s="53"/>
      <c r="S41" s="78" t="b">
        <v>0</v>
      </c>
      <c r="T41" s="78" t="b">
        <v>0</v>
      </c>
      <c r="U41" s="78" t="b">
        <v>0</v>
      </c>
      <c r="V41" s="30" t="b">
        <v>0</v>
      </c>
      <c r="W41" s="30" t="b">
        <v>0</v>
      </c>
      <c r="X41" s="30"/>
      <c r="Y41" s="30"/>
      <c r="Z41" s="30"/>
      <c r="AA41" s="30"/>
      <c r="AB41" s="30"/>
      <c r="AC41" s="50"/>
      <c r="AD41" s="30"/>
      <c r="AE41" s="12">
        <f t="shared" si="5"/>
        <v>0</v>
      </c>
      <c r="AF41" s="70">
        <f t="shared" si="6"/>
        <v>0</v>
      </c>
      <c r="AG41" s="76"/>
      <c r="AH41" s="76"/>
      <c r="AI41" s="76"/>
      <c r="AJ41" s="76"/>
      <c r="AK41" s="76"/>
      <c r="AL41" s="30"/>
      <c r="AM41" s="79"/>
      <c r="AN41" s="79"/>
      <c r="AO41" s="79"/>
    </row>
    <row r="42" hidden="1">
      <c r="A42" s="12" t="s">
        <v>74</v>
      </c>
      <c r="B42" s="64"/>
      <c r="C42" s="12" t="s">
        <v>248</v>
      </c>
      <c r="D42" s="12" t="str">
        <f>vlookup(C42,'List of Chargers'!$A$2:$B$5,2,FALSE)</f>
        <v>Roam Hub</v>
      </c>
      <c r="E42" s="12" t="s">
        <v>73</v>
      </c>
      <c r="F42" s="12" t="s">
        <v>75</v>
      </c>
      <c r="G42" s="12">
        <v>40.0</v>
      </c>
      <c r="H42" s="13" t="str">
        <f t="shared" si="1"/>
        <v>#RH-KE-A-40</v>
      </c>
      <c r="I42" s="13" t="str">
        <f t="shared" si="2"/>
        <v>FO-NBI-00#RH-KE-A-40</v>
      </c>
      <c r="J42" s="25"/>
      <c r="K42" s="66"/>
      <c r="L42" s="31"/>
      <c r="M42" s="31"/>
      <c r="N42" s="26" t="str">
        <f t="shared" si="3"/>
        <v>Roam Hub - </v>
      </c>
      <c r="O42" s="26" t="str">
        <f t="shared" si="4"/>
        <v>FO-NBI-00#RH-KE-A-40: Roam Hub - </v>
      </c>
      <c r="R42" s="53"/>
      <c r="S42" s="78" t="b">
        <v>0</v>
      </c>
      <c r="T42" s="78" t="b">
        <v>0</v>
      </c>
      <c r="U42" s="78" t="b">
        <v>0</v>
      </c>
      <c r="V42" s="30" t="b">
        <v>0</v>
      </c>
      <c r="W42" s="30" t="b">
        <v>0</v>
      </c>
      <c r="X42" s="30"/>
      <c r="Y42" s="30"/>
      <c r="Z42" s="30"/>
      <c r="AA42" s="30"/>
      <c r="AB42" s="30"/>
      <c r="AC42" s="50"/>
      <c r="AD42" s="30"/>
      <c r="AE42" s="12">
        <f t="shared" si="5"/>
        <v>0</v>
      </c>
      <c r="AF42" s="70">
        <f t="shared" si="6"/>
        <v>0</v>
      </c>
      <c r="AG42" s="76"/>
      <c r="AH42" s="76"/>
      <c r="AI42" s="76"/>
      <c r="AJ42" s="76"/>
      <c r="AK42" s="76"/>
      <c r="AL42" s="30"/>
      <c r="AM42" s="79"/>
      <c r="AN42" s="79"/>
      <c r="AO42" s="79"/>
    </row>
    <row r="43" hidden="1">
      <c r="A43" s="12" t="s">
        <v>74</v>
      </c>
      <c r="B43" s="64"/>
      <c r="C43" s="12" t="s">
        <v>248</v>
      </c>
      <c r="D43" s="12" t="str">
        <f>vlookup(C43,'List of Chargers'!$A$2:$B$5,2,FALSE)</f>
        <v>Roam Hub</v>
      </c>
      <c r="E43" s="12" t="s">
        <v>73</v>
      </c>
      <c r="F43" s="12" t="s">
        <v>75</v>
      </c>
      <c r="G43" s="12">
        <v>41.0</v>
      </c>
      <c r="H43" s="13" t="str">
        <f t="shared" si="1"/>
        <v>#RH-KE-A-41</v>
      </c>
      <c r="I43" s="13" t="str">
        <f t="shared" si="2"/>
        <v>FO-NBI-00#RH-KE-A-41</v>
      </c>
      <c r="J43" s="25"/>
      <c r="K43" s="66"/>
      <c r="L43" s="31"/>
      <c r="M43" s="31"/>
      <c r="N43" s="26" t="str">
        <f t="shared" si="3"/>
        <v>Roam Hub - </v>
      </c>
      <c r="O43" s="26" t="str">
        <f t="shared" si="4"/>
        <v>FO-NBI-00#RH-KE-A-41: Roam Hub - </v>
      </c>
      <c r="R43" s="53"/>
      <c r="S43" s="78" t="b">
        <v>0</v>
      </c>
      <c r="T43" s="78" t="b">
        <v>0</v>
      </c>
      <c r="U43" s="78" t="b">
        <v>0</v>
      </c>
      <c r="V43" s="30" t="b">
        <v>0</v>
      </c>
      <c r="W43" s="30" t="b">
        <v>0</v>
      </c>
      <c r="X43" s="30"/>
      <c r="Y43" s="30"/>
      <c r="Z43" s="30"/>
      <c r="AA43" s="30"/>
      <c r="AB43" s="30"/>
      <c r="AC43" s="50"/>
      <c r="AD43" s="30"/>
      <c r="AE43" s="12">
        <f t="shared" si="5"/>
        <v>0</v>
      </c>
      <c r="AF43" s="70">
        <f t="shared" si="6"/>
        <v>0</v>
      </c>
      <c r="AG43" s="76"/>
      <c r="AH43" s="76"/>
      <c r="AI43" s="76"/>
      <c r="AJ43" s="76"/>
      <c r="AK43" s="76"/>
      <c r="AL43" s="30"/>
      <c r="AM43" s="79"/>
      <c r="AN43" s="79"/>
      <c r="AO43" s="79"/>
    </row>
    <row r="44" hidden="1">
      <c r="A44" s="12" t="s">
        <v>74</v>
      </c>
      <c r="B44" s="64"/>
      <c r="C44" s="12" t="s">
        <v>248</v>
      </c>
      <c r="D44" s="12" t="str">
        <f>vlookup(C44,'List of Chargers'!$A$2:$B$5,2,FALSE)</f>
        <v>Roam Hub</v>
      </c>
      <c r="E44" s="12" t="s">
        <v>73</v>
      </c>
      <c r="F44" s="12" t="s">
        <v>75</v>
      </c>
      <c r="G44" s="12">
        <v>42.0</v>
      </c>
      <c r="H44" s="13" t="str">
        <f t="shared" si="1"/>
        <v>#RH-KE-A-42</v>
      </c>
      <c r="I44" s="13" t="str">
        <f t="shared" si="2"/>
        <v>FO-NBI-00#RH-KE-A-42</v>
      </c>
      <c r="J44" s="25"/>
      <c r="K44" s="66"/>
      <c r="L44" s="31"/>
      <c r="M44" s="31"/>
      <c r="N44" s="26" t="str">
        <f t="shared" si="3"/>
        <v>Roam Hub - </v>
      </c>
      <c r="O44" s="26" t="str">
        <f t="shared" si="4"/>
        <v>FO-NBI-00#RH-KE-A-42: Roam Hub - </v>
      </c>
      <c r="R44" s="53"/>
      <c r="S44" s="78" t="b">
        <v>0</v>
      </c>
      <c r="T44" s="78" t="b">
        <v>0</v>
      </c>
      <c r="U44" s="78" t="b">
        <v>0</v>
      </c>
      <c r="V44" s="30" t="b">
        <v>0</v>
      </c>
      <c r="W44" s="30" t="b">
        <v>0</v>
      </c>
      <c r="X44" s="30"/>
      <c r="Y44" s="30"/>
      <c r="Z44" s="30"/>
      <c r="AA44" s="30"/>
      <c r="AB44" s="30"/>
      <c r="AC44" s="50"/>
      <c r="AD44" s="30"/>
      <c r="AE44" s="12">
        <f t="shared" si="5"/>
        <v>0</v>
      </c>
      <c r="AF44" s="70">
        <f t="shared" si="6"/>
        <v>0</v>
      </c>
      <c r="AG44" s="76"/>
      <c r="AH44" s="76"/>
      <c r="AI44" s="76"/>
      <c r="AJ44" s="76"/>
      <c r="AK44" s="76"/>
      <c r="AL44" s="30"/>
      <c r="AM44" s="79"/>
      <c r="AN44" s="79"/>
      <c r="AO44" s="79"/>
    </row>
    <row r="45" hidden="1">
      <c r="A45" s="12" t="s">
        <v>74</v>
      </c>
      <c r="B45" s="64"/>
      <c r="C45" s="12" t="s">
        <v>248</v>
      </c>
      <c r="D45" s="12" t="str">
        <f>vlookup(C45,'List of Chargers'!$A$2:$B$5,2,FALSE)</f>
        <v>Roam Hub</v>
      </c>
      <c r="E45" s="12" t="s">
        <v>73</v>
      </c>
      <c r="F45" s="12" t="s">
        <v>75</v>
      </c>
      <c r="G45" s="12">
        <v>43.0</v>
      </c>
      <c r="H45" s="13" t="str">
        <f t="shared" si="1"/>
        <v>#RH-KE-A-43</v>
      </c>
      <c r="I45" s="13" t="str">
        <f t="shared" si="2"/>
        <v>FO-NBI-00#RH-KE-A-43</v>
      </c>
      <c r="J45" s="25"/>
      <c r="K45" s="66"/>
      <c r="L45" s="31"/>
      <c r="M45" s="31"/>
      <c r="N45" s="26" t="str">
        <f t="shared" si="3"/>
        <v>Roam Hub - </v>
      </c>
      <c r="O45" s="26" t="str">
        <f t="shared" si="4"/>
        <v>FO-NBI-00#RH-KE-A-43: Roam Hub - </v>
      </c>
      <c r="R45" s="53"/>
      <c r="S45" s="78" t="b">
        <v>0</v>
      </c>
      <c r="T45" s="78" t="b">
        <v>0</v>
      </c>
      <c r="U45" s="78" t="b">
        <v>0</v>
      </c>
      <c r="V45" s="30" t="b">
        <v>0</v>
      </c>
      <c r="W45" s="30" t="b">
        <v>0</v>
      </c>
      <c r="X45" s="30"/>
      <c r="Y45" s="30"/>
      <c r="Z45" s="30"/>
      <c r="AA45" s="30"/>
      <c r="AB45" s="30"/>
      <c r="AC45" s="50"/>
      <c r="AD45" s="30"/>
      <c r="AE45" s="12">
        <f t="shared" si="5"/>
        <v>0</v>
      </c>
      <c r="AF45" s="70">
        <f t="shared" si="6"/>
        <v>0</v>
      </c>
      <c r="AG45" s="76"/>
      <c r="AH45" s="76"/>
      <c r="AI45" s="76"/>
      <c r="AJ45" s="76"/>
      <c r="AK45" s="76"/>
      <c r="AL45" s="30"/>
      <c r="AM45" s="79"/>
      <c r="AN45" s="79"/>
      <c r="AO45" s="79"/>
    </row>
    <row r="46" hidden="1">
      <c r="A46" s="12" t="s">
        <v>74</v>
      </c>
      <c r="B46" s="64"/>
      <c r="C46" s="12" t="s">
        <v>248</v>
      </c>
      <c r="D46" s="12" t="str">
        <f>vlookup(C46,'List of Chargers'!$A$2:$B$5,2,FALSE)</f>
        <v>Roam Hub</v>
      </c>
      <c r="E46" s="12" t="s">
        <v>73</v>
      </c>
      <c r="F46" s="12" t="s">
        <v>75</v>
      </c>
      <c r="G46" s="12">
        <v>44.0</v>
      </c>
      <c r="H46" s="13" t="str">
        <f t="shared" si="1"/>
        <v>#RH-KE-A-44</v>
      </c>
      <c r="I46" s="13" t="str">
        <f t="shared" si="2"/>
        <v>FO-NBI-00#RH-KE-A-44</v>
      </c>
      <c r="J46" s="25"/>
      <c r="K46" s="66"/>
      <c r="L46" s="31"/>
      <c r="M46" s="31"/>
      <c r="N46" s="26" t="str">
        <f t="shared" si="3"/>
        <v>Roam Hub - </v>
      </c>
      <c r="O46" s="26" t="str">
        <f t="shared" si="4"/>
        <v>FO-NBI-00#RH-KE-A-44: Roam Hub - </v>
      </c>
      <c r="R46" s="53"/>
      <c r="S46" s="78" t="b">
        <v>0</v>
      </c>
      <c r="T46" s="78" t="b">
        <v>0</v>
      </c>
      <c r="U46" s="78" t="b">
        <v>0</v>
      </c>
      <c r="V46" s="30" t="b">
        <v>0</v>
      </c>
      <c r="W46" s="30" t="b">
        <v>0</v>
      </c>
      <c r="X46" s="30"/>
      <c r="Y46" s="30"/>
      <c r="Z46" s="30"/>
      <c r="AA46" s="30"/>
      <c r="AB46" s="30"/>
      <c r="AC46" s="50"/>
      <c r="AD46" s="30"/>
      <c r="AE46" s="12">
        <f t="shared" si="5"/>
        <v>0</v>
      </c>
      <c r="AF46" s="70">
        <f t="shared" si="6"/>
        <v>0</v>
      </c>
      <c r="AG46" s="76"/>
      <c r="AH46" s="76"/>
      <c r="AI46" s="76"/>
      <c r="AJ46" s="76"/>
      <c r="AK46" s="76"/>
      <c r="AL46" s="30"/>
      <c r="AM46" s="79"/>
      <c r="AN46" s="79"/>
      <c r="AO46" s="79"/>
    </row>
    <row r="47" hidden="1">
      <c r="A47" s="12" t="s">
        <v>74</v>
      </c>
      <c r="B47" s="64"/>
      <c r="C47" s="12" t="s">
        <v>248</v>
      </c>
      <c r="D47" s="12" t="str">
        <f>vlookup(C47,'List of Chargers'!$A$2:$B$5,2,FALSE)</f>
        <v>Roam Hub</v>
      </c>
      <c r="E47" s="12" t="s">
        <v>73</v>
      </c>
      <c r="F47" s="12" t="s">
        <v>75</v>
      </c>
      <c r="G47" s="12">
        <v>45.0</v>
      </c>
      <c r="H47" s="13" t="str">
        <f t="shared" si="1"/>
        <v>#RH-KE-A-45</v>
      </c>
      <c r="I47" s="13" t="str">
        <f t="shared" si="2"/>
        <v>FO-NBI-00#RH-KE-A-45</v>
      </c>
      <c r="J47" s="25"/>
      <c r="K47" s="66"/>
      <c r="L47" s="31"/>
      <c r="M47" s="31"/>
      <c r="N47" s="26" t="str">
        <f t="shared" si="3"/>
        <v>Roam Hub - </v>
      </c>
      <c r="O47" s="26" t="str">
        <f t="shared" si="4"/>
        <v>FO-NBI-00#RH-KE-A-45: Roam Hub - </v>
      </c>
      <c r="R47" s="53"/>
      <c r="S47" s="78" t="b">
        <v>0</v>
      </c>
      <c r="T47" s="78" t="b">
        <v>0</v>
      </c>
      <c r="U47" s="78" t="b">
        <v>0</v>
      </c>
      <c r="V47" s="30" t="b">
        <v>0</v>
      </c>
      <c r="W47" s="30" t="b">
        <v>0</v>
      </c>
      <c r="X47" s="30"/>
      <c r="Y47" s="30"/>
      <c r="Z47" s="30"/>
      <c r="AA47" s="30"/>
      <c r="AB47" s="30"/>
      <c r="AC47" s="50"/>
      <c r="AD47" s="30"/>
      <c r="AE47" s="12">
        <f t="shared" si="5"/>
        <v>0</v>
      </c>
      <c r="AF47" s="70">
        <f t="shared" si="6"/>
        <v>0</v>
      </c>
      <c r="AG47" s="76"/>
      <c r="AH47" s="76"/>
      <c r="AI47" s="76"/>
      <c r="AJ47" s="76"/>
      <c r="AK47" s="76"/>
      <c r="AL47" s="30"/>
      <c r="AM47" s="79"/>
      <c r="AN47" s="79"/>
      <c r="AO47" s="79"/>
    </row>
    <row r="48" hidden="1">
      <c r="A48" s="12" t="s">
        <v>74</v>
      </c>
      <c r="B48" s="64"/>
      <c r="C48" s="12" t="s">
        <v>248</v>
      </c>
      <c r="D48" s="12" t="str">
        <f>vlookup(C48,'List of Chargers'!$A$2:$B$5,2,FALSE)</f>
        <v>Roam Hub</v>
      </c>
      <c r="E48" s="12" t="s">
        <v>73</v>
      </c>
      <c r="F48" s="12" t="s">
        <v>75</v>
      </c>
      <c r="G48" s="12">
        <v>46.0</v>
      </c>
      <c r="H48" s="13" t="str">
        <f t="shared" si="1"/>
        <v>#RH-KE-A-46</v>
      </c>
      <c r="I48" s="13" t="str">
        <f t="shared" si="2"/>
        <v>FO-NBI-00#RH-KE-A-46</v>
      </c>
      <c r="J48" s="25"/>
      <c r="K48" s="66"/>
      <c r="L48" s="31"/>
      <c r="M48" s="31"/>
      <c r="N48" s="26" t="str">
        <f t="shared" si="3"/>
        <v>Roam Hub - </v>
      </c>
      <c r="O48" s="26" t="str">
        <f t="shared" si="4"/>
        <v>FO-NBI-00#RH-KE-A-46: Roam Hub - </v>
      </c>
      <c r="R48" s="53"/>
      <c r="S48" s="78" t="b">
        <v>0</v>
      </c>
      <c r="T48" s="78" t="b">
        <v>0</v>
      </c>
      <c r="U48" s="78" t="b">
        <v>0</v>
      </c>
      <c r="V48" s="30" t="b">
        <v>0</v>
      </c>
      <c r="W48" s="30" t="b">
        <v>0</v>
      </c>
      <c r="X48" s="30"/>
      <c r="Y48" s="30"/>
      <c r="Z48" s="30"/>
      <c r="AA48" s="30"/>
      <c r="AB48" s="30"/>
      <c r="AC48" s="50"/>
      <c r="AD48" s="30"/>
      <c r="AE48" s="12">
        <f t="shared" si="5"/>
        <v>0</v>
      </c>
      <c r="AF48" s="70">
        <f t="shared" si="6"/>
        <v>0</v>
      </c>
      <c r="AG48" s="76"/>
      <c r="AH48" s="76"/>
      <c r="AI48" s="76"/>
      <c r="AJ48" s="76"/>
      <c r="AK48" s="76"/>
      <c r="AL48" s="30"/>
      <c r="AM48" s="79"/>
      <c r="AN48" s="79"/>
      <c r="AO48" s="79"/>
    </row>
    <row r="49" hidden="1">
      <c r="A49" s="12" t="s">
        <v>74</v>
      </c>
      <c r="B49" s="64"/>
      <c r="C49" s="12" t="s">
        <v>248</v>
      </c>
      <c r="D49" s="12" t="str">
        <f>vlookup(C49,'List of Chargers'!$A$2:$B$5,2,FALSE)</f>
        <v>Roam Hub</v>
      </c>
      <c r="E49" s="12" t="s">
        <v>73</v>
      </c>
      <c r="F49" s="12" t="s">
        <v>75</v>
      </c>
      <c r="G49" s="12">
        <v>47.0</v>
      </c>
      <c r="H49" s="13" t="str">
        <f t="shared" si="1"/>
        <v>#RH-KE-A-47</v>
      </c>
      <c r="I49" s="13" t="str">
        <f t="shared" si="2"/>
        <v>FO-NBI-00#RH-KE-A-47</v>
      </c>
      <c r="J49" s="25"/>
      <c r="K49" s="66"/>
      <c r="L49" s="31"/>
      <c r="M49" s="31"/>
      <c r="N49" s="26" t="str">
        <f t="shared" si="3"/>
        <v>Roam Hub - </v>
      </c>
      <c r="O49" s="26" t="str">
        <f t="shared" si="4"/>
        <v>FO-NBI-00#RH-KE-A-47: Roam Hub - </v>
      </c>
      <c r="R49" s="53"/>
      <c r="S49" s="78" t="b">
        <v>0</v>
      </c>
      <c r="T49" s="78" t="b">
        <v>0</v>
      </c>
      <c r="U49" s="78" t="b">
        <v>0</v>
      </c>
      <c r="V49" s="30" t="b">
        <v>0</v>
      </c>
      <c r="W49" s="30" t="b">
        <v>0</v>
      </c>
      <c r="X49" s="30"/>
      <c r="Y49" s="30"/>
      <c r="Z49" s="30"/>
      <c r="AA49" s="30"/>
      <c r="AB49" s="30"/>
      <c r="AC49" s="50"/>
      <c r="AD49" s="30"/>
      <c r="AE49" s="12">
        <f t="shared" si="5"/>
        <v>0</v>
      </c>
      <c r="AF49" s="70">
        <f t="shared" si="6"/>
        <v>0</v>
      </c>
      <c r="AG49" s="76"/>
      <c r="AH49" s="76"/>
      <c r="AI49" s="76"/>
      <c r="AJ49" s="76"/>
      <c r="AK49" s="76"/>
      <c r="AL49" s="30"/>
      <c r="AM49" s="79"/>
      <c r="AN49" s="79"/>
      <c r="AO49" s="79"/>
    </row>
    <row r="50" hidden="1">
      <c r="A50" s="12" t="s">
        <v>74</v>
      </c>
      <c r="B50" s="64"/>
      <c r="C50" s="12" t="s">
        <v>248</v>
      </c>
      <c r="D50" s="12" t="str">
        <f>vlookup(C50,'List of Chargers'!$A$2:$B$5,2,FALSE)</f>
        <v>Roam Hub</v>
      </c>
      <c r="E50" s="12" t="s">
        <v>73</v>
      </c>
      <c r="F50" s="12" t="s">
        <v>75</v>
      </c>
      <c r="G50" s="12">
        <v>48.0</v>
      </c>
      <c r="H50" s="13" t="str">
        <f t="shared" si="1"/>
        <v>#RH-KE-A-48</v>
      </c>
      <c r="I50" s="13" t="str">
        <f t="shared" si="2"/>
        <v>FO-NBI-00#RH-KE-A-48</v>
      </c>
      <c r="J50" s="25"/>
      <c r="K50" s="66"/>
      <c r="L50" s="31"/>
      <c r="M50" s="31"/>
      <c r="N50" s="26" t="str">
        <f t="shared" si="3"/>
        <v>Roam Hub - </v>
      </c>
      <c r="O50" s="26" t="str">
        <f t="shared" si="4"/>
        <v>FO-NBI-00#RH-KE-A-48: Roam Hub - </v>
      </c>
      <c r="R50" s="53"/>
      <c r="S50" s="78" t="b">
        <v>0</v>
      </c>
      <c r="T50" s="78" t="b">
        <v>0</v>
      </c>
      <c r="U50" s="78" t="b">
        <v>0</v>
      </c>
      <c r="V50" s="30" t="b">
        <v>0</v>
      </c>
      <c r="W50" s="30" t="b">
        <v>0</v>
      </c>
      <c r="X50" s="30"/>
      <c r="Y50" s="30"/>
      <c r="Z50" s="30"/>
      <c r="AA50" s="30"/>
      <c r="AB50" s="30"/>
      <c r="AC50" s="50"/>
      <c r="AD50" s="30"/>
      <c r="AE50" s="12">
        <f t="shared" si="5"/>
        <v>0</v>
      </c>
      <c r="AF50" s="70">
        <f t="shared" si="6"/>
        <v>0</v>
      </c>
      <c r="AG50" s="76"/>
      <c r="AH50" s="76"/>
      <c r="AI50" s="76"/>
      <c r="AJ50" s="76"/>
      <c r="AK50" s="76"/>
      <c r="AL50" s="30"/>
      <c r="AM50" s="79"/>
      <c r="AN50" s="79"/>
      <c r="AO50" s="79"/>
    </row>
    <row r="51" hidden="1">
      <c r="A51" s="12" t="s">
        <v>74</v>
      </c>
      <c r="B51" s="64"/>
      <c r="C51" s="12" t="s">
        <v>248</v>
      </c>
      <c r="D51" s="12" t="str">
        <f>vlookup(C51,'List of Chargers'!$A$2:$B$5,2,FALSE)</f>
        <v>Roam Hub</v>
      </c>
      <c r="E51" s="12" t="s">
        <v>73</v>
      </c>
      <c r="F51" s="12" t="s">
        <v>75</v>
      </c>
      <c r="G51" s="12">
        <v>49.0</v>
      </c>
      <c r="H51" s="13" t="str">
        <f t="shared" si="1"/>
        <v>#RH-KE-A-49</v>
      </c>
      <c r="I51" s="13" t="str">
        <f t="shared" si="2"/>
        <v>FO-NBI-00#RH-KE-A-49</v>
      </c>
      <c r="J51" s="25"/>
      <c r="K51" s="66"/>
      <c r="L51" s="31"/>
      <c r="M51" s="31"/>
      <c r="N51" s="26" t="str">
        <f t="shared" si="3"/>
        <v>Roam Hub - </v>
      </c>
      <c r="O51" s="26" t="str">
        <f t="shared" si="4"/>
        <v>FO-NBI-00#RH-KE-A-49: Roam Hub - </v>
      </c>
      <c r="R51" s="53"/>
      <c r="S51" s="78" t="b">
        <v>0</v>
      </c>
      <c r="T51" s="78" t="b">
        <v>0</v>
      </c>
      <c r="U51" s="78" t="b">
        <v>0</v>
      </c>
      <c r="V51" s="30" t="b">
        <v>0</v>
      </c>
      <c r="W51" s="30" t="b">
        <v>0</v>
      </c>
      <c r="X51" s="30"/>
      <c r="Y51" s="30"/>
      <c r="Z51" s="30"/>
      <c r="AA51" s="30"/>
      <c r="AB51" s="30"/>
      <c r="AC51" s="50"/>
      <c r="AD51" s="30"/>
      <c r="AE51" s="12">
        <f t="shared" si="5"/>
        <v>0</v>
      </c>
      <c r="AF51" s="70">
        <f t="shared" si="6"/>
        <v>0</v>
      </c>
      <c r="AG51" s="76"/>
      <c r="AH51" s="76"/>
      <c r="AI51" s="76"/>
      <c r="AJ51" s="76"/>
      <c r="AK51" s="76"/>
      <c r="AL51" s="30"/>
      <c r="AM51" s="79"/>
      <c r="AN51" s="79"/>
      <c r="AO51" s="79"/>
    </row>
    <row r="52" hidden="1">
      <c r="A52" s="12" t="s">
        <v>74</v>
      </c>
      <c r="B52" s="64"/>
      <c r="C52" s="12" t="s">
        <v>248</v>
      </c>
      <c r="D52" s="12" t="str">
        <f>vlookup(C52,'List of Chargers'!$A$2:$B$5,2,FALSE)</f>
        <v>Roam Hub</v>
      </c>
      <c r="E52" s="12" t="s">
        <v>73</v>
      </c>
      <c r="F52" s="12" t="s">
        <v>75</v>
      </c>
      <c r="G52" s="12">
        <v>50.0</v>
      </c>
      <c r="H52" s="13" t="str">
        <f t="shared" si="1"/>
        <v>#RH-KE-A-50</v>
      </c>
      <c r="I52" s="13" t="str">
        <f t="shared" si="2"/>
        <v>FO-NBI-00#RH-KE-A-50</v>
      </c>
      <c r="J52" s="25"/>
      <c r="K52" s="66"/>
      <c r="L52" s="31"/>
      <c r="M52" s="31"/>
      <c r="N52" s="26" t="str">
        <f t="shared" si="3"/>
        <v>Roam Hub - </v>
      </c>
      <c r="O52" s="26" t="str">
        <f t="shared" si="4"/>
        <v>FO-NBI-00#RH-KE-A-50: Roam Hub - </v>
      </c>
      <c r="R52" s="53"/>
      <c r="S52" s="78" t="b">
        <v>0</v>
      </c>
      <c r="T52" s="78" t="b">
        <v>0</v>
      </c>
      <c r="U52" s="78" t="b">
        <v>0</v>
      </c>
      <c r="V52" s="30" t="b">
        <v>0</v>
      </c>
      <c r="W52" s="30" t="b">
        <v>0</v>
      </c>
      <c r="X52" s="30"/>
      <c r="Y52" s="30"/>
      <c r="Z52" s="30"/>
      <c r="AA52" s="30"/>
      <c r="AB52" s="30"/>
      <c r="AC52" s="50"/>
      <c r="AD52" s="30"/>
      <c r="AE52" s="12">
        <f t="shared" si="5"/>
        <v>0</v>
      </c>
      <c r="AF52" s="70">
        <f t="shared" si="6"/>
        <v>0</v>
      </c>
      <c r="AG52" s="76"/>
      <c r="AH52" s="76"/>
      <c r="AI52" s="76"/>
      <c r="AJ52" s="76"/>
      <c r="AK52" s="76"/>
      <c r="AL52" s="30"/>
      <c r="AM52" s="79"/>
      <c r="AN52" s="79"/>
      <c r="AO52" s="79"/>
    </row>
    <row r="53" hidden="1">
      <c r="A53" s="12" t="s">
        <v>74</v>
      </c>
      <c r="B53" s="64"/>
      <c r="C53" s="12" t="s">
        <v>248</v>
      </c>
      <c r="D53" s="12" t="str">
        <f>vlookup(C53,'List of Chargers'!$A$2:$B$5,2,FALSE)</f>
        <v>Roam Hub</v>
      </c>
      <c r="E53" s="12" t="s">
        <v>73</v>
      </c>
      <c r="F53" s="12" t="s">
        <v>75</v>
      </c>
      <c r="G53" s="12">
        <v>51.0</v>
      </c>
      <c r="H53" s="13" t="str">
        <f t="shared" si="1"/>
        <v>#RH-KE-A-51</v>
      </c>
      <c r="I53" s="13" t="str">
        <f t="shared" si="2"/>
        <v>FO-NBI-00#RH-KE-A-51</v>
      </c>
      <c r="J53" s="25"/>
      <c r="K53" s="66"/>
      <c r="L53" s="31"/>
      <c r="M53" s="31"/>
      <c r="N53" s="26" t="str">
        <f t="shared" si="3"/>
        <v>Roam Hub - </v>
      </c>
      <c r="O53" s="26" t="str">
        <f t="shared" si="4"/>
        <v>FO-NBI-00#RH-KE-A-51: Roam Hub - </v>
      </c>
      <c r="R53" s="53"/>
      <c r="S53" s="78" t="b">
        <v>0</v>
      </c>
      <c r="T53" s="78" t="b">
        <v>0</v>
      </c>
      <c r="U53" s="78" t="b">
        <v>0</v>
      </c>
      <c r="V53" s="30" t="b">
        <v>0</v>
      </c>
      <c r="W53" s="30" t="b">
        <v>0</v>
      </c>
      <c r="X53" s="30"/>
      <c r="Y53" s="30"/>
      <c r="Z53" s="30"/>
      <c r="AA53" s="30"/>
      <c r="AB53" s="30"/>
      <c r="AC53" s="50"/>
      <c r="AD53" s="30"/>
      <c r="AE53" s="12">
        <f t="shared" si="5"/>
        <v>0</v>
      </c>
      <c r="AF53" s="70">
        <f t="shared" si="6"/>
        <v>0</v>
      </c>
      <c r="AG53" s="76"/>
      <c r="AH53" s="76"/>
      <c r="AI53" s="76"/>
      <c r="AJ53" s="76"/>
      <c r="AK53" s="76"/>
      <c r="AL53" s="30"/>
      <c r="AM53" s="79"/>
      <c r="AN53" s="79"/>
      <c r="AO53" s="79"/>
    </row>
    <row r="54" hidden="1">
      <c r="A54" s="12" t="s">
        <v>74</v>
      </c>
      <c r="B54" s="64"/>
      <c r="C54" s="12" t="s">
        <v>248</v>
      </c>
      <c r="D54" s="12" t="str">
        <f>vlookup(C54,'List of Chargers'!$A$2:$B$5,2,FALSE)</f>
        <v>Roam Hub</v>
      </c>
      <c r="E54" s="12" t="s">
        <v>73</v>
      </c>
      <c r="F54" s="12" t="s">
        <v>75</v>
      </c>
      <c r="G54" s="12">
        <v>52.0</v>
      </c>
      <c r="H54" s="13" t="str">
        <f t="shared" si="1"/>
        <v>#RH-KE-A-52</v>
      </c>
      <c r="I54" s="13" t="str">
        <f t="shared" si="2"/>
        <v>FO-NBI-00#RH-KE-A-52</v>
      </c>
      <c r="J54" s="25"/>
      <c r="K54" s="66"/>
      <c r="L54" s="31"/>
      <c r="M54" s="31"/>
      <c r="N54" s="26" t="str">
        <f t="shared" si="3"/>
        <v>Roam Hub - </v>
      </c>
      <c r="O54" s="26" t="str">
        <f t="shared" si="4"/>
        <v>FO-NBI-00#RH-KE-A-52: Roam Hub - </v>
      </c>
      <c r="R54" s="53"/>
      <c r="S54" s="78" t="b">
        <v>0</v>
      </c>
      <c r="T54" s="78" t="b">
        <v>0</v>
      </c>
      <c r="U54" s="78" t="b">
        <v>0</v>
      </c>
      <c r="V54" s="30" t="b">
        <v>0</v>
      </c>
      <c r="W54" s="30" t="b">
        <v>0</v>
      </c>
      <c r="X54" s="30"/>
      <c r="Y54" s="30"/>
      <c r="Z54" s="30"/>
      <c r="AA54" s="30"/>
      <c r="AB54" s="30"/>
      <c r="AC54" s="50"/>
      <c r="AD54" s="30"/>
      <c r="AE54" s="12">
        <f t="shared" si="5"/>
        <v>0</v>
      </c>
      <c r="AF54" s="70">
        <f t="shared" si="6"/>
        <v>0</v>
      </c>
      <c r="AG54" s="76"/>
      <c r="AH54" s="76"/>
      <c r="AI54" s="76"/>
      <c r="AJ54" s="76"/>
      <c r="AK54" s="76"/>
      <c r="AL54" s="30"/>
      <c r="AM54" s="79"/>
      <c r="AN54" s="79"/>
      <c r="AO54" s="79"/>
    </row>
    <row r="55" hidden="1">
      <c r="A55" s="12" t="s">
        <v>74</v>
      </c>
      <c r="B55" s="64"/>
      <c r="C55" s="12" t="s">
        <v>248</v>
      </c>
      <c r="D55" s="12" t="str">
        <f>vlookup(C55,'List of Chargers'!$A$2:$B$5,2,FALSE)</f>
        <v>Roam Hub</v>
      </c>
      <c r="E55" s="12" t="s">
        <v>73</v>
      </c>
      <c r="F55" s="12" t="s">
        <v>75</v>
      </c>
      <c r="G55" s="12">
        <v>53.0</v>
      </c>
      <c r="H55" s="13" t="str">
        <f t="shared" si="1"/>
        <v>#RH-KE-A-53</v>
      </c>
      <c r="I55" s="13" t="str">
        <f t="shared" si="2"/>
        <v>FO-NBI-00#RH-KE-A-53</v>
      </c>
      <c r="J55" s="25"/>
      <c r="K55" s="66"/>
      <c r="L55" s="31"/>
      <c r="M55" s="31"/>
      <c r="N55" s="26" t="str">
        <f t="shared" si="3"/>
        <v>Roam Hub - </v>
      </c>
      <c r="O55" s="26" t="str">
        <f t="shared" si="4"/>
        <v>FO-NBI-00#RH-KE-A-53: Roam Hub - </v>
      </c>
      <c r="R55" s="53"/>
      <c r="S55" s="78" t="b">
        <v>0</v>
      </c>
      <c r="T55" s="78" t="b">
        <v>0</v>
      </c>
      <c r="U55" s="78" t="b">
        <v>0</v>
      </c>
      <c r="V55" s="30" t="b">
        <v>0</v>
      </c>
      <c r="W55" s="30" t="b">
        <v>0</v>
      </c>
      <c r="X55" s="30"/>
      <c r="Y55" s="30"/>
      <c r="Z55" s="30"/>
      <c r="AA55" s="30"/>
      <c r="AB55" s="30"/>
      <c r="AC55" s="50"/>
      <c r="AD55" s="30"/>
      <c r="AE55" s="12">
        <f t="shared" si="5"/>
        <v>0</v>
      </c>
      <c r="AF55" s="70">
        <f t="shared" si="6"/>
        <v>0</v>
      </c>
      <c r="AG55" s="76"/>
      <c r="AH55" s="76"/>
      <c r="AI55" s="76"/>
      <c r="AJ55" s="76"/>
      <c r="AK55" s="76"/>
      <c r="AL55" s="30"/>
      <c r="AM55" s="79"/>
      <c r="AN55" s="79"/>
      <c r="AO55" s="79"/>
    </row>
    <row r="56" hidden="1">
      <c r="A56" s="12" t="s">
        <v>74</v>
      </c>
      <c r="B56" s="64"/>
      <c r="C56" s="12" t="s">
        <v>248</v>
      </c>
      <c r="D56" s="12" t="str">
        <f>vlookup(C56,'List of Chargers'!$A$2:$B$5,2,FALSE)</f>
        <v>Roam Hub</v>
      </c>
      <c r="E56" s="12" t="s">
        <v>73</v>
      </c>
      <c r="F56" s="12" t="s">
        <v>75</v>
      </c>
      <c r="G56" s="12">
        <v>54.0</v>
      </c>
      <c r="H56" s="13" t="str">
        <f t="shared" si="1"/>
        <v>#RH-KE-A-54</v>
      </c>
      <c r="I56" s="13" t="str">
        <f t="shared" si="2"/>
        <v>FO-NBI-00#RH-KE-A-54</v>
      </c>
      <c r="J56" s="25"/>
      <c r="K56" s="66"/>
      <c r="L56" s="31"/>
      <c r="M56" s="31"/>
      <c r="N56" s="26" t="str">
        <f t="shared" si="3"/>
        <v>Roam Hub - </v>
      </c>
      <c r="O56" s="26" t="str">
        <f t="shared" si="4"/>
        <v>FO-NBI-00#RH-KE-A-54: Roam Hub - </v>
      </c>
      <c r="R56" s="53"/>
      <c r="S56" s="78" t="b">
        <v>0</v>
      </c>
      <c r="T56" s="78" t="b">
        <v>0</v>
      </c>
      <c r="U56" s="78" t="b">
        <v>0</v>
      </c>
      <c r="V56" s="30" t="b">
        <v>0</v>
      </c>
      <c r="W56" s="30" t="b">
        <v>0</v>
      </c>
      <c r="X56" s="30"/>
      <c r="Y56" s="30"/>
      <c r="Z56" s="30"/>
      <c r="AA56" s="30"/>
      <c r="AB56" s="30"/>
      <c r="AC56" s="50"/>
      <c r="AD56" s="30"/>
      <c r="AE56" s="12">
        <f t="shared" si="5"/>
        <v>0</v>
      </c>
      <c r="AF56" s="70">
        <f t="shared" si="6"/>
        <v>0</v>
      </c>
      <c r="AG56" s="76"/>
      <c r="AH56" s="76"/>
      <c r="AI56" s="76"/>
      <c r="AJ56" s="76"/>
      <c r="AK56" s="76"/>
      <c r="AL56" s="30"/>
      <c r="AM56" s="79"/>
      <c r="AN56" s="79"/>
      <c r="AO56" s="79"/>
    </row>
    <row r="57" hidden="1">
      <c r="A57" s="12" t="s">
        <v>74</v>
      </c>
      <c r="B57" s="64"/>
      <c r="C57" s="12" t="s">
        <v>248</v>
      </c>
      <c r="D57" s="12" t="str">
        <f>vlookup(C57,'List of Chargers'!$A$2:$B$5,2,FALSE)</f>
        <v>Roam Hub</v>
      </c>
      <c r="E57" s="12" t="s">
        <v>73</v>
      </c>
      <c r="F57" s="12" t="s">
        <v>75</v>
      </c>
      <c r="G57" s="12">
        <v>55.0</v>
      </c>
      <c r="H57" s="13" t="str">
        <f t="shared" si="1"/>
        <v>#RH-KE-A-55</v>
      </c>
      <c r="I57" s="13" t="str">
        <f t="shared" si="2"/>
        <v>FO-NBI-00#RH-KE-A-55</v>
      </c>
      <c r="J57" s="25"/>
      <c r="K57" s="66"/>
      <c r="L57" s="31"/>
      <c r="M57" s="31"/>
      <c r="N57" s="26" t="str">
        <f t="shared" si="3"/>
        <v>Roam Hub - </v>
      </c>
      <c r="O57" s="26" t="str">
        <f t="shared" si="4"/>
        <v>FO-NBI-00#RH-KE-A-55: Roam Hub - </v>
      </c>
      <c r="R57" s="53"/>
      <c r="S57" s="78" t="b">
        <v>0</v>
      </c>
      <c r="T57" s="78" t="b">
        <v>0</v>
      </c>
      <c r="U57" s="78" t="b">
        <v>0</v>
      </c>
      <c r="V57" s="30" t="b">
        <v>0</v>
      </c>
      <c r="W57" s="30" t="b">
        <v>0</v>
      </c>
      <c r="X57" s="30"/>
      <c r="Y57" s="30"/>
      <c r="Z57" s="30"/>
      <c r="AA57" s="30"/>
      <c r="AB57" s="30"/>
      <c r="AC57" s="50"/>
      <c r="AD57" s="30"/>
      <c r="AE57" s="12">
        <f t="shared" si="5"/>
        <v>0</v>
      </c>
      <c r="AF57" s="70">
        <f t="shared" si="6"/>
        <v>0</v>
      </c>
      <c r="AG57" s="76"/>
      <c r="AH57" s="76"/>
      <c r="AI57" s="76"/>
      <c r="AJ57" s="76"/>
      <c r="AK57" s="76"/>
      <c r="AL57" s="30"/>
      <c r="AM57" s="79"/>
      <c r="AN57" s="79"/>
      <c r="AO57" s="79"/>
    </row>
    <row r="58" hidden="1">
      <c r="A58" s="12" t="s">
        <v>74</v>
      </c>
      <c r="B58" s="64"/>
      <c r="C58" s="12" t="s">
        <v>248</v>
      </c>
      <c r="D58" s="12" t="str">
        <f>vlookup(C58,'List of Chargers'!$A$2:$B$5,2,FALSE)</f>
        <v>Roam Hub</v>
      </c>
      <c r="E58" s="12" t="s">
        <v>73</v>
      </c>
      <c r="F58" s="12" t="s">
        <v>75</v>
      </c>
      <c r="G58" s="12">
        <v>56.0</v>
      </c>
      <c r="H58" s="13" t="str">
        <f t="shared" si="1"/>
        <v>#RH-KE-A-56</v>
      </c>
      <c r="I58" s="13" t="str">
        <f t="shared" si="2"/>
        <v>FO-NBI-00#RH-KE-A-56</v>
      </c>
      <c r="J58" s="25"/>
      <c r="K58" s="66"/>
      <c r="L58" s="31"/>
      <c r="M58" s="31"/>
      <c r="N58" s="26" t="str">
        <f t="shared" si="3"/>
        <v>Roam Hub - </v>
      </c>
      <c r="O58" s="26" t="str">
        <f t="shared" si="4"/>
        <v>FO-NBI-00#RH-KE-A-56: Roam Hub - </v>
      </c>
      <c r="R58" s="53"/>
      <c r="S58" s="78" t="b">
        <v>0</v>
      </c>
      <c r="T58" s="78" t="b">
        <v>0</v>
      </c>
      <c r="U58" s="78" t="b">
        <v>0</v>
      </c>
      <c r="V58" s="30" t="b">
        <v>0</v>
      </c>
      <c r="W58" s="30" t="b">
        <v>0</v>
      </c>
      <c r="X58" s="30"/>
      <c r="Y58" s="30"/>
      <c r="Z58" s="30"/>
      <c r="AA58" s="30"/>
      <c r="AB58" s="30"/>
      <c r="AC58" s="50"/>
      <c r="AD58" s="30"/>
      <c r="AE58" s="12">
        <f t="shared" si="5"/>
        <v>0</v>
      </c>
      <c r="AF58" s="70">
        <f t="shared" si="6"/>
        <v>0</v>
      </c>
      <c r="AG58" s="76"/>
      <c r="AH58" s="76"/>
      <c r="AI58" s="76"/>
      <c r="AJ58" s="76"/>
      <c r="AK58" s="76"/>
      <c r="AL58" s="30"/>
      <c r="AM58" s="79"/>
      <c r="AN58" s="79"/>
      <c r="AO58" s="79"/>
    </row>
    <row r="59" hidden="1">
      <c r="A59" s="12" t="s">
        <v>74</v>
      </c>
      <c r="B59" s="64"/>
      <c r="C59" s="12" t="s">
        <v>248</v>
      </c>
      <c r="D59" s="12" t="str">
        <f>vlookup(C59,'List of Chargers'!$A$2:$B$5,2,FALSE)</f>
        <v>Roam Hub</v>
      </c>
      <c r="E59" s="12" t="s">
        <v>73</v>
      </c>
      <c r="F59" s="12" t="s">
        <v>75</v>
      </c>
      <c r="G59" s="12">
        <v>57.0</v>
      </c>
      <c r="H59" s="13" t="str">
        <f t="shared" si="1"/>
        <v>#RH-KE-A-57</v>
      </c>
      <c r="I59" s="13" t="str">
        <f t="shared" si="2"/>
        <v>FO-NBI-00#RH-KE-A-57</v>
      </c>
      <c r="J59" s="25"/>
      <c r="K59" s="66"/>
      <c r="L59" s="31"/>
      <c r="M59" s="31"/>
      <c r="N59" s="26" t="str">
        <f t="shared" si="3"/>
        <v>Roam Hub - </v>
      </c>
      <c r="O59" s="26" t="str">
        <f t="shared" si="4"/>
        <v>FO-NBI-00#RH-KE-A-57: Roam Hub - </v>
      </c>
      <c r="R59" s="53"/>
      <c r="S59" s="78" t="b">
        <v>0</v>
      </c>
      <c r="T59" s="78" t="b">
        <v>0</v>
      </c>
      <c r="U59" s="78" t="b">
        <v>0</v>
      </c>
      <c r="V59" s="30" t="b">
        <v>0</v>
      </c>
      <c r="W59" s="30" t="b">
        <v>0</v>
      </c>
      <c r="X59" s="30"/>
      <c r="Y59" s="30"/>
      <c r="Z59" s="30"/>
      <c r="AA59" s="30"/>
      <c r="AB59" s="30"/>
      <c r="AC59" s="50"/>
      <c r="AD59" s="30"/>
      <c r="AE59" s="12">
        <f t="shared" si="5"/>
        <v>0</v>
      </c>
      <c r="AF59" s="70">
        <f t="shared" si="6"/>
        <v>0</v>
      </c>
      <c r="AG59" s="76"/>
      <c r="AH59" s="76"/>
      <c r="AI59" s="76"/>
      <c r="AJ59" s="76"/>
      <c r="AK59" s="76"/>
      <c r="AL59" s="30"/>
      <c r="AM59" s="79"/>
      <c r="AN59" s="79"/>
      <c r="AO59" s="79"/>
    </row>
    <row r="60" hidden="1">
      <c r="A60" s="12" t="s">
        <v>74</v>
      </c>
      <c r="B60" s="64"/>
      <c r="C60" s="12" t="s">
        <v>248</v>
      </c>
      <c r="D60" s="12" t="str">
        <f>vlookup(C60,'List of Chargers'!$A$2:$B$5,2,FALSE)</f>
        <v>Roam Hub</v>
      </c>
      <c r="E60" s="12" t="s">
        <v>73</v>
      </c>
      <c r="F60" s="12" t="s">
        <v>75</v>
      </c>
      <c r="G60" s="12">
        <v>58.0</v>
      </c>
      <c r="H60" s="13" t="str">
        <f t="shared" si="1"/>
        <v>#RH-KE-A-58</v>
      </c>
      <c r="I60" s="13" t="str">
        <f t="shared" si="2"/>
        <v>FO-NBI-00#RH-KE-A-58</v>
      </c>
      <c r="J60" s="25"/>
      <c r="K60" s="66"/>
      <c r="L60" s="31"/>
      <c r="M60" s="31"/>
      <c r="N60" s="26" t="str">
        <f t="shared" si="3"/>
        <v>Roam Hub - </v>
      </c>
      <c r="O60" s="26" t="str">
        <f t="shared" si="4"/>
        <v>FO-NBI-00#RH-KE-A-58: Roam Hub - </v>
      </c>
      <c r="R60" s="53"/>
      <c r="S60" s="78" t="b">
        <v>0</v>
      </c>
      <c r="T60" s="78" t="b">
        <v>0</v>
      </c>
      <c r="U60" s="78" t="b">
        <v>0</v>
      </c>
      <c r="V60" s="30" t="b">
        <v>0</v>
      </c>
      <c r="W60" s="30" t="b">
        <v>0</v>
      </c>
      <c r="X60" s="30"/>
      <c r="Y60" s="30"/>
      <c r="Z60" s="30"/>
      <c r="AA60" s="30"/>
      <c r="AB60" s="30"/>
      <c r="AC60" s="50"/>
      <c r="AD60" s="30"/>
      <c r="AE60" s="12">
        <f t="shared" si="5"/>
        <v>0</v>
      </c>
      <c r="AF60" s="70">
        <f t="shared" si="6"/>
        <v>0</v>
      </c>
      <c r="AG60" s="76"/>
      <c r="AH60" s="76"/>
      <c r="AI60" s="76"/>
      <c r="AJ60" s="76"/>
      <c r="AK60" s="76"/>
      <c r="AL60" s="30"/>
      <c r="AM60" s="79"/>
      <c r="AN60" s="79"/>
      <c r="AO60" s="79"/>
    </row>
    <row r="61" hidden="1">
      <c r="A61" s="12" t="s">
        <v>74</v>
      </c>
      <c r="B61" s="64"/>
      <c r="C61" s="12" t="s">
        <v>248</v>
      </c>
      <c r="D61" s="12" t="str">
        <f>vlookup(C61,'List of Chargers'!$A$2:$B$5,2,FALSE)</f>
        <v>Roam Hub</v>
      </c>
      <c r="E61" s="12" t="s">
        <v>73</v>
      </c>
      <c r="F61" s="12" t="s">
        <v>75</v>
      </c>
      <c r="G61" s="12">
        <v>59.0</v>
      </c>
      <c r="H61" s="13" t="str">
        <f t="shared" si="1"/>
        <v>#RH-KE-A-59</v>
      </c>
      <c r="I61" s="13" t="str">
        <f t="shared" si="2"/>
        <v>FO-NBI-00#RH-KE-A-59</v>
      </c>
      <c r="J61" s="25"/>
      <c r="K61" s="66"/>
      <c r="L61" s="31"/>
      <c r="M61" s="31"/>
      <c r="N61" s="26" t="str">
        <f t="shared" si="3"/>
        <v>Roam Hub - </v>
      </c>
      <c r="O61" s="26" t="str">
        <f t="shared" si="4"/>
        <v>FO-NBI-00#RH-KE-A-59: Roam Hub - </v>
      </c>
      <c r="R61" s="53"/>
      <c r="S61" s="78" t="b">
        <v>0</v>
      </c>
      <c r="T61" s="78" t="b">
        <v>0</v>
      </c>
      <c r="U61" s="78" t="b">
        <v>0</v>
      </c>
      <c r="V61" s="30" t="b">
        <v>0</v>
      </c>
      <c r="W61" s="30" t="b">
        <v>0</v>
      </c>
      <c r="X61" s="30"/>
      <c r="Y61" s="30"/>
      <c r="Z61" s="30"/>
      <c r="AA61" s="30"/>
      <c r="AB61" s="30"/>
      <c r="AC61" s="50"/>
      <c r="AD61" s="30"/>
      <c r="AE61" s="12">
        <f t="shared" si="5"/>
        <v>0</v>
      </c>
      <c r="AF61" s="70">
        <f t="shared" si="6"/>
        <v>0</v>
      </c>
      <c r="AG61" s="76"/>
      <c r="AH61" s="76"/>
      <c r="AI61" s="76"/>
      <c r="AJ61" s="76"/>
      <c r="AK61" s="76"/>
      <c r="AL61" s="30"/>
      <c r="AM61" s="79"/>
      <c r="AN61" s="79"/>
      <c r="AO61" s="79"/>
    </row>
    <row r="62" hidden="1">
      <c r="A62" s="12" t="s">
        <v>74</v>
      </c>
      <c r="B62" s="64"/>
      <c r="C62" s="12" t="s">
        <v>248</v>
      </c>
      <c r="D62" s="12" t="str">
        <f>vlookup(C62,'List of Chargers'!$A$2:$B$5,2,FALSE)</f>
        <v>Roam Hub</v>
      </c>
      <c r="E62" s="12" t="s">
        <v>73</v>
      </c>
      <c r="F62" s="12" t="s">
        <v>75</v>
      </c>
      <c r="G62" s="12">
        <v>60.0</v>
      </c>
      <c r="H62" s="13" t="str">
        <f t="shared" si="1"/>
        <v>#RH-KE-A-60</v>
      </c>
      <c r="I62" s="13" t="str">
        <f t="shared" si="2"/>
        <v>FO-NBI-00#RH-KE-A-60</v>
      </c>
      <c r="J62" s="25"/>
      <c r="K62" s="66"/>
      <c r="L62" s="31"/>
      <c r="M62" s="31"/>
      <c r="N62" s="26" t="str">
        <f t="shared" si="3"/>
        <v>Roam Hub - </v>
      </c>
      <c r="O62" s="26" t="str">
        <f t="shared" si="4"/>
        <v>FO-NBI-00#RH-KE-A-60: Roam Hub - </v>
      </c>
      <c r="R62" s="53"/>
      <c r="S62" s="78" t="b">
        <v>0</v>
      </c>
      <c r="T62" s="78" t="b">
        <v>0</v>
      </c>
      <c r="U62" s="78" t="b">
        <v>0</v>
      </c>
      <c r="V62" s="30" t="b">
        <v>0</v>
      </c>
      <c r="W62" s="30" t="b">
        <v>0</v>
      </c>
      <c r="X62" s="30"/>
      <c r="Y62" s="30"/>
      <c r="Z62" s="30"/>
      <c r="AA62" s="30"/>
      <c r="AB62" s="30"/>
      <c r="AC62" s="50"/>
      <c r="AD62" s="30"/>
      <c r="AE62" s="12">
        <f t="shared" si="5"/>
        <v>0</v>
      </c>
      <c r="AF62" s="70">
        <f t="shared" si="6"/>
        <v>0</v>
      </c>
      <c r="AG62" s="76"/>
      <c r="AH62" s="76"/>
      <c r="AI62" s="76"/>
      <c r="AJ62" s="76"/>
      <c r="AK62" s="76"/>
      <c r="AL62" s="30"/>
      <c r="AM62" s="79"/>
      <c r="AN62" s="79"/>
      <c r="AO62" s="79"/>
    </row>
    <row r="63" hidden="1">
      <c r="A63" s="12" t="s">
        <v>74</v>
      </c>
      <c r="B63" s="64"/>
      <c r="C63" s="12" t="s">
        <v>248</v>
      </c>
      <c r="D63" s="12" t="str">
        <f>vlookup(C63,'List of Chargers'!$A$2:$B$5,2,FALSE)</f>
        <v>Roam Hub</v>
      </c>
      <c r="E63" s="12" t="s">
        <v>73</v>
      </c>
      <c r="F63" s="12" t="s">
        <v>75</v>
      </c>
      <c r="G63" s="12">
        <v>61.0</v>
      </c>
      <c r="H63" s="13" t="str">
        <f t="shared" si="1"/>
        <v>#RH-KE-A-61</v>
      </c>
      <c r="I63" s="13" t="str">
        <f t="shared" si="2"/>
        <v>FO-NBI-00#RH-KE-A-61</v>
      </c>
      <c r="J63" s="25"/>
      <c r="K63" s="66"/>
      <c r="L63" s="31"/>
      <c r="M63" s="31"/>
      <c r="N63" s="26" t="str">
        <f t="shared" si="3"/>
        <v>Roam Hub - </v>
      </c>
      <c r="O63" s="26" t="str">
        <f t="shared" si="4"/>
        <v>FO-NBI-00#RH-KE-A-61: Roam Hub - </v>
      </c>
      <c r="R63" s="53"/>
      <c r="S63" s="78" t="b">
        <v>0</v>
      </c>
      <c r="T63" s="78" t="b">
        <v>0</v>
      </c>
      <c r="U63" s="78" t="b">
        <v>0</v>
      </c>
      <c r="V63" s="30" t="b">
        <v>0</v>
      </c>
      <c r="W63" s="30" t="b">
        <v>0</v>
      </c>
      <c r="X63" s="30"/>
      <c r="Y63" s="30"/>
      <c r="Z63" s="30"/>
      <c r="AA63" s="30"/>
      <c r="AB63" s="30"/>
      <c r="AC63" s="50"/>
      <c r="AD63" s="30"/>
      <c r="AE63" s="12">
        <f t="shared" si="5"/>
        <v>0</v>
      </c>
      <c r="AF63" s="70">
        <f t="shared" si="6"/>
        <v>0</v>
      </c>
      <c r="AG63" s="76"/>
      <c r="AH63" s="76"/>
      <c r="AI63" s="76"/>
      <c r="AJ63" s="76"/>
      <c r="AK63" s="76"/>
      <c r="AL63" s="30"/>
      <c r="AM63" s="79"/>
      <c r="AN63" s="79"/>
      <c r="AO63" s="79"/>
    </row>
    <row r="64" hidden="1">
      <c r="A64" s="12" t="s">
        <v>74</v>
      </c>
      <c r="B64" s="64"/>
      <c r="C64" s="12" t="s">
        <v>248</v>
      </c>
      <c r="D64" s="12" t="str">
        <f>vlookup(C64,'List of Chargers'!$A$2:$B$5,2,FALSE)</f>
        <v>Roam Hub</v>
      </c>
      <c r="E64" s="12" t="s">
        <v>73</v>
      </c>
      <c r="F64" s="12" t="s">
        <v>75</v>
      </c>
      <c r="G64" s="12">
        <v>62.0</v>
      </c>
      <c r="H64" s="13" t="str">
        <f t="shared" si="1"/>
        <v>#RH-KE-A-62</v>
      </c>
      <c r="I64" s="13" t="str">
        <f t="shared" si="2"/>
        <v>FO-NBI-00#RH-KE-A-62</v>
      </c>
      <c r="J64" s="25"/>
      <c r="K64" s="66"/>
      <c r="L64" s="31"/>
      <c r="M64" s="31"/>
      <c r="N64" s="26" t="str">
        <f t="shared" si="3"/>
        <v>Roam Hub - </v>
      </c>
      <c r="O64" s="26" t="str">
        <f t="shared" si="4"/>
        <v>FO-NBI-00#RH-KE-A-62: Roam Hub - </v>
      </c>
      <c r="R64" s="53"/>
      <c r="S64" s="78" t="b">
        <v>0</v>
      </c>
      <c r="T64" s="78" t="b">
        <v>0</v>
      </c>
      <c r="U64" s="78" t="b">
        <v>0</v>
      </c>
      <c r="V64" s="30" t="b">
        <v>0</v>
      </c>
      <c r="W64" s="30" t="b">
        <v>0</v>
      </c>
      <c r="X64" s="30"/>
      <c r="Y64" s="30"/>
      <c r="Z64" s="30"/>
      <c r="AA64" s="30"/>
      <c r="AB64" s="30"/>
      <c r="AC64" s="50"/>
      <c r="AD64" s="30"/>
      <c r="AE64" s="12">
        <f t="shared" si="5"/>
        <v>0</v>
      </c>
      <c r="AF64" s="70">
        <f t="shared" si="6"/>
        <v>0</v>
      </c>
      <c r="AG64" s="76"/>
      <c r="AH64" s="76"/>
      <c r="AI64" s="76"/>
      <c r="AJ64" s="76"/>
      <c r="AK64" s="76"/>
      <c r="AL64" s="30"/>
      <c r="AM64" s="79"/>
      <c r="AN64" s="79"/>
      <c r="AO64" s="79"/>
    </row>
    <row r="65" hidden="1">
      <c r="A65" s="12" t="s">
        <v>74</v>
      </c>
      <c r="B65" s="64"/>
      <c r="C65" s="12" t="s">
        <v>248</v>
      </c>
      <c r="D65" s="12" t="str">
        <f>vlookup(C65,'List of Chargers'!$A$2:$B$5,2,FALSE)</f>
        <v>Roam Hub</v>
      </c>
      <c r="E65" s="12" t="s">
        <v>73</v>
      </c>
      <c r="F65" s="12" t="s">
        <v>75</v>
      </c>
      <c r="G65" s="12">
        <v>63.0</v>
      </c>
      <c r="H65" s="13" t="str">
        <f t="shared" si="1"/>
        <v>#RH-KE-A-63</v>
      </c>
      <c r="I65" s="13" t="str">
        <f t="shared" si="2"/>
        <v>FO-NBI-00#RH-KE-A-63</v>
      </c>
      <c r="J65" s="25"/>
      <c r="K65" s="66"/>
      <c r="L65" s="31"/>
      <c r="M65" s="31"/>
      <c r="N65" s="26" t="str">
        <f t="shared" si="3"/>
        <v>Roam Hub - </v>
      </c>
      <c r="O65" s="26" t="str">
        <f t="shared" si="4"/>
        <v>FO-NBI-00#RH-KE-A-63: Roam Hub - </v>
      </c>
      <c r="R65" s="53"/>
      <c r="S65" s="78" t="b">
        <v>0</v>
      </c>
      <c r="T65" s="78" t="b">
        <v>0</v>
      </c>
      <c r="U65" s="78" t="b">
        <v>0</v>
      </c>
      <c r="V65" s="30" t="b">
        <v>0</v>
      </c>
      <c r="W65" s="30" t="b">
        <v>0</v>
      </c>
      <c r="X65" s="30"/>
      <c r="Y65" s="30"/>
      <c r="Z65" s="30"/>
      <c r="AA65" s="30"/>
      <c r="AB65" s="30"/>
      <c r="AC65" s="50"/>
      <c r="AD65" s="30"/>
      <c r="AE65" s="12">
        <f t="shared" si="5"/>
        <v>0</v>
      </c>
      <c r="AF65" s="70">
        <f t="shared" si="6"/>
        <v>0</v>
      </c>
      <c r="AG65" s="76"/>
      <c r="AH65" s="76"/>
      <c r="AI65" s="76"/>
      <c r="AJ65" s="76"/>
      <c r="AK65" s="76"/>
      <c r="AL65" s="30"/>
      <c r="AM65" s="79"/>
      <c r="AN65" s="79"/>
      <c r="AO65" s="79"/>
    </row>
    <row r="66" hidden="1">
      <c r="A66" s="12" t="s">
        <v>74</v>
      </c>
      <c r="B66" s="64"/>
      <c r="C66" s="12" t="s">
        <v>248</v>
      </c>
      <c r="D66" s="12" t="str">
        <f>vlookup(C66,'List of Chargers'!$A$2:$B$5,2,FALSE)</f>
        <v>Roam Hub</v>
      </c>
      <c r="E66" s="12" t="s">
        <v>73</v>
      </c>
      <c r="F66" s="12" t="s">
        <v>75</v>
      </c>
      <c r="G66" s="12">
        <v>64.0</v>
      </c>
      <c r="H66" s="13" t="str">
        <f t="shared" si="1"/>
        <v>#RH-KE-A-64</v>
      </c>
      <c r="I66" s="13" t="str">
        <f t="shared" si="2"/>
        <v>FO-NBI-00#RH-KE-A-64</v>
      </c>
      <c r="J66" s="25"/>
      <c r="K66" s="66"/>
      <c r="L66" s="31"/>
      <c r="M66" s="31"/>
      <c r="N66" s="26" t="str">
        <f t="shared" si="3"/>
        <v>Roam Hub - </v>
      </c>
      <c r="O66" s="26" t="str">
        <f t="shared" si="4"/>
        <v>FO-NBI-00#RH-KE-A-64: Roam Hub - </v>
      </c>
      <c r="R66" s="53"/>
      <c r="S66" s="78" t="b">
        <v>0</v>
      </c>
      <c r="T66" s="78" t="b">
        <v>0</v>
      </c>
      <c r="U66" s="78" t="b">
        <v>0</v>
      </c>
      <c r="V66" s="30" t="b">
        <v>0</v>
      </c>
      <c r="W66" s="30" t="b">
        <v>0</v>
      </c>
      <c r="X66" s="30"/>
      <c r="Y66" s="30"/>
      <c r="Z66" s="30"/>
      <c r="AA66" s="30"/>
      <c r="AB66" s="30"/>
      <c r="AC66" s="50"/>
      <c r="AD66" s="30"/>
      <c r="AE66" s="12">
        <f t="shared" si="5"/>
        <v>0</v>
      </c>
      <c r="AF66" s="70">
        <f t="shared" si="6"/>
        <v>0</v>
      </c>
      <c r="AG66" s="76"/>
      <c r="AH66" s="76"/>
      <c r="AI66" s="76"/>
      <c r="AJ66" s="76"/>
      <c r="AK66" s="76"/>
      <c r="AL66" s="30"/>
      <c r="AM66" s="79"/>
      <c r="AN66" s="79"/>
      <c r="AO66" s="79"/>
    </row>
    <row r="67" hidden="1">
      <c r="A67" s="12" t="s">
        <v>74</v>
      </c>
      <c r="B67" s="64"/>
      <c r="C67" s="12" t="s">
        <v>248</v>
      </c>
      <c r="D67" s="12" t="str">
        <f>vlookup(C67,'List of Chargers'!$A$2:$B$5,2,FALSE)</f>
        <v>Roam Hub</v>
      </c>
      <c r="E67" s="12" t="s">
        <v>73</v>
      </c>
      <c r="F67" s="12" t="s">
        <v>75</v>
      </c>
      <c r="G67" s="12">
        <v>65.0</v>
      </c>
      <c r="H67" s="13" t="str">
        <f t="shared" si="1"/>
        <v>#RH-KE-A-65</v>
      </c>
      <c r="I67" s="13" t="str">
        <f t="shared" si="2"/>
        <v>FO-NBI-00#RH-KE-A-65</v>
      </c>
      <c r="J67" s="25"/>
      <c r="K67" s="66"/>
      <c r="L67" s="31"/>
      <c r="M67" s="31"/>
      <c r="N67" s="26" t="str">
        <f t="shared" si="3"/>
        <v>Roam Hub - </v>
      </c>
      <c r="O67" s="26" t="str">
        <f t="shared" si="4"/>
        <v>FO-NBI-00#RH-KE-A-65: Roam Hub - </v>
      </c>
      <c r="R67" s="53"/>
      <c r="S67" s="78" t="b">
        <v>0</v>
      </c>
      <c r="T67" s="78" t="b">
        <v>0</v>
      </c>
      <c r="U67" s="78" t="b">
        <v>0</v>
      </c>
      <c r="V67" s="30" t="b">
        <v>0</v>
      </c>
      <c r="W67" s="30" t="b">
        <v>0</v>
      </c>
      <c r="X67" s="30"/>
      <c r="Y67" s="30"/>
      <c r="Z67" s="30"/>
      <c r="AA67" s="30"/>
      <c r="AB67" s="30"/>
      <c r="AC67" s="50"/>
      <c r="AD67" s="30"/>
      <c r="AE67" s="12">
        <f t="shared" si="5"/>
        <v>0</v>
      </c>
      <c r="AF67" s="70">
        <f t="shared" si="6"/>
        <v>0</v>
      </c>
      <c r="AG67" s="76"/>
      <c r="AH67" s="76"/>
      <c r="AI67" s="76"/>
      <c r="AJ67" s="76"/>
      <c r="AK67" s="76"/>
      <c r="AL67" s="30"/>
      <c r="AM67" s="79"/>
      <c r="AN67" s="79"/>
      <c r="AO67" s="79"/>
    </row>
    <row r="68" hidden="1">
      <c r="A68" s="12" t="s">
        <v>74</v>
      </c>
      <c r="B68" s="64"/>
      <c r="C68" s="12" t="s">
        <v>248</v>
      </c>
      <c r="D68" s="12" t="str">
        <f>vlookup(C68,'List of Chargers'!$A$2:$B$5,2,FALSE)</f>
        <v>Roam Hub</v>
      </c>
      <c r="E68" s="12" t="s">
        <v>73</v>
      </c>
      <c r="F68" s="12" t="s">
        <v>75</v>
      </c>
      <c r="G68" s="12">
        <v>66.0</v>
      </c>
      <c r="H68" s="13" t="str">
        <f t="shared" si="1"/>
        <v>#RH-KE-A-66</v>
      </c>
      <c r="I68" s="13" t="str">
        <f t="shared" si="2"/>
        <v>FO-NBI-00#RH-KE-A-66</v>
      </c>
      <c r="J68" s="25"/>
      <c r="K68" s="66"/>
      <c r="L68" s="31"/>
      <c r="M68" s="31"/>
      <c r="N68" s="26" t="str">
        <f t="shared" si="3"/>
        <v>Roam Hub - </v>
      </c>
      <c r="O68" s="26" t="str">
        <f t="shared" si="4"/>
        <v>FO-NBI-00#RH-KE-A-66: Roam Hub - </v>
      </c>
      <c r="R68" s="53"/>
      <c r="S68" s="78" t="b">
        <v>0</v>
      </c>
      <c r="T68" s="78" t="b">
        <v>0</v>
      </c>
      <c r="U68" s="78" t="b">
        <v>0</v>
      </c>
      <c r="V68" s="30" t="b">
        <v>0</v>
      </c>
      <c r="W68" s="30" t="b">
        <v>0</v>
      </c>
      <c r="X68" s="30"/>
      <c r="Y68" s="30"/>
      <c r="Z68" s="30"/>
      <c r="AA68" s="30"/>
      <c r="AB68" s="30"/>
      <c r="AC68" s="50"/>
      <c r="AD68" s="30"/>
      <c r="AE68" s="12">
        <f t="shared" si="5"/>
        <v>0</v>
      </c>
      <c r="AF68" s="70">
        <f t="shared" si="6"/>
        <v>0</v>
      </c>
      <c r="AG68" s="76"/>
      <c r="AH68" s="76"/>
      <c r="AI68" s="76"/>
      <c r="AJ68" s="76"/>
      <c r="AK68" s="76"/>
      <c r="AL68" s="30"/>
      <c r="AM68" s="79"/>
      <c r="AN68" s="79"/>
      <c r="AO68" s="79"/>
    </row>
    <row r="69" hidden="1">
      <c r="A69" s="12" t="s">
        <v>74</v>
      </c>
      <c r="B69" s="64"/>
      <c r="C69" s="12" t="s">
        <v>248</v>
      </c>
      <c r="D69" s="12" t="str">
        <f>vlookup(C69,'List of Chargers'!$A$2:$B$5,2,FALSE)</f>
        <v>Roam Hub</v>
      </c>
      <c r="E69" s="12" t="s">
        <v>73</v>
      </c>
      <c r="F69" s="12" t="s">
        <v>75</v>
      </c>
      <c r="G69" s="12">
        <v>67.0</v>
      </c>
      <c r="H69" s="13" t="str">
        <f t="shared" si="1"/>
        <v>#RH-KE-A-67</v>
      </c>
      <c r="I69" s="13" t="str">
        <f t="shared" si="2"/>
        <v>FO-NBI-00#RH-KE-A-67</v>
      </c>
      <c r="J69" s="25"/>
      <c r="K69" s="66"/>
      <c r="L69" s="31"/>
      <c r="M69" s="31"/>
      <c r="N69" s="26" t="str">
        <f t="shared" si="3"/>
        <v>Roam Hub - </v>
      </c>
      <c r="O69" s="26" t="str">
        <f t="shared" si="4"/>
        <v>FO-NBI-00#RH-KE-A-67: Roam Hub - </v>
      </c>
      <c r="R69" s="53"/>
      <c r="S69" s="78" t="b">
        <v>0</v>
      </c>
      <c r="T69" s="78" t="b">
        <v>0</v>
      </c>
      <c r="U69" s="78" t="b">
        <v>0</v>
      </c>
      <c r="V69" s="30" t="b">
        <v>0</v>
      </c>
      <c r="W69" s="30" t="b">
        <v>0</v>
      </c>
      <c r="X69" s="30"/>
      <c r="Y69" s="30"/>
      <c r="Z69" s="30"/>
      <c r="AA69" s="30"/>
      <c r="AB69" s="30"/>
      <c r="AC69" s="50"/>
      <c r="AD69" s="30"/>
      <c r="AE69" s="12">
        <f t="shared" si="5"/>
        <v>0</v>
      </c>
      <c r="AF69" s="70">
        <f t="shared" si="6"/>
        <v>0</v>
      </c>
      <c r="AG69" s="76"/>
      <c r="AH69" s="76"/>
      <c r="AI69" s="76"/>
      <c r="AJ69" s="76"/>
      <c r="AK69" s="76"/>
      <c r="AL69" s="30"/>
      <c r="AM69" s="79"/>
      <c r="AN69" s="79"/>
      <c r="AO69" s="79"/>
    </row>
    <row r="70" hidden="1">
      <c r="A70" s="12" t="s">
        <v>74</v>
      </c>
      <c r="B70" s="64"/>
      <c r="C70" s="12" t="s">
        <v>248</v>
      </c>
      <c r="D70" s="12" t="str">
        <f>vlookup(C70,'List of Chargers'!$A$2:$B$5,2,FALSE)</f>
        <v>Roam Hub</v>
      </c>
      <c r="E70" s="12" t="s">
        <v>73</v>
      </c>
      <c r="F70" s="12" t="s">
        <v>75</v>
      </c>
      <c r="G70" s="12">
        <v>68.0</v>
      </c>
      <c r="H70" s="13" t="str">
        <f t="shared" si="1"/>
        <v>#RH-KE-A-68</v>
      </c>
      <c r="I70" s="13" t="str">
        <f t="shared" si="2"/>
        <v>FO-NBI-00#RH-KE-A-68</v>
      </c>
      <c r="J70" s="25"/>
      <c r="K70" s="66"/>
      <c r="L70" s="31"/>
      <c r="M70" s="31"/>
      <c r="N70" s="26" t="str">
        <f t="shared" si="3"/>
        <v>Roam Hub - </v>
      </c>
      <c r="O70" s="26" t="str">
        <f t="shared" si="4"/>
        <v>FO-NBI-00#RH-KE-A-68: Roam Hub - </v>
      </c>
      <c r="R70" s="53"/>
      <c r="S70" s="78" t="b">
        <v>0</v>
      </c>
      <c r="T70" s="78" t="b">
        <v>0</v>
      </c>
      <c r="U70" s="78" t="b">
        <v>0</v>
      </c>
      <c r="V70" s="30" t="b">
        <v>0</v>
      </c>
      <c r="W70" s="30" t="b">
        <v>0</v>
      </c>
      <c r="X70" s="30"/>
      <c r="Y70" s="30"/>
      <c r="Z70" s="30"/>
      <c r="AA70" s="30"/>
      <c r="AB70" s="30"/>
      <c r="AC70" s="50"/>
      <c r="AD70" s="30"/>
      <c r="AE70" s="12">
        <f t="shared" si="5"/>
        <v>0</v>
      </c>
      <c r="AF70" s="70">
        <f t="shared" si="6"/>
        <v>0</v>
      </c>
      <c r="AG70" s="76"/>
      <c r="AH70" s="76"/>
      <c r="AI70" s="76"/>
      <c r="AJ70" s="76"/>
      <c r="AK70" s="76"/>
      <c r="AL70" s="30"/>
      <c r="AM70" s="79"/>
      <c r="AN70" s="79"/>
      <c r="AO70" s="79"/>
    </row>
    <row r="71" hidden="1">
      <c r="A71" s="12" t="s">
        <v>74</v>
      </c>
      <c r="B71" s="64"/>
      <c r="C71" s="12" t="s">
        <v>248</v>
      </c>
      <c r="D71" s="12" t="str">
        <f>vlookup(C71,'List of Chargers'!$A$2:$B$5,2,FALSE)</f>
        <v>Roam Hub</v>
      </c>
      <c r="E71" s="12" t="s">
        <v>73</v>
      </c>
      <c r="F71" s="12" t="s">
        <v>75</v>
      </c>
      <c r="G71" s="12">
        <v>69.0</v>
      </c>
      <c r="H71" s="13" t="str">
        <f t="shared" si="1"/>
        <v>#RH-KE-A-69</v>
      </c>
      <c r="I71" s="13" t="str">
        <f t="shared" si="2"/>
        <v>FO-NBI-00#RH-KE-A-69</v>
      </c>
      <c r="J71" s="25"/>
      <c r="K71" s="66"/>
      <c r="L71" s="31"/>
      <c r="M71" s="31"/>
      <c r="N71" s="26" t="str">
        <f t="shared" si="3"/>
        <v>Roam Hub - </v>
      </c>
      <c r="O71" s="26" t="str">
        <f t="shared" si="4"/>
        <v>FO-NBI-00#RH-KE-A-69: Roam Hub - </v>
      </c>
      <c r="R71" s="53"/>
      <c r="S71" s="78" t="b">
        <v>0</v>
      </c>
      <c r="T71" s="78" t="b">
        <v>0</v>
      </c>
      <c r="U71" s="78" t="b">
        <v>0</v>
      </c>
      <c r="V71" s="30" t="b">
        <v>0</v>
      </c>
      <c r="W71" s="30" t="b">
        <v>0</v>
      </c>
      <c r="X71" s="30"/>
      <c r="Y71" s="30"/>
      <c r="Z71" s="30"/>
      <c r="AA71" s="30"/>
      <c r="AB71" s="30"/>
      <c r="AC71" s="50"/>
      <c r="AD71" s="30"/>
      <c r="AE71" s="12">
        <f t="shared" si="5"/>
        <v>0</v>
      </c>
      <c r="AF71" s="70">
        <f t="shared" si="6"/>
        <v>0</v>
      </c>
      <c r="AG71" s="76"/>
      <c r="AH71" s="76"/>
      <c r="AI71" s="76"/>
      <c r="AJ71" s="76"/>
      <c r="AK71" s="76"/>
      <c r="AL71" s="30"/>
      <c r="AM71" s="79"/>
      <c r="AN71" s="79"/>
      <c r="AO71" s="79"/>
    </row>
    <row r="72" hidden="1">
      <c r="A72" s="12" t="s">
        <v>74</v>
      </c>
      <c r="B72" s="64"/>
      <c r="C72" s="12" t="s">
        <v>248</v>
      </c>
      <c r="D72" s="12" t="str">
        <f>vlookup(C72,'List of Chargers'!$A$2:$B$5,2,FALSE)</f>
        <v>Roam Hub</v>
      </c>
      <c r="E72" s="12" t="s">
        <v>73</v>
      </c>
      <c r="F72" s="12" t="s">
        <v>75</v>
      </c>
      <c r="G72" s="12">
        <v>70.0</v>
      </c>
      <c r="H72" s="13" t="str">
        <f t="shared" si="1"/>
        <v>#RH-KE-A-70</v>
      </c>
      <c r="I72" s="13" t="str">
        <f t="shared" si="2"/>
        <v>FO-NBI-00#RH-KE-A-70</v>
      </c>
      <c r="J72" s="25"/>
      <c r="K72" s="66"/>
      <c r="L72" s="31"/>
      <c r="M72" s="31"/>
      <c r="N72" s="26" t="str">
        <f t="shared" si="3"/>
        <v>Roam Hub - </v>
      </c>
      <c r="O72" s="26" t="str">
        <f t="shared" si="4"/>
        <v>FO-NBI-00#RH-KE-A-70: Roam Hub - </v>
      </c>
      <c r="R72" s="53"/>
      <c r="S72" s="78" t="b">
        <v>0</v>
      </c>
      <c r="T72" s="78" t="b">
        <v>0</v>
      </c>
      <c r="U72" s="78" t="b">
        <v>0</v>
      </c>
      <c r="V72" s="30" t="b">
        <v>0</v>
      </c>
      <c r="W72" s="30" t="b">
        <v>0</v>
      </c>
      <c r="X72" s="30"/>
      <c r="Y72" s="30"/>
      <c r="Z72" s="30"/>
      <c r="AA72" s="30"/>
      <c r="AB72" s="30"/>
      <c r="AC72" s="50"/>
      <c r="AD72" s="30"/>
      <c r="AE72" s="12">
        <f t="shared" si="5"/>
        <v>0</v>
      </c>
      <c r="AF72" s="70">
        <f t="shared" si="6"/>
        <v>0</v>
      </c>
      <c r="AG72" s="76"/>
      <c r="AH72" s="76"/>
      <c r="AI72" s="76"/>
      <c r="AJ72" s="76"/>
      <c r="AK72" s="76"/>
      <c r="AL72" s="30"/>
      <c r="AM72" s="79"/>
      <c r="AN72" s="79"/>
      <c r="AO72" s="79"/>
    </row>
    <row r="73" hidden="1">
      <c r="A73" s="12" t="s">
        <v>74</v>
      </c>
      <c r="B73" s="64"/>
      <c r="C73" s="12" t="s">
        <v>248</v>
      </c>
      <c r="D73" s="12" t="str">
        <f>vlookup(C73,'List of Chargers'!$A$2:$B$5,2,FALSE)</f>
        <v>Roam Hub</v>
      </c>
      <c r="E73" s="12" t="s">
        <v>73</v>
      </c>
      <c r="F73" s="12" t="s">
        <v>75</v>
      </c>
      <c r="G73" s="12">
        <v>71.0</v>
      </c>
      <c r="H73" s="13" t="str">
        <f t="shared" si="1"/>
        <v>#RH-KE-A-71</v>
      </c>
      <c r="I73" s="13" t="str">
        <f t="shared" si="2"/>
        <v>FO-NBI-00#RH-KE-A-71</v>
      </c>
      <c r="J73" s="25"/>
      <c r="K73" s="66"/>
      <c r="L73" s="31"/>
      <c r="M73" s="31"/>
      <c r="N73" s="26" t="str">
        <f t="shared" si="3"/>
        <v>Roam Hub - </v>
      </c>
      <c r="O73" s="26" t="str">
        <f t="shared" si="4"/>
        <v>FO-NBI-00#RH-KE-A-71: Roam Hub - </v>
      </c>
      <c r="R73" s="53"/>
      <c r="S73" s="78" t="b">
        <v>0</v>
      </c>
      <c r="T73" s="78" t="b">
        <v>0</v>
      </c>
      <c r="U73" s="78" t="b">
        <v>0</v>
      </c>
      <c r="V73" s="30" t="b">
        <v>0</v>
      </c>
      <c r="W73" s="30" t="b">
        <v>0</v>
      </c>
      <c r="X73" s="30"/>
      <c r="Y73" s="30"/>
      <c r="Z73" s="30"/>
      <c r="AA73" s="30"/>
      <c r="AB73" s="30"/>
      <c r="AC73" s="50"/>
      <c r="AD73" s="30"/>
      <c r="AE73" s="12">
        <f t="shared" si="5"/>
        <v>0</v>
      </c>
      <c r="AF73" s="70">
        <f t="shared" si="6"/>
        <v>0</v>
      </c>
      <c r="AG73" s="76"/>
      <c r="AH73" s="76"/>
      <c r="AI73" s="76"/>
      <c r="AJ73" s="76"/>
      <c r="AK73" s="76"/>
      <c r="AL73" s="30"/>
      <c r="AM73" s="79"/>
      <c r="AN73" s="79"/>
      <c r="AO73" s="79"/>
    </row>
    <row r="74" hidden="1">
      <c r="A74" s="12" t="s">
        <v>74</v>
      </c>
      <c r="B74" s="64"/>
      <c r="C74" s="12" t="s">
        <v>248</v>
      </c>
      <c r="D74" s="12" t="str">
        <f>vlookup(C74,'List of Chargers'!$A$2:$B$5,2,FALSE)</f>
        <v>Roam Hub</v>
      </c>
      <c r="E74" s="12" t="s">
        <v>73</v>
      </c>
      <c r="F74" s="12" t="s">
        <v>75</v>
      </c>
      <c r="G74" s="12">
        <v>72.0</v>
      </c>
      <c r="H74" s="13" t="str">
        <f t="shared" si="1"/>
        <v>#RH-KE-A-72</v>
      </c>
      <c r="I74" s="13" t="str">
        <f t="shared" si="2"/>
        <v>FO-NBI-00#RH-KE-A-72</v>
      </c>
      <c r="J74" s="25"/>
      <c r="K74" s="66"/>
      <c r="L74" s="31"/>
      <c r="M74" s="31"/>
      <c r="N74" s="26" t="str">
        <f t="shared" si="3"/>
        <v>Roam Hub - </v>
      </c>
      <c r="O74" s="26" t="str">
        <f t="shared" si="4"/>
        <v>FO-NBI-00#RH-KE-A-72: Roam Hub - </v>
      </c>
      <c r="R74" s="53"/>
      <c r="S74" s="78" t="b">
        <v>0</v>
      </c>
      <c r="T74" s="78" t="b">
        <v>0</v>
      </c>
      <c r="U74" s="78" t="b">
        <v>0</v>
      </c>
      <c r="V74" s="30" t="b">
        <v>0</v>
      </c>
      <c r="W74" s="30" t="b">
        <v>0</v>
      </c>
      <c r="X74" s="30"/>
      <c r="Y74" s="30"/>
      <c r="Z74" s="30"/>
      <c r="AA74" s="30"/>
      <c r="AB74" s="30"/>
      <c r="AC74" s="50"/>
      <c r="AD74" s="30"/>
      <c r="AE74" s="12">
        <f t="shared" si="5"/>
        <v>0</v>
      </c>
      <c r="AF74" s="70">
        <f t="shared" si="6"/>
        <v>0</v>
      </c>
      <c r="AG74" s="76"/>
      <c r="AH74" s="76"/>
      <c r="AI74" s="76"/>
      <c r="AJ74" s="76"/>
      <c r="AK74" s="76"/>
      <c r="AL74" s="30"/>
      <c r="AM74" s="79"/>
      <c r="AN74" s="79"/>
      <c r="AO74" s="79"/>
    </row>
    <row r="75" hidden="1">
      <c r="A75" s="12" t="s">
        <v>74</v>
      </c>
      <c r="B75" s="64"/>
      <c r="C75" s="12" t="s">
        <v>248</v>
      </c>
      <c r="D75" s="12" t="str">
        <f>vlookup(C75,'List of Chargers'!$A$2:$B$5,2,FALSE)</f>
        <v>Roam Hub</v>
      </c>
      <c r="E75" s="12" t="s">
        <v>73</v>
      </c>
      <c r="F75" s="12" t="s">
        <v>75</v>
      </c>
      <c r="G75" s="12">
        <v>73.0</v>
      </c>
      <c r="H75" s="13" t="str">
        <f t="shared" si="1"/>
        <v>#RH-KE-A-73</v>
      </c>
      <c r="I75" s="13" t="str">
        <f t="shared" si="2"/>
        <v>FO-NBI-00#RH-KE-A-73</v>
      </c>
      <c r="J75" s="25"/>
      <c r="K75" s="66"/>
      <c r="L75" s="31"/>
      <c r="M75" s="31"/>
      <c r="N75" s="26" t="str">
        <f t="shared" si="3"/>
        <v>Roam Hub - </v>
      </c>
      <c r="O75" s="26" t="str">
        <f t="shared" si="4"/>
        <v>FO-NBI-00#RH-KE-A-73: Roam Hub - </v>
      </c>
      <c r="R75" s="53"/>
      <c r="S75" s="78" t="b">
        <v>0</v>
      </c>
      <c r="T75" s="78" t="b">
        <v>0</v>
      </c>
      <c r="U75" s="78" t="b">
        <v>0</v>
      </c>
      <c r="V75" s="30" t="b">
        <v>0</v>
      </c>
      <c r="W75" s="30" t="b">
        <v>0</v>
      </c>
      <c r="X75" s="30"/>
      <c r="Y75" s="30"/>
      <c r="Z75" s="30"/>
      <c r="AA75" s="30"/>
      <c r="AB75" s="30"/>
      <c r="AC75" s="50"/>
      <c r="AD75" s="30"/>
      <c r="AE75" s="12">
        <f t="shared" si="5"/>
        <v>0</v>
      </c>
      <c r="AF75" s="70">
        <f t="shared" si="6"/>
        <v>0</v>
      </c>
      <c r="AG75" s="76"/>
      <c r="AH75" s="76"/>
      <c r="AI75" s="76"/>
      <c r="AJ75" s="76"/>
      <c r="AK75" s="76"/>
      <c r="AL75" s="30"/>
      <c r="AM75" s="79"/>
      <c r="AN75" s="79"/>
      <c r="AO75" s="79"/>
    </row>
    <row r="76" hidden="1">
      <c r="A76" s="12" t="s">
        <v>74</v>
      </c>
      <c r="B76" s="64"/>
      <c r="C76" s="12" t="s">
        <v>248</v>
      </c>
      <c r="D76" s="12" t="str">
        <f>vlookup(C76,'List of Chargers'!$A$2:$B$5,2,FALSE)</f>
        <v>Roam Hub</v>
      </c>
      <c r="E76" s="12" t="s">
        <v>73</v>
      </c>
      <c r="F76" s="12" t="s">
        <v>75</v>
      </c>
      <c r="G76" s="12">
        <v>74.0</v>
      </c>
      <c r="H76" s="13" t="str">
        <f t="shared" si="1"/>
        <v>#RH-KE-A-74</v>
      </c>
      <c r="I76" s="13" t="str">
        <f t="shared" si="2"/>
        <v>FO-NBI-00#RH-KE-A-74</v>
      </c>
      <c r="J76" s="25"/>
      <c r="K76" s="66"/>
      <c r="L76" s="31"/>
      <c r="M76" s="31"/>
      <c r="N76" s="26" t="str">
        <f t="shared" si="3"/>
        <v>Roam Hub - </v>
      </c>
      <c r="O76" s="26" t="str">
        <f t="shared" si="4"/>
        <v>FO-NBI-00#RH-KE-A-74: Roam Hub - </v>
      </c>
      <c r="R76" s="53"/>
      <c r="S76" s="78" t="b">
        <v>0</v>
      </c>
      <c r="T76" s="78" t="b">
        <v>0</v>
      </c>
      <c r="U76" s="78" t="b">
        <v>0</v>
      </c>
      <c r="V76" s="30" t="b">
        <v>0</v>
      </c>
      <c r="W76" s="30" t="b">
        <v>0</v>
      </c>
      <c r="X76" s="30"/>
      <c r="Y76" s="30"/>
      <c r="Z76" s="30"/>
      <c r="AA76" s="30"/>
      <c r="AB76" s="30"/>
      <c r="AC76" s="50"/>
      <c r="AD76" s="30"/>
      <c r="AE76" s="12">
        <f t="shared" si="5"/>
        <v>0</v>
      </c>
      <c r="AF76" s="70">
        <f t="shared" si="6"/>
        <v>0</v>
      </c>
      <c r="AG76" s="76"/>
      <c r="AH76" s="76"/>
      <c r="AI76" s="76"/>
      <c r="AJ76" s="76"/>
      <c r="AK76" s="76"/>
      <c r="AL76" s="30"/>
      <c r="AM76" s="79"/>
      <c r="AN76" s="79"/>
      <c r="AO76" s="79"/>
    </row>
    <row r="77" hidden="1">
      <c r="A77" s="12" t="s">
        <v>74</v>
      </c>
      <c r="B77" s="64"/>
      <c r="C77" s="12" t="s">
        <v>248</v>
      </c>
      <c r="D77" s="12" t="str">
        <f>vlookup(C77,'List of Chargers'!$A$2:$B$5,2,FALSE)</f>
        <v>Roam Hub</v>
      </c>
      <c r="E77" s="12" t="s">
        <v>73</v>
      </c>
      <c r="F77" s="12" t="s">
        <v>75</v>
      </c>
      <c r="G77" s="12">
        <v>75.0</v>
      </c>
      <c r="H77" s="13" t="str">
        <f t="shared" si="1"/>
        <v>#RH-KE-A-75</v>
      </c>
      <c r="I77" s="13" t="str">
        <f t="shared" si="2"/>
        <v>FO-NBI-00#RH-KE-A-75</v>
      </c>
      <c r="J77" s="25"/>
      <c r="K77" s="66"/>
      <c r="L77" s="31"/>
      <c r="M77" s="31"/>
      <c r="N77" s="26" t="str">
        <f t="shared" si="3"/>
        <v>Roam Hub - </v>
      </c>
      <c r="O77" s="26" t="str">
        <f t="shared" si="4"/>
        <v>FO-NBI-00#RH-KE-A-75: Roam Hub - </v>
      </c>
      <c r="R77" s="53"/>
      <c r="S77" s="78" t="b">
        <v>0</v>
      </c>
      <c r="T77" s="78" t="b">
        <v>0</v>
      </c>
      <c r="U77" s="78" t="b">
        <v>0</v>
      </c>
      <c r="V77" s="30" t="b">
        <v>0</v>
      </c>
      <c r="W77" s="30" t="b">
        <v>0</v>
      </c>
      <c r="X77" s="30"/>
      <c r="Y77" s="30"/>
      <c r="Z77" s="30"/>
      <c r="AA77" s="30"/>
      <c r="AB77" s="30"/>
      <c r="AC77" s="50"/>
      <c r="AD77" s="30"/>
      <c r="AE77" s="12">
        <f t="shared" si="5"/>
        <v>0</v>
      </c>
      <c r="AF77" s="70">
        <f t="shared" si="6"/>
        <v>0</v>
      </c>
      <c r="AG77" s="76"/>
      <c r="AH77" s="76"/>
      <c r="AI77" s="76"/>
      <c r="AJ77" s="76"/>
      <c r="AK77" s="76"/>
      <c r="AL77" s="30"/>
      <c r="AM77" s="79"/>
      <c r="AN77" s="79"/>
      <c r="AO77" s="79"/>
    </row>
    <row r="78" hidden="1">
      <c r="A78" s="12" t="s">
        <v>74</v>
      </c>
      <c r="B78" s="64"/>
      <c r="C78" s="12" t="s">
        <v>248</v>
      </c>
      <c r="D78" s="12" t="str">
        <f>vlookup(C78,'List of Chargers'!$A$2:$B$5,2,FALSE)</f>
        <v>Roam Hub</v>
      </c>
      <c r="E78" s="12" t="s">
        <v>73</v>
      </c>
      <c r="F78" s="12" t="s">
        <v>75</v>
      </c>
      <c r="G78" s="12">
        <v>76.0</v>
      </c>
      <c r="H78" s="13" t="str">
        <f t="shared" si="1"/>
        <v>#RH-KE-A-76</v>
      </c>
      <c r="I78" s="13" t="str">
        <f t="shared" si="2"/>
        <v>FO-NBI-00#RH-KE-A-76</v>
      </c>
      <c r="J78" s="25"/>
      <c r="K78" s="66"/>
      <c r="L78" s="31"/>
      <c r="M78" s="31"/>
      <c r="N78" s="26" t="str">
        <f t="shared" si="3"/>
        <v>Roam Hub - </v>
      </c>
      <c r="O78" s="26" t="str">
        <f t="shared" si="4"/>
        <v>FO-NBI-00#RH-KE-A-76: Roam Hub - </v>
      </c>
      <c r="R78" s="53"/>
      <c r="S78" s="78" t="b">
        <v>0</v>
      </c>
      <c r="T78" s="78" t="b">
        <v>0</v>
      </c>
      <c r="U78" s="78" t="b">
        <v>0</v>
      </c>
      <c r="V78" s="30" t="b">
        <v>0</v>
      </c>
      <c r="W78" s="30" t="b">
        <v>0</v>
      </c>
      <c r="X78" s="30"/>
      <c r="Y78" s="30"/>
      <c r="Z78" s="30"/>
      <c r="AA78" s="30"/>
      <c r="AB78" s="30"/>
      <c r="AC78" s="50"/>
      <c r="AD78" s="30"/>
      <c r="AE78" s="12">
        <f t="shared" si="5"/>
        <v>0</v>
      </c>
      <c r="AF78" s="70">
        <f t="shared" si="6"/>
        <v>0</v>
      </c>
      <c r="AG78" s="76"/>
      <c r="AH78" s="76"/>
      <c r="AI78" s="76"/>
      <c r="AJ78" s="76"/>
      <c r="AK78" s="76"/>
      <c r="AL78" s="30"/>
      <c r="AM78" s="79"/>
      <c r="AN78" s="79"/>
      <c r="AO78" s="79"/>
    </row>
    <row r="79" hidden="1">
      <c r="A79" s="12" t="s">
        <v>74</v>
      </c>
      <c r="B79" s="64"/>
      <c r="C79" s="12" t="s">
        <v>248</v>
      </c>
      <c r="D79" s="12" t="str">
        <f>vlookup(C79,'List of Chargers'!$A$2:$B$5,2,FALSE)</f>
        <v>Roam Hub</v>
      </c>
      <c r="E79" s="12" t="s">
        <v>73</v>
      </c>
      <c r="F79" s="12" t="s">
        <v>75</v>
      </c>
      <c r="G79" s="12">
        <v>77.0</v>
      </c>
      <c r="H79" s="13" t="str">
        <f t="shared" si="1"/>
        <v>#RH-KE-A-77</v>
      </c>
      <c r="I79" s="13" t="str">
        <f t="shared" si="2"/>
        <v>FO-NBI-00#RH-KE-A-77</v>
      </c>
      <c r="J79" s="25"/>
      <c r="K79" s="66"/>
      <c r="L79" s="31"/>
      <c r="M79" s="31"/>
      <c r="N79" s="26" t="str">
        <f t="shared" si="3"/>
        <v>Roam Hub - </v>
      </c>
      <c r="O79" s="26" t="str">
        <f t="shared" si="4"/>
        <v>FO-NBI-00#RH-KE-A-77: Roam Hub - </v>
      </c>
      <c r="R79" s="53"/>
      <c r="S79" s="78" t="b">
        <v>0</v>
      </c>
      <c r="T79" s="78" t="b">
        <v>0</v>
      </c>
      <c r="U79" s="78" t="b">
        <v>0</v>
      </c>
      <c r="V79" s="30" t="b">
        <v>0</v>
      </c>
      <c r="W79" s="30" t="b">
        <v>0</v>
      </c>
      <c r="X79" s="30"/>
      <c r="Y79" s="30"/>
      <c r="Z79" s="30"/>
      <c r="AA79" s="30"/>
      <c r="AB79" s="30"/>
      <c r="AC79" s="50"/>
      <c r="AD79" s="30"/>
      <c r="AE79" s="12">
        <f t="shared" si="5"/>
        <v>0</v>
      </c>
      <c r="AF79" s="70">
        <f t="shared" si="6"/>
        <v>0</v>
      </c>
      <c r="AG79" s="76"/>
      <c r="AH79" s="76"/>
      <c r="AI79" s="76"/>
      <c r="AJ79" s="76"/>
      <c r="AK79" s="76"/>
      <c r="AL79" s="30"/>
      <c r="AM79" s="79"/>
      <c r="AN79" s="79"/>
      <c r="AO79" s="79"/>
    </row>
    <row r="80" hidden="1">
      <c r="A80" s="12" t="s">
        <v>74</v>
      </c>
      <c r="B80" s="64"/>
      <c r="C80" s="12" t="s">
        <v>248</v>
      </c>
      <c r="D80" s="12" t="str">
        <f>vlookup(C80,'List of Chargers'!$A$2:$B$5,2,FALSE)</f>
        <v>Roam Hub</v>
      </c>
      <c r="E80" s="12" t="s">
        <v>73</v>
      </c>
      <c r="F80" s="12" t="s">
        <v>75</v>
      </c>
      <c r="G80" s="12">
        <v>78.0</v>
      </c>
      <c r="H80" s="13" t="str">
        <f t="shared" si="1"/>
        <v>#RH-KE-A-78</v>
      </c>
      <c r="I80" s="13" t="str">
        <f t="shared" si="2"/>
        <v>FO-NBI-00#RH-KE-A-78</v>
      </c>
      <c r="J80" s="25"/>
      <c r="K80" s="66"/>
      <c r="L80" s="31"/>
      <c r="M80" s="31"/>
      <c r="N80" s="26" t="str">
        <f t="shared" si="3"/>
        <v>Roam Hub - </v>
      </c>
      <c r="O80" s="26" t="str">
        <f t="shared" si="4"/>
        <v>FO-NBI-00#RH-KE-A-78: Roam Hub - </v>
      </c>
      <c r="R80" s="53"/>
      <c r="S80" s="78" t="b">
        <v>0</v>
      </c>
      <c r="T80" s="78" t="b">
        <v>0</v>
      </c>
      <c r="U80" s="78" t="b">
        <v>0</v>
      </c>
      <c r="V80" s="30" t="b">
        <v>0</v>
      </c>
      <c r="W80" s="30" t="b">
        <v>0</v>
      </c>
      <c r="X80" s="30"/>
      <c r="Y80" s="30"/>
      <c r="Z80" s="30"/>
      <c r="AA80" s="30"/>
      <c r="AB80" s="30"/>
      <c r="AC80" s="50"/>
      <c r="AD80" s="30"/>
      <c r="AE80" s="12">
        <f t="shared" si="5"/>
        <v>0</v>
      </c>
      <c r="AF80" s="70">
        <f t="shared" si="6"/>
        <v>0</v>
      </c>
      <c r="AG80" s="76"/>
      <c r="AH80" s="76"/>
      <c r="AI80" s="76"/>
      <c r="AJ80" s="76"/>
      <c r="AK80" s="76"/>
      <c r="AL80" s="30"/>
      <c r="AM80" s="79"/>
      <c r="AN80" s="79"/>
      <c r="AO80" s="79"/>
    </row>
    <row r="81" hidden="1">
      <c r="A81" s="12" t="s">
        <v>74</v>
      </c>
      <c r="B81" s="64"/>
      <c r="C81" s="12" t="s">
        <v>248</v>
      </c>
      <c r="D81" s="12" t="str">
        <f>vlookup(C81,'List of Chargers'!$A$2:$B$5,2,FALSE)</f>
        <v>Roam Hub</v>
      </c>
      <c r="E81" s="12" t="s">
        <v>73</v>
      </c>
      <c r="F81" s="12" t="s">
        <v>75</v>
      </c>
      <c r="G81" s="12">
        <v>79.0</v>
      </c>
      <c r="H81" s="13" t="str">
        <f t="shared" si="1"/>
        <v>#RH-KE-A-79</v>
      </c>
      <c r="I81" s="13" t="str">
        <f t="shared" si="2"/>
        <v>FO-NBI-00#RH-KE-A-79</v>
      </c>
      <c r="J81" s="25"/>
      <c r="K81" s="66"/>
      <c r="L81" s="31"/>
      <c r="M81" s="31"/>
      <c r="N81" s="26" t="str">
        <f t="shared" si="3"/>
        <v>Roam Hub - </v>
      </c>
      <c r="O81" s="26" t="str">
        <f t="shared" si="4"/>
        <v>FO-NBI-00#RH-KE-A-79: Roam Hub - </v>
      </c>
      <c r="R81" s="53"/>
      <c r="S81" s="78" t="b">
        <v>0</v>
      </c>
      <c r="T81" s="78" t="b">
        <v>0</v>
      </c>
      <c r="U81" s="78" t="b">
        <v>0</v>
      </c>
      <c r="V81" s="30" t="b">
        <v>0</v>
      </c>
      <c r="W81" s="30" t="b">
        <v>0</v>
      </c>
      <c r="X81" s="30"/>
      <c r="Y81" s="30"/>
      <c r="Z81" s="30"/>
      <c r="AA81" s="30"/>
      <c r="AB81" s="30"/>
      <c r="AC81" s="50"/>
      <c r="AD81" s="30"/>
      <c r="AE81" s="12">
        <f t="shared" si="5"/>
        <v>0</v>
      </c>
      <c r="AF81" s="70">
        <f t="shared" si="6"/>
        <v>0</v>
      </c>
      <c r="AG81" s="76"/>
      <c r="AH81" s="76"/>
      <c r="AI81" s="76"/>
      <c r="AJ81" s="76"/>
      <c r="AK81" s="76"/>
      <c r="AL81" s="30"/>
      <c r="AM81" s="79"/>
      <c r="AN81" s="79"/>
      <c r="AO81" s="79"/>
    </row>
    <row r="82" hidden="1">
      <c r="A82" s="12" t="s">
        <v>74</v>
      </c>
      <c r="B82" s="64"/>
      <c r="C82" s="12" t="s">
        <v>248</v>
      </c>
      <c r="D82" s="12" t="str">
        <f>vlookup(C82,'List of Chargers'!$A$2:$B$5,2,FALSE)</f>
        <v>Roam Hub</v>
      </c>
      <c r="E82" s="12" t="s">
        <v>73</v>
      </c>
      <c r="F82" s="12" t="s">
        <v>75</v>
      </c>
      <c r="G82" s="12">
        <v>80.0</v>
      </c>
      <c r="H82" s="13" t="str">
        <f t="shared" si="1"/>
        <v>#RH-KE-A-80</v>
      </c>
      <c r="I82" s="13" t="str">
        <f t="shared" si="2"/>
        <v>FO-NBI-00#RH-KE-A-80</v>
      </c>
      <c r="J82" s="25"/>
      <c r="K82" s="66"/>
      <c r="L82" s="31"/>
      <c r="M82" s="31"/>
      <c r="N82" s="26" t="str">
        <f t="shared" si="3"/>
        <v>Roam Hub - </v>
      </c>
      <c r="O82" s="26" t="str">
        <f t="shared" si="4"/>
        <v>FO-NBI-00#RH-KE-A-80: Roam Hub - </v>
      </c>
      <c r="R82" s="53"/>
      <c r="S82" s="78" t="b">
        <v>0</v>
      </c>
      <c r="T82" s="78" t="b">
        <v>0</v>
      </c>
      <c r="U82" s="78" t="b">
        <v>0</v>
      </c>
      <c r="V82" s="30" t="b">
        <v>0</v>
      </c>
      <c r="W82" s="30" t="b">
        <v>0</v>
      </c>
      <c r="X82" s="30"/>
      <c r="Y82" s="30"/>
      <c r="Z82" s="30"/>
      <c r="AA82" s="30"/>
      <c r="AB82" s="30"/>
      <c r="AC82" s="50"/>
      <c r="AD82" s="30"/>
      <c r="AE82" s="12">
        <f t="shared" si="5"/>
        <v>0</v>
      </c>
      <c r="AF82" s="70">
        <f t="shared" si="6"/>
        <v>0</v>
      </c>
      <c r="AG82" s="76"/>
      <c r="AH82" s="76"/>
      <c r="AI82" s="76"/>
      <c r="AJ82" s="76"/>
      <c r="AK82" s="76"/>
      <c r="AL82" s="30"/>
      <c r="AM82" s="79"/>
      <c r="AN82" s="79"/>
      <c r="AO82" s="79"/>
    </row>
    <row r="83" hidden="1">
      <c r="A83" s="12" t="s">
        <v>74</v>
      </c>
      <c r="B83" s="64"/>
      <c r="C83" s="12" t="s">
        <v>248</v>
      </c>
      <c r="D83" s="12" t="str">
        <f>vlookup(C83,'List of Chargers'!$A$2:$B$5,2,FALSE)</f>
        <v>Roam Hub</v>
      </c>
      <c r="E83" s="12" t="s">
        <v>73</v>
      </c>
      <c r="F83" s="12" t="s">
        <v>75</v>
      </c>
      <c r="G83" s="12">
        <v>81.0</v>
      </c>
      <c r="H83" s="13" t="str">
        <f t="shared" si="1"/>
        <v>#RH-KE-A-81</v>
      </c>
      <c r="I83" s="13" t="str">
        <f t="shared" si="2"/>
        <v>FO-NBI-00#RH-KE-A-81</v>
      </c>
      <c r="J83" s="25"/>
      <c r="K83" s="66"/>
      <c r="L83" s="31"/>
      <c r="M83" s="31"/>
      <c r="N83" s="26" t="str">
        <f t="shared" si="3"/>
        <v>Roam Hub - </v>
      </c>
      <c r="O83" s="26" t="str">
        <f t="shared" si="4"/>
        <v>FO-NBI-00#RH-KE-A-81: Roam Hub - </v>
      </c>
      <c r="R83" s="53"/>
      <c r="S83" s="78" t="b">
        <v>0</v>
      </c>
      <c r="T83" s="78" t="b">
        <v>0</v>
      </c>
      <c r="U83" s="78" t="b">
        <v>0</v>
      </c>
      <c r="V83" s="30" t="b">
        <v>0</v>
      </c>
      <c r="W83" s="30" t="b">
        <v>0</v>
      </c>
      <c r="X83" s="30"/>
      <c r="Y83" s="30"/>
      <c r="Z83" s="30"/>
      <c r="AA83" s="30"/>
      <c r="AB83" s="30"/>
      <c r="AC83" s="50"/>
      <c r="AD83" s="30"/>
      <c r="AE83" s="12">
        <f t="shared" si="5"/>
        <v>0</v>
      </c>
      <c r="AF83" s="70">
        <f t="shared" si="6"/>
        <v>0</v>
      </c>
      <c r="AG83" s="76"/>
      <c r="AH83" s="76"/>
      <c r="AI83" s="76"/>
      <c r="AJ83" s="76"/>
      <c r="AK83" s="76"/>
      <c r="AL83" s="30"/>
      <c r="AM83" s="79"/>
      <c r="AN83" s="79"/>
      <c r="AO83" s="79"/>
    </row>
    <row r="84" hidden="1">
      <c r="A84" s="12" t="s">
        <v>74</v>
      </c>
      <c r="B84" s="64"/>
      <c r="C84" s="12" t="s">
        <v>248</v>
      </c>
      <c r="D84" s="12" t="str">
        <f>vlookup(C84,'List of Chargers'!$A$2:$B$5,2,FALSE)</f>
        <v>Roam Hub</v>
      </c>
      <c r="E84" s="12" t="s">
        <v>73</v>
      </c>
      <c r="F84" s="12" t="s">
        <v>75</v>
      </c>
      <c r="G84" s="12">
        <v>82.0</v>
      </c>
      <c r="H84" s="13" t="str">
        <f t="shared" si="1"/>
        <v>#RH-KE-A-82</v>
      </c>
      <c r="I84" s="13" t="str">
        <f t="shared" si="2"/>
        <v>FO-NBI-00#RH-KE-A-82</v>
      </c>
      <c r="J84" s="25"/>
      <c r="K84" s="66"/>
      <c r="L84" s="31"/>
      <c r="M84" s="31"/>
      <c r="N84" s="26" t="str">
        <f t="shared" si="3"/>
        <v>Roam Hub - </v>
      </c>
      <c r="O84" s="26" t="str">
        <f t="shared" si="4"/>
        <v>FO-NBI-00#RH-KE-A-82: Roam Hub - </v>
      </c>
      <c r="R84" s="53"/>
      <c r="S84" s="78" t="b">
        <v>0</v>
      </c>
      <c r="T84" s="78" t="b">
        <v>0</v>
      </c>
      <c r="U84" s="78" t="b">
        <v>0</v>
      </c>
      <c r="V84" s="30" t="b">
        <v>0</v>
      </c>
      <c r="W84" s="30" t="b">
        <v>0</v>
      </c>
      <c r="X84" s="30"/>
      <c r="Y84" s="30"/>
      <c r="Z84" s="30"/>
      <c r="AA84" s="30"/>
      <c r="AB84" s="30"/>
      <c r="AC84" s="50"/>
      <c r="AD84" s="30"/>
      <c r="AE84" s="12">
        <f t="shared" si="5"/>
        <v>0</v>
      </c>
      <c r="AF84" s="70">
        <f t="shared" si="6"/>
        <v>0</v>
      </c>
      <c r="AG84" s="76"/>
      <c r="AH84" s="76"/>
      <c r="AI84" s="76"/>
      <c r="AJ84" s="76"/>
      <c r="AK84" s="76"/>
      <c r="AL84" s="30"/>
      <c r="AM84" s="79"/>
      <c r="AN84" s="79"/>
      <c r="AO84" s="79"/>
    </row>
    <row r="85" hidden="1">
      <c r="A85" s="12" t="s">
        <v>74</v>
      </c>
      <c r="B85" s="64"/>
      <c r="C85" s="12" t="s">
        <v>248</v>
      </c>
      <c r="D85" s="12" t="str">
        <f>vlookup(C85,'List of Chargers'!$A$2:$B$5,2,FALSE)</f>
        <v>Roam Hub</v>
      </c>
      <c r="E85" s="12" t="s">
        <v>73</v>
      </c>
      <c r="F85" s="12" t="s">
        <v>75</v>
      </c>
      <c r="G85" s="12">
        <v>83.0</v>
      </c>
      <c r="H85" s="13" t="str">
        <f t="shared" si="1"/>
        <v>#RH-KE-A-83</v>
      </c>
      <c r="I85" s="13" t="str">
        <f t="shared" si="2"/>
        <v>FO-NBI-00#RH-KE-A-83</v>
      </c>
      <c r="J85" s="25"/>
      <c r="K85" s="66"/>
      <c r="L85" s="31"/>
      <c r="M85" s="31"/>
      <c r="N85" s="26" t="str">
        <f t="shared" si="3"/>
        <v>Roam Hub - </v>
      </c>
      <c r="O85" s="26" t="str">
        <f t="shared" si="4"/>
        <v>FO-NBI-00#RH-KE-A-83: Roam Hub - </v>
      </c>
      <c r="R85" s="53"/>
      <c r="S85" s="78" t="b">
        <v>0</v>
      </c>
      <c r="T85" s="78" t="b">
        <v>0</v>
      </c>
      <c r="U85" s="78" t="b">
        <v>0</v>
      </c>
      <c r="V85" s="30" t="b">
        <v>0</v>
      </c>
      <c r="W85" s="30" t="b">
        <v>0</v>
      </c>
      <c r="X85" s="30"/>
      <c r="Y85" s="30"/>
      <c r="Z85" s="30"/>
      <c r="AA85" s="30"/>
      <c r="AB85" s="30"/>
      <c r="AC85" s="50"/>
      <c r="AD85" s="30"/>
      <c r="AE85" s="12">
        <f t="shared" si="5"/>
        <v>0</v>
      </c>
      <c r="AF85" s="70">
        <f t="shared" si="6"/>
        <v>0</v>
      </c>
      <c r="AG85" s="76"/>
      <c r="AH85" s="76"/>
      <c r="AI85" s="76"/>
      <c r="AJ85" s="76"/>
      <c r="AK85" s="76"/>
      <c r="AL85" s="30"/>
      <c r="AM85" s="79"/>
      <c r="AN85" s="79"/>
      <c r="AO85" s="79"/>
    </row>
    <row r="86" hidden="1">
      <c r="A86" s="12" t="s">
        <v>74</v>
      </c>
      <c r="B86" s="64"/>
      <c r="C86" s="12" t="s">
        <v>248</v>
      </c>
      <c r="D86" s="12" t="str">
        <f>vlookup(C86,'List of Chargers'!$A$2:$B$5,2,FALSE)</f>
        <v>Roam Hub</v>
      </c>
      <c r="E86" s="12" t="s">
        <v>73</v>
      </c>
      <c r="F86" s="12" t="s">
        <v>75</v>
      </c>
      <c r="G86" s="12">
        <v>84.0</v>
      </c>
      <c r="H86" s="13" t="str">
        <f t="shared" si="1"/>
        <v>#RH-KE-A-84</v>
      </c>
      <c r="I86" s="13" t="str">
        <f t="shared" si="2"/>
        <v>FO-NBI-00#RH-KE-A-84</v>
      </c>
      <c r="J86" s="25"/>
      <c r="K86" s="66"/>
      <c r="L86" s="31"/>
      <c r="M86" s="31"/>
      <c r="N86" s="26" t="str">
        <f t="shared" si="3"/>
        <v>Roam Hub - </v>
      </c>
      <c r="O86" s="26" t="str">
        <f t="shared" si="4"/>
        <v>FO-NBI-00#RH-KE-A-84: Roam Hub - </v>
      </c>
      <c r="R86" s="53"/>
      <c r="S86" s="78" t="b">
        <v>0</v>
      </c>
      <c r="T86" s="78" t="b">
        <v>0</v>
      </c>
      <c r="U86" s="78" t="b">
        <v>0</v>
      </c>
      <c r="V86" s="30" t="b">
        <v>0</v>
      </c>
      <c r="W86" s="30" t="b">
        <v>0</v>
      </c>
      <c r="X86" s="30"/>
      <c r="Y86" s="30"/>
      <c r="Z86" s="30"/>
      <c r="AA86" s="30"/>
      <c r="AB86" s="30"/>
      <c r="AC86" s="50"/>
      <c r="AD86" s="30"/>
      <c r="AE86" s="12">
        <f t="shared" si="5"/>
        <v>0</v>
      </c>
      <c r="AF86" s="70">
        <f t="shared" si="6"/>
        <v>0</v>
      </c>
      <c r="AG86" s="76"/>
      <c r="AH86" s="76"/>
      <c r="AI86" s="76"/>
      <c r="AJ86" s="76"/>
      <c r="AK86" s="76"/>
      <c r="AL86" s="30"/>
      <c r="AM86" s="79"/>
      <c r="AN86" s="79"/>
      <c r="AO86" s="79"/>
    </row>
    <row r="87" hidden="1">
      <c r="A87" s="12" t="s">
        <v>74</v>
      </c>
      <c r="B87" s="64"/>
      <c r="C87" s="12" t="s">
        <v>248</v>
      </c>
      <c r="D87" s="12" t="str">
        <f>vlookup(C87,'List of Chargers'!$A$2:$B$5,2,FALSE)</f>
        <v>Roam Hub</v>
      </c>
      <c r="E87" s="12" t="s">
        <v>73</v>
      </c>
      <c r="F87" s="12" t="s">
        <v>75</v>
      </c>
      <c r="G87" s="12">
        <v>85.0</v>
      </c>
      <c r="H87" s="13" t="str">
        <f t="shared" si="1"/>
        <v>#RH-KE-A-85</v>
      </c>
      <c r="I87" s="13" t="str">
        <f t="shared" si="2"/>
        <v>FO-NBI-00#RH-KE-A-85</v>
      </c>
      <c r="J87" s="25"/>
      <c r="K87" s="66"/>
      <c r="L87" s="31"/>
      <c r="M87" s="31"/>
      <c r="N87" s="26" t="str">
        <f t="shared" si="3"/>
        <v>Roam Hub - </v>
      </c>
      <c r="O87" s="26" t="str">
        <f t="shared" si="4"/>
        <v>FO-NBI-00#RH-KE-A-85: Roam Hub - </v>
      </c>
      <c r="R87" s="53"/>
      <c r="S87" s="78" t="b">
        <v>0</v>
      </c>
      <c r="T87" s="78" t="b">
        <v>0</v>
      </c>
      <c r="U87" s="78" t="b">
        <v>0</v>
      </c>
      <c r="V87" s="30" t="b">
        <v>0</v>
      </c>
      <c r="W87" s="30" t="b">
        <v>0</v>
      </c>
      <c r="X87" s="30"/>
      <c r="Y87" s="30"/>
      <c r="Z87" s="30"/>
      <c r="AA87" s="30"/>
      <c r="AB87" s="30"/>
      <c r="AC87" s="50"/>
      <c r="AD87" s="30"/>
      <c r="AE87" s="12">
        <f t="shared" si="5"/>
        <v>0</v>
      </c>
      <c r="AF87" s="70">
        <f t="shared" si="6"/>
        <v>0</v>
      </c>
      <c r="AG87" s="76"/>
      <c r="AH87" s="76"/>
      <c r="AI87" s="76"/>
      <c r="AJ87" s="76"/>
      <c r="AK87" s="76"/>
      <c r="AL87" s="30"/>
      <c r="AM87" s="79"/>
      <c r="AN87" s="79"/>
      <c r="AO87" s="79"/>
    </row>
    <row r="88" hidden="1">
      <c r="A88" s="12" t="s">
        <v>74</v>
      </c>
      <c r="B88" s="64"/>
      <c r="C88" s="12" t="s">
        <v>248</v>
      </c>
      <c r="D88" s="12" t="str">
        <f>vlookup(C88,'List of Chargers'!$A$2:$B$5,2,FALSE)</f>
        <v>Roam Hub</v>
      </c>
      <c r="E88" s="12" t="s">
        <v>73</v>
      </c>
      <c r="F88" s="12" t="s">
        <v>75</v>
      </c>
      <c r="G88" s="12">
        <v>86.0</v>
      </c>
      <c r="H88" s="13" t="str">
        <f t="shared" si="1"/>
        <v>#RH-KE-A-86</v>
      </c>
      <c r="I88" s="13" t="str">
        <f t="shared" si="2"/>
        <v>FO-NBI-00#RH-KE-A-86</v>
      </c>
      <c r="J88" s="25"/>
      <c r="K88" s="66"/>
      <c r="L88" s="31"/>
      <c r="M88" s="31"/>
      <c r="N88" s="26" t="str">
        <f t="shared" si="3"/>
        <v>Roam Hub - </v>
      </c>
      <c r="O88" s="26" t="str">
        <f t="shared" si="4"/>
        <v>FO-NBI-00#RH-KE-A-86: Roam Hub - </v>
      </c>
      <c r="R88" s="53"/>
      <c r="S88" s="78" t="b">
        <v>0</v>
      </c>
      <c r="T88" s="78" t="b">
        <v>0</v>
      </c>
      <c r="U88" s="78" t="b">
        <v>0</v>
      </c>
      <c r="V88" s="30" t="b">
        <v>0</v>
      </c>
      <c r="W88" s="30" t="b">
        <v>0</v>
      </c>
      <c r="X88" s="30"/>
      <c r="Y88" s="30"/>
      <c r="Z88" s="30"/>
      <c r="AA88" s="30"/>
      <c r="AB88" s="30"/>
      <c r="AC88" s="50"/>
      <c r="AD88" s="30"/>
      <c r="AE88" s="12">
        <f t="shared" si="5"/>
        <v>0</v>
      </c>
      <c r="AF88" s="70">
        <f t="shared" si="6"/>
        <v>0</v>
      </c>
      <c r="AG88" s="76"/>
      <c r="AH88" s="76"/>
      <c r="AI88" s="76"/>
      <c r="AJ88" s="76"/>
      <c r="AK88" s="76"/>
      <c r="AL88" s="30"/>
      <c r="AM88" s="79"/>
      <c r="AN88" s="79"/>
      <c r="AO88" s="79"/>
    </row>
    <row r="89" hidden="1">
      <c r="A89" s="12" t="s">
        <v>74</v>
      </c>
      <c r="B89" s="64"/>
      <c r="C89" s="12" t="s">
        <v>248</v>
      </c>
      <c r="D89" s="12" t="str">
        <f>vlookup(C89,'List of Chargers'!$A$2:$B$5,2,FALSE)</f>
        <v>Roam Hub</v>
      </c>
      <c r="E89" s="12" t="s">
        <v>73</v>
      </c>
      <c r="F89" s="12" t="s">
        <v>75</v>
      </c>
      <c r="G89" s="12">
        <v>87.0</v>
      </c>
      <c r="H89" s="13" t="str">
        <f t="shared" si="1"/>
        <v>#RH-KE-A-87</v>
      </c>
      <c r="I89" s="13" t="str">
        <f t="shared" si="2"/>
        <v>FO-NBI-00#RH-KE-A-87</v>
      </c>
      <c r="J89" s="25"/>
      <c r="K89" s="66"/>
      <c r="L89" s="31"/>
      <c r="M89" s="31"/>
      <c r="N89" s="26" t="str">
        <f t="shared" si="3"/>
        <v>Roam Hub - </v>
      </c>
      <c r="O89" s="26" t="str">
        <f t="shared" si="4"/>
        <v>FO-NBI-00#RH-KE-A-87: Roam Hub - </v>
      </c>
      <c r="R89" s="53"/>
      <c r="S89" s="78" t="b">
        <v>0</v>
      </c>
      <c r="T89" s="78" t="b">
        <v>0</v>
      </c>
      <c r="U89" s="78" t="b">
        <v>0</v>
      </c>
      <c r="V89" s="30" t="b">
        <v>0</v>
      </c>
      <c r="W89" s="30" t="b">
        <v>0</v>
      </c>
      <c r="X89" s="30"/>
      <c r="Y89" s="30"/>
      <c r="Z89" s="30"/>
      <c r="AA89" s="30"/>
      <c r="AB89" s="30"/>
      <c r="AC89" s="50"/>
      <c r="AD89" s="30"/>
      <c r="AE89" s="12">
        <f t="shared" si="5"/>
        <v>0</v>
      </c>
      <c r="AF89" s="70">
        <f t="shared" si="6"/>
        <v>0</v>
      </c>
      <c r="AG89" s="76"/>
      <c r="AH89" s="76"/>
      <c r="AI89" s="76"/>
      <c r="AJ89" s="76"/>
      <c r="AK89" s="76"/>
      <c r="AL89" s="30"/>
      <c r="AM89" s="79"/>
      <c r="AN89" s="79"/>
      <c r="AO89" s="79"/>
    </row>
    <row r="90" hidden="1">
      <c r="A90" s="12" t="s">
        <v>74</v>
      </c>
      <c r="B90" s="64"/>
      <c r="C90" s="12" t="s">
        <v>248</v>
      </c>
      <c r="D90" s="12" t="str">
        <f>vlookup(C90,'List of Chargers'!$A$2:$B$5,2,FALSE)</f>
        <v>Roam Hub</v>
      </c>
      <c r="E90" s="12" t="s">
        <v>73</v>
      </c>
      <c r="F90" s="12" t="s">
        <v>75</v>
      </c>
      <c r="G90" s="12">
        <v>88.0</v>
      </c>
      <c r="H90" s="13" t="str">
        <f t="shared" si="1"/>
        <v>#RH-KE-A-88</v>
      </c>
      <c r="I90" s="13" t="str">
        <f t="shared" si="2"/>
        <v>FO-NBI-00#RH-KE-A-88</v>
      </c>
      <c r="J90" s="25"/>
      <c r="K90" s="66"/>
      <c r="L90" s="31"/>
      <c r="M90" s="31"/>
      <c r="N90" s="26" t="str">
        <f t="shared" si="3"/>
        <v>Roam Hub - </v>
      </c>
      <c r="O90" s="26" t="str">
        <f t="shared" si="4"/>
        <v>FO-NBI-00#RH-KE-A-88: Roam Hub - </v>
      </c>
      <c r="R90" s="53"/>
      <c r="S90" s="78" t="b">
        <v>0</v>
      </c>
      <c r="T90" s="78" t="b">
        <v>0</v>
      </c>
      <c r="U90" s="78" t="b">
        <v>0</v>
      </c>
      <c r="V90" s="30" t="b">
        <v>0</v>
      </c>
      <c r="W90" s="30" t="b">
        <v>0</v>
      </c>
      <c r="X90" s="30"/>
      <c r="Y90" s="30"/>
      <c r="Z90" s="30"/>
      <c r="AA90" s="30"/>
      <c r="AB90" s="30"/>
      <c r="AC90" s="50"/>
      <c r="AD90" s="30"/>
      <c r="AE90" s="12">
        <f t="shared" si="5"/>
        <v>0</v>
      </c>
      <c r="AF90" s="70">
        <f t="shared" si="6"/>
        <v>0</v>
      </c>
      <c r="AG90" s="76"/>
      <c r="AH90" s="76"/>
      <c r="AI90" s="76"/>
      <c r="AJ90" s="76"/>
      <c r="AK90" s="76"/>
      <c r="AL90" s="30"/>
      <c r="AM90" s="79"/>
      <c r="AN90" s="79"/>
      <c r="AO90" s="79"/>
    </row>
    <row r="91" hidden="1">
      <c r="A91" s="12" t="s">
        <v>74</v>
      </c>
      <c r="B91" s="64"/>
      <c r="C91" s="12" t="s">
        <v>248</v>
      </c>
      <c r="D91" s="12" t="str">
        <f>vlookup(C91,'List of Chargers'!$A$2:$B$5,2,FALSE)</f>
        <v>Roam Hub</v>
      </c>
      <c r="E91" s="12" t="s">
        <v>73</v>
      </c>
      <c r="F91" s="12" t="s">
        <v>75</v>
      </c>
      <c r="G91" s="12">
        <v>89.0</v>
      </c>
      <c r="H91" s="13" t="str">
        <f t="shared" si="1"/>
        <v>#RH-KE-A-89</v>
      </c>
      <c r="I91" s="13" t="str">
        <f t="shared" si="2"/>
        <v>FO-NBI-00#RH-KE-A-89</v>
      </c>
      <c r="J91" s="25"/>
      <c r="K91" s="66"/>
      <c r="L91" s="31"/>
      <c r="M91" s="31"/>
      <c r="N91" s="26" t="str">
        <f t="shared" si="3"/>
        <v>Roam Hub - </v>
      </c>
      <c r="O91" s="26" t="str">
        <f t="shared" si="4"/>
        <v>FO-NBI-00#RH-KE-A-89: Roam Hub - </v>
      </c>
      <c r="R91" s="53"/>
      <c r="S91" s="78" t="b">
        <v>0</v>
      </c>
      <c r="T91" s="78" t="b">
        <v>0</v>
      </c>
      <c r="U91" s="78" t="b">
        <v>0</v>
      </c>
      <c r="V91" s="30" t="b">
        <v>0</v>
      </c>
      <c r="W91" s="30" t="b">
        <v>0</v>
      </c>
      <c r="X91" s="30"/>
      <c r="Y91" s="30"/>
      <c r="Z91" s="30"/>
      <c r="AA91" s="30"/>
      <c r="AB91" s="30"/>
      <c r="AC91" s="50"/>
      <c r="AD91" s="30"/>
      <c r="AE91" s="12">
        <f t="shared" si="5"/>
        <v>0</v>
      </c>
      <c r="AF91" s="70">
        <f t="shared" si="6"/>
        <v>0</v>
      </c>
      <c r="AG91" s="76"/>
      <c r="AH91" s="76"/>
      <c r="AI91" s="76"/>
      <c r="AJ91" s="76"/>
      <c r="AK91" s="76"/>
      <c r="AL91" s="30"/>
      <c r="AM91" s="79"/>
      <c r="AN91" s="79"/>
      <c r="AO91" s="79"/>
    </row>
    <row r="92" hidden="1">
      <c r="A92" s="12" t="s">
        <v>74</v>
      </c>
      <c r="B92" s="64"/>
      <c r="C92" s="12" t="s">
        <v>248</v>
      </c>
      <c r="D92" s="12" t="str">
        <f>vlookup(C92,'List of Chargers'!$A$2:$B$5,2,FALSE)</f>
        <v>Roam Hub</v>
      </c>
      <c r="E92" s="12" t="s">
        <v>73</v>
      </c>
      <c r="F92" s="12" t="s">
        <v>75</v>
      </c>
      <c r="G92" s="12">
        <v>90.0</v>
      </c>
      <c r="H92" s="13" t="str">
        <f t="shared" si="1"/>
        <v>#RH-KE-A-90</v>
      </c>
      <c r="I92" s="13" t="str">
        <f t="shared" si="2"/>
        <v>FO-NBI-00#RH-KE-A-90</v>
      </c>
      <c r="J92" s="25"/>
      <c r="K92" s="66"/>
      <c r="L92" s="31"/>
      <c r="M92" s="31"/>
      <c r="N92" s="26" t="str">
        <f t="shared" si="3"/>
        <v>Roam Hub - </v>
      </c>
      <c r="O92" s="26" t="str">
        <f t="shared" si="4"/>
        <v>FO-NBI-00#RH-KE-A-90: Roam Hub - </v>
      </c>
      <c r="R92" s="53"/>
      <c r="S92" s="78" t="b">
        <v>0</v>
      </c>
      <c r="T92" s="78" t="b">
        <v>0</v>
      </c>
      <c r="U92" s="78" t="b">
        <v>0</v>
      </c>
      <c r="V92" s="30" t="b">
        <v>0</v>
      </c>
      <c r="W92" s="30" t="b">
        <v>0</v>
      </c>
      <c r="X92" s="30"/>
      <c r="Y92" s="30"/>
      <c r="Z92" s="30"/>
      <c r="AA92" s="30"/>
      <c r="AB92" s="30"/>
      <c r="AC92" s="50"/>
      <c r="AD92" s="30"/>
      <c r="AE92" s="12">
        <f t="shared" si="5"/>
        <v>0</v>
      </c>
      <c r="AF92" s="70">
        <f t="shared" si="6"/>
        <v>0</v>
      </c>
      <c r="AG92" s="76"/>
      <c r="AH92" s="76"/>
      <c r="AI92" s="76"/>
      <c r="AJ92" s="76"/>
      <c r="AK92" s="76"/>
      <c r="AL92" s="30"/>
      <c r="AM92" s="79"/>
      <c r="AN92" s="79"/>
      <c r="AO92" s="79"/>
    </row>
    <row r="93" hidden="1">
      <c r="A93" s="12" t="s">
        <v>74</v>
      </c>
      <c r="B93" s="64"/>
      <c r="C93" s="12" t="s">
        <v>248</v>
      </c>
      <c r="D93" s="12" t="str">
        <f>vlookup(C93,'List of Chargers'!$A$2:$B$5,2,FALSE)</f>
        <v>Roam Hub</v>
      </c>
      <c r="E93" s="12" t="s">
        <v>73</v>
      </c>
      <c r="F93" s="12" t="s">
        <v>75</v>
      </c>
      <c r="G93" s="12">
        <v>91.0</v>
      </c>
      <c r="H93" s="13" t="str">
        <f t="shared" si="1"/>
        <v>#RH-KE-A-91</v>
      </c>
      <c r="I93" s="13" t="str">
        <f t="shared" si="2"/>
        <v>FO-NBI-00#RH-KE-A-91</v>
      </c>
      <c r="J93" s="25"/>
      <c r="K93" s="66"/>
      <c r="L93" s="31"/>
      <c r="M93" s="31"/>
      <c r="N93" s="26" t="str">
        <f t="shared" si="3"/>
        <v>Roam Hub - </v>
      </c>
      <c r="O93" s="26" t="str">
        <f t="shared" si="4"/>
        <v>FO-NBI-00#RH-KE-A-91: Roam Hub - </v>
      </c>
      <c r="R93" s="53"/>
      <c r="S93" s="78" t="b">
        <v>0</v>
      </c>
      <c r="T93" s="78" t="b">
        <v>0</v>
      </c>
      <c r="U93" s="78" t="b">
        <v>0</v>
      </c>
      <c r="V93" s="30" t="b">
        <v>0</v>
      </c>
      <c r="W93" s="30" t="b">
        <v>0</v>
      </c>
      <c r="X93" s="30"/>
      <c r="Y93" s="30"/>
      <c r="Z93" s="30"/>
      <c r="AA93" s="30"/>
      <c r="AB93" s="30"/>
      <c r="AC93" s="50"/>
      <c r="AD93" s="30"/>
      <c r="AE93" s="12">
        <f t="shared" si="5"/>
        <v>0</v>
      </c>
      <c r="AF93" s="70">
        <f t="shared" si="6"/>
        <v>0</v>
      </c>
      <c r="AG93" s="76"/>
      <c r="AH93" s="76"/>
      <c r="AI93" s="76"/>
      <c r="AJ93" s="76"/>
      <c r="AK93" s="76"/>
      <c r="AL93" s="30"/>
      <c r="AM93" s="79"/>
      <c r="AN93" s="79"/>
      <c r="AO93" s="79"/>
    </row>
    <row r="94" hidden="1">
      <c r="A94" s="12" t="s">
        <v>74</v>
      </c>
      <c r="B94" s="64"/>
      <c r="C94" s="12" t="s">
        <v>248</v>
      </c>
      <c r="D94" s="12" t="str">
        <f>vlookup(C94,'List of Chargers'!$A$2:$B$5,2,FALSE)</f>
        <v>Roam Hub</v>
      </c>
      <c r="E94" s="12" t="s">
        <v>73</v>
      </c>
      <c r="F94" s="12" t="s">
        <v>75</v>
      </c>
      <c r="G94" s="12">
        <v>92.0</v>
      </c>
      <c r="H94" s="13" t="str">
        <f t="shared" si="1"/>
        <v>#RH-KE-A-92</v>
      </c>
      <c r="I94" s="13" t="str">
        <f t="shared" si="2"/>
        <v>FO-NBI-00#RH-KE-A-92</v>
      </c>
      <c r="J94" s="25"/>
      <c r="K94" s="66"/>
      <c r="L94" s="31"/>
      <c r="M94" s="31"/>
      <c r="N94" s="26" t="str">
        <f t="shared" si="3"/>
        <v>Roam Hub - </v>
      </c>
      <c r="O94" s="26" t="str">
        <f t="shared" si="4"/>
        <v>FO-NBI-00#RH-KE-A-92: Roam Hub - </v>
      </c>
      <c r="R94" s="53"/>
      <c r="S94" s="78" t="b">
        <v>0</v>
      </c>
      <c r="T94" s="78" t="b">
        <v>0</v>
      </c>
      <c r="U94" s="78" t="b">
        <v>0</v>
      </c>
      <c r="V94" s="30" t="b">
        <v>0</v>
      </c>
      <c r="W94" s="30" t="b">
        <v>0</v>
      </c>
      <c r="X94" s="30"/>
      <c r="Y94" s="30"/>
      <c r="Z94" s="30"/>
      <c r="AA94" s="30"/>
      <c r="AB94" s="30"/>
      <c r="AC94" s="50"/>
      <c r="AD94" s="30"/>
      <c r="AE94" s="12">
        <f t="shared" si="5"/>
        <v>0</v>
      </c>
      <c r="AF94" s="70">
        <f t="shared" si="6"/>
        <v>0</v>
      </c>
      <c r="AG94" s="76"/>
      <c r="AH94" s="76"/>
      <c r="AI94" s="76"/>
      <c r="AJ94" s="76"/>
      <c r="AK94" s="76"/>
      <c r="AL94" s="30"/>
      <c r="AM94" s="79"/>
      <c r="AN94" s="79"/>
      <c r="AO94" s="79"/>
    </row>
    <row r="95" hidden="1">
      <c r="A95" s="12" t="s">
        <v>74</v>
      </c>
      <c r="B95" s="64"/>
      <c r="C95" s="12" t="s">
        <v>248</v>
      </c>
      <c r="D95" s="12" t="str">
        <f>vlookup(C95,'List of Chargers'!$A$2:$B$5,2,FALSE)</f>
        <v>Roam Hub</v>
      </c>
      <c r="E95" s="12" t="s">
        <v>73</v>
      </c>
      <c r="F95" s="12" t="s">
        <v>75</v>
      </c>
      <c r="G95" s="12">
        <v>93.0</v>
      </c>
      <c r="H95" s="13" t="str">
        <f t="shared" si="1"/>
        <v>#RH-KE-A-93</v>
      </c>
      <c r="I95" s="13" t="str">
        <f t="shared" si="2"/>
        <v>FO-NBI-00#RH-KE-A-93</v>
      </c>
      <c r="J95" s="25"/>
      <c r="K95" s="66"/>
      <c r="L95" s="31"/>
      <c r="M95" s="31"/>
      <c r="N95" s="26" t="str">
        <f t="shared" si="3"/>
        <v>Roam Hub - </v>
      </c>
      <c r="O95" s="26" t="str">
        <f t="shared" si="4"/>
        <v>FO-NBI-00#RH-KE-A-93: Roam Hub - </v>
      </c>
      <c r="R95" s="53"/>
      <c r="S95" s="78" t="b">
        <v>0</v>
      </c>
      <c r="T95" s="78" t="b">
        <v>0</v>
      </c>
      <c r="U95" s="78" t="b">
        <v>0</v>
      </c>
      <c r="V95" s="30" t="b">
        <v>0</v>
      </c>
      <c r="W95" s="30" t="b">
        <v>0</v>
      </c>
      <c r="X95" s="30"/>
      <c r="Y95" s="30"/>
      <c r="Z95" s="30"/>
      <c r="AA95" s="30"/>
      <c r="AB95" s="30"/>
      <c r="AC95" s="50"/>
      <c r="AD95" s="30"/>
      <c r="AE95" s="12">
        <f t="shared" si="5"/>
        <v>0</v>
      </c>
      <c r="AF95" s="70">
        <f t="shared" si="6"/>
        <v>0</v>
      </c>
      <c r="AG95" s="76"/>
      <c r="AH95" s="76"/>
      <c r="AI95" s="76"/>
      <c r="AJ95" s="76"/>
      <c r="AK95" s="76"/>
      <c r="AL95" s="30"/>
      <c r="AM95" s="79"/>
      <c r="AN95" s="79"/>
      <c r="AO95" s="79"/>
    </row>
    <row r="96" hidden="1">
      <c r="A96" s="12" t="s">
        <v>74</v>
      </c>
      <c r="B96" s="64"/>
      <c r="C96" s="12" t="s">
        <v>248</v>
      </c>
      <c r="D96" s="12" t="str">
        <f>vlookup(C96,'List of Chargers'!$A$2:$B$5,2,FALSE)</f>
        <v>Roam Hub</v>
      </c>
      <c r="E96" s="12" t="s">
        <v>73</v>
      </c>
      <c r="F96" s="12" t="s">
        <v>75</v>
      </c>
      <c r="G96" s="12">
        <v>94.0</v>
      </c>
      <c r="H96" s="13" t="str">
        <f t="shared" si="1"/>
        <v>#RH-KE-A-94</v>
      </c>
      <c r="I96" s="13" t="str">
        <f t="shared" si="2"/>
        <v>FO-NBI-00#RH-KE-A-94</v>
      </c>
      <c r="J96" s="25"/>
      <c r="K96" s="66"/>
      <c r="L96" s="31"/>
      <c r="M96" s="31"/>
      <c r="N96" s="26" t="str">
        <f t="shared" si="3"/>
        <v>Roam Hub - </v>
      </c>
      <c r="O96" s="26" t="str">
        <f t="shared" si="4"/>
        <v>FO-NBI-00#RH-KE-A-94: Roam Hub - </v>
      </c>
      <c r="R96" s="53"/>
      <c r="S96" s="78" t="b">
        <v>0</v>
      </c>
      <c r="T96" s="78" t="b">
        <v>0</v>
      </c>
      <c r="U96" s="78" t="b">
        <v>0</v>
      </c>
      <c r="V96" s="30" t="b">
        <v>0</v>
      </c>
      <c r="W96" s="30" t="b">
        <v>0</v>
      </c>
      <c r="X96" s="30"/>
      <c r="Y96" s="30"/>
      <c r="Z96" s="30"/>
      <c r="AA96" s="30"/>
      <c r="AB96" s="30"/>
      <c r="AC96" s="50"/>
      <c r="AD96" s="30"/>
      <c r="AE96" s="12">
        <f t="shared" si="5"/>
        <v>0</v>
      </c>
      <c r="AF96" s="70">
        <f t="shared" si="6"/>
        <v>0</v>
      </c>
      <c r="AG96" s="76"/>
      <c r="AH96" s="76"/>
      <c r="AI96" s="76"/>
      <c r="AJ96" s="76"/>
      <c r="AK96" s="76"/>
      <c r="AL96" s="30"/>
      <c r="AM96" s="79"/>
      <c r="AN96" s="79"/>
      <c r="AO96" s="79"/>
    </row>
    <row r="97" hidden="1">
      <c r="A97" s="12" t="s">
        <v>74</v>
      </c>
      <c r="B97" s="64"/>
      <c r="C97" s="12" t="s">
        <v>248</v>
      </c>
      <c r="D97" s="12" t="str">
        <f>vlookup(C97,'List of Chargers'!$A$2:$B$5,2,FALSE)</f>
        <v>Roam Hub</v>
      </c>
      <c r="E97" s="12" t="s">
        <v>73</v>
      </c>
      <c r="F97" s="12" t="s">
        <v>75</v>
      </c>
      <c r="G97" s="12">
        <v>95.0</v>
      </c>
      <c r="H97" s="13" t="str">
        <f t="shared" si="1"/>
        <v>#RH-KE-A-95</v>
      </c>
      <c r="I97" s="13" t="str">
        <f t="shared" si="2"/>
        <v>FO-NBI-00#RH-KE-A-95</v>
      </c>
      <c r="J97" s="25"/>
      <c r="K97" s="66"/>
      <c r="L97" s="31"/>
      <c r="M97" s="31"/>
      <c r="N97" s="26" t="str">
        <f t="shared" si="3"/>
        <v>Roam Hub - </v>
      </c>
      <c r="O97" s="26" t="str">
        <f t="shared" si="4"/>
        <v>FO-NBI-00#RH-KE-A-95: Roam Hub - </v>
      </c>
      <c r="R97" s="53"/>
      <c r="S97" s="78" t="b">
        <v>0</v>
      </c>
      <c r="T97" s="78" t="b">
        <v>0</v>
      </c>
      <c r="U97" s="78" t="b">
        <v>0</v>
      </c>
      <c r="V97" s="30" t="b">
        <v>0</v>
      </c>
      <c r="W97" s="30" t="b">
        <v>0</v>
      </c>
      <c r="X97" s="30"/>
      <c r="Y97" s="30"/>
      <c r="Z97" s="30"/>
      <c r="AA97" s="30"/>
      <c r="AB97" s="30"/>
      <c r="AC97" s="50"/>
      <c r="AD97" s="30"/>
      <c r="AE97" s="12">
        <f t="shared" si="5"/>
        <v>0</v>
      </c>
      <c r="AF97" s="70">
        <f t="shared" si="6"/>
        <v>0</v>
      </c>
      <c r="AG97" s="76"/>
      <c r="AH97" s="76"/>
      <c r="AI97" s="76"/>
      <c r="AJ97" s="76"/>
      <c r="AK97" s="76"/>
      <c r="AL97" s="30"/>
      <c r="AM97" s="79"/>
      <c r="AN97" s="79"/>
      <c r="AO97" s="79"/>
    </row>
    <row r="98" hidden="1">
      <c r="A98" s="12" t="s">
        <v>74</v>
      </c>
      <c r="B98" s="64"/>
      <c r="C98" s="12" t="s">
        <v>248</v>
      </c>
      <c r="D98" s="12" t="str">
        <f>vlookup(C98,'List of Chargers'!$A$2:$B$5,2,FALSE)</f>
        <v>Roam Hub</v>
      </c>
      <c r="E98" s="12" t="s">
        <v>73</v>
      </c>
      <c r="F98" s="12" t="s">
        <v>75</v>
      </c>
      <c r="G98" s="12">
        <v>96.0</v>
      </c>
      <c r="H98" s="13" t="str">
        <f t="shared" si="1"/>
        <v>#RH-KE-A-96</v>
      </c>
      <c r="I98" s="13" t="str">
        <f t="shared" si="2"/>
        <v>FO-NBI-00#RH-KE-A-96</v>
      </c>
      <c r="J98" s="25"/>
      <c r="K98" s="66"/>
      <c r="L98" s="31"/>
      <c r="M98" s="31"/>
      <c r="N98" s="26" t="str">
        <f t="shared" si="3"/>
        <v>Roam Hub - </v>
      </c>
      <c r="O98" s="26" t="str">
        <f t="shared" si="4"/>
        <v>FO-NBI-00#RH-KE-A-96: Roam Hub - </v>
      </c>
      <c r="R98" s="53"/>
      <c r="S98" s="78" t="b">
        <v>0</v>
      </c>
      <c r="T98" s="78" t="b">
        <v>0</v>
      </c>
      <c r="U98" s="78" t="b">
        <v>0</v>
      </c>
      <c r="V98" s="30" t="b">
        <v>0</v>
      </c>
      <c r="W98" s="30" t="b">
        <v>0</v>
      </c>
      <c r="X98" s="30"/>
      <c r="Y98" s="30"/>
      <c r="Z98" s="30"/>
      <c r="AA98" s="30"/>
      <c r="AB98" s="30"/>
      <c r="AC98" s="50"/>
      <c r="AD98" s="30"/>
      <c r="AE98" s="12">
        <f t="shared" si="5"/>
        <v>0</v>
      </c>
      <c r="AF98" s="70">
        <f t="shared" si="6"/>
        <v>0</v>
      </c>
      <c r="AG98" s="76"/>
      <c r="AH98" s="76"/>
      <c r="AI98" s="76"/>
      <c r="AJ98" s="76"/>
      <c r="AK98" s="76"/>
      <c r="AL98" s="30"/>
      <c r="AM98" s="79"/>
      <c r="AN98" s="79"/>
      <c r="AO98" s="79"/>
    </row>
    <row r="99" hidden="1">
      <c r="A99" s="12" t="s">
        <v>74</v>
      </c>
      <c r="B99" s="64"/>
      <c r="C99" s="12" t="s">
        <v>248</v>
      </c>
      <c r="D99" s="12" t="str">
        <f>vlookup(C99,'List of Chargers'!$A$2:$B$5,2,FALSE)</f>
        <v>Roam Hub</v>
      </c>
      <c r="E99" s="12" t="s">
        <v>73</v>
      </c>
      <c r="F99" s="12" t="s">
        <v>75</v>
      </c>
      <c r="G99" s="12">
        <v>97.0</v>
      </c>
      <c r="H99" s="13" t="str">
        <f t="shared" si="1"/>
        <v>#RH-KE-A-97</v>
      </c>
      <c r="I99" s="13" t="str">
        <f t="shared" si="2"/>
        <v>FO-NBI-00#RH-KE-A-97</v>
      </c>
      <c r="J99" s="25"/>
      <c r="K99" s="66"/>
      <c r="L99" s="31"/>
      <c r="M99" s="31"/>
      <c r="N99" s="26" t="str">
        <f t="shared" si="3"/>
        <v>Roam Hub - </v>
      </c>
      <c r="O99" s="26" t="str">
        <f t="shared" si="4"/>
        <v>FO-NBI-00#RH-KE-A-97: Roam Hub - </v>
      </c>
      <c r="R99" s="53"/>
      <c r="S99" s="78" t="b">
        <v>0</v>
      </c>
      <c r="T99" s="78" t="b">
        <v>0</v>
      </c>
      <c r="U99" s="78" t="b">
        <v>0</v>
      </c>
      <c r="V99" s="30" t="b">
        <v>0</v>
      </c>
      <c r="W99" s="30" t="b">
        <v>0</v>
      </c>
      <c r="X99" s="30"/>
      <c r="Y99" s="30"/>
      <c r="Z99" s="30"/>
      <c r="AA99" s="30"/>
      <c r="AB99" s="30"/>
      <c r="AC99" s="50"/>
      <c r="AD99" s="30"/>
      <c r="AE99" s="12">
        <f t="shared" si="5"/>
        <v>0</v>
      </c>
      <c r="AF99" s="70">
        <f t="shared" si="6"/>
        <v>0</v>
      </c>
      <c r="AG99" s="76"/>
      <c r="AH99" s="76"/>
      <c r="AI99" s="76"/>
      <c r="AJ99" s="76"/>
      <c r="AK99" s="76"/>
      <c r="AL99" s="30"/>
      <c r="AM99" s="79"/>
      <c r="AN99" s="79"/>
      <c r="AO99" s="79"/>
    </row>
    <row r="100" hidden="1">
      <c r="A100" s="12" t="s">
        <v>74</v>
      </c>
      <c r="B100" s="64"/>
      <c r="C100" s="12" t="s">
        <v>248</v>
      </c>
      <c r="D100" s="12" t="str">
        <f>vlookup(C100,'List of Chargers'!$A$2:$B$5,2,FALSE)</f>
        <v>Roam Hub</v>
      </c>
      <c r="E100" s="12" t="s">
        <v>73</v>
      </c>
      <c r="F100" s="12" t="s">
        <v>75</v>
      </c>
      <c r="G100" s="12">
        <v>98.0</v>
      </c>
      <c r="H100" s="13" t="str">
        <f t="shared" si="1"/>
        <v>#RH-KE-A-98</v>
      </c>
      <c r="I100" s="13" t="str">
        <f t="shared" si="2"/>
        <v>FO-NBI-00#RH-KE-A-98</v>
      </c>
      <c r="J100" s="25"/>
      <c r="K100" s="66"/>
      <c r="L100" s="31"/>
      <c r="M100" s="31"/>
      <c r="N100" s="26" t="str">
        <f t="shared" si="3"/>
        <v>Roam Hub - </v>
      </c>
      <c r="O100" s="26" t="str">
        <f t="shared" si="4"/>
        <v>FO-NBI-00#RH-KE-A-98: Roam Hub - </v>
      </c>
      <c r="R100" s="53"/>
      <c r="S100" s="78" t="b">
        <v>0</v>
      </c>
      <c r="T100" s="78" t="b">
        <v>0</v>
      </c>
      <c r="U100" s="78" t="b">
        <v>0</v>
      </c>
      <c r="V100" s="30" t="b">
        <v>0</v>
      </c>
      <c r="W100" s="30" t="b">
        <v>0</v>
      </c>
      <c r="X100" s="30"/>
      <c r="Y100" s="30"/>
      <c r="Z100" s="30"/>
      <c r="AA100" s="30"/>
      <c r="AB100" s="30"/>
      <c r="AC100" s="50"/>
      <c r="AD100" s="30"/>
      <c r="AE100" s="12">
        <f t="shared" si="5"/>
        <v>0</v>
      </c>
      <c r="AF100" s="70">
        <f t="shared" si="6"/>
        <v>0</v>
      </c>
      <c r="AG100" s="76"/>
      <c r="AH100" s="76"/>
      <c r="AI100" s="76"/>
      <c r="AJ100" s="76"/>
      <c r="AK100" s="76"/>
      <c r="AL100" s="30"/>
      <c r="AM100" s="79"/>
      <c r="AN100" s="79"/>
      <c r="AO100" s="79"/>
    </row>
    <row r="101" hidden="1">
      <c r="A101" s="12" t="s">
        <v>74</v>
      </c>
      <c r="B101" s="64"/>
      <c r="C101" s="12" t="s">
        <v>248</v>
      </c>
      <c r="D101" s="12" t="str">
        <f>vlookup(C101,'List of Chargers'!$A$2:$B$5,2,FALSE)</f>
        <v>Roam Hub</v>
      </c>
      <c r="E101" s="12" t="s">
        <v>73</v>
      </c>
      <c r="F101" s="12" t="s">
        <v>75</v>
      </c>
      <c r="G101" s="12">
        <v>99.0</v>
      </c>
      <c r="H101" s="13" t="str">
        <f t="shared" si="1"/>
        <v>#RH-KE-A-99</v>
      </c>
      <c r="I101" s="13" t="str">
        <f t="shared" si="2"/>
        <v>FO-NBI-00#RH-KE-A-99</v>
      </c>
      <c r="J101" s="25"/>
      <c r="K101" s="66"/>
      <c r="L101" s="31"/>
      <c r="M101" s="31"/>
      <c r="N101" s="26" t="str">
        <f t="shared" si="3"/>
        <v>Roam Hub - </v>
      </c>
      <c r="O101" s="26" t="str">
        <f t="shared" si="4"/>
        <v>FO-NBI-00#RH-KE-A-99: Roam Hub - </v>
      </c>
      <c r="R101" s="53"/>
      <c r="S101" s="78" t="b">
        <v>0</v>
      </c>
      <c r="T101" s="78" t="b">
        <v>0</v>
      </c>
      <c r="U101" s="78" t="b">
        <v>0</v>
      </c>
      <c r="V101" s="30" t="b">
        <v>0</v>
      </c>
      <c r="W101" s="30" t="b">
        <v>0</v>
      </c>
      <c r="X101" s="30"/>
      <c r="Y101" s="30"/>
      <c r="Z101" s="30"/>
      <c r="AA101" s="30"/>
      <c r="AB101" s="30"/>
      <c r="AC101" s="50"/>
      <c r="AD101" s="30"/>
      <c r="AE101" s="12">
        <f t="shared" si="5"/>
        <v>0</v>
      </c>
      <c r="AF101" s="70">
        <f t="shared" si="6"/>
        <v>0</v>
      </c>
      <c r="AG101" s="76"/>
      <c r="AH101" s="76"/>
      <c r="AI101" s="76"/>
      <c r="AJ101" s="76"/>
      <c r="AK101" s="76"/>
      <c r="AL101" s="30"/>
      <c r="AM101" s="79"/>
      <c r="AN101" s="79"/>
      <c r="AO101" s="79"/>
    </row>
    <row r="102" hidden="1">
      <c r="A102" s="12" t="s">
        <v>74</v>
      </c>
      <c r="B102" s="64"/>
      <c r="C102" s="12" t="s">
        <v>248</v>
      </c>
      <c r="D102" s="12" t="str">
        <f>vlookup(C102,'List of Chargers'!$A$2:$B$5,2,FALSE)</f>
        <v>Roam Hub</v>
      </c>
      <c r="E102" s="12" t="s">
        <v>73</v>
      </c>
      <c r="F102" s="12" t="s">
        <v>75</v>
      </c>
      <c r="G102" s="12">
        <v>100.0</v>
      </c>
      <c r="H102" s="13" t="str">
        <f t="shared" si="1"/>
        <v>#RH-KE-A-100</v>
      </c>
      <c r="I102" s="13" t="str">
        <f t="shared" si="2"/>
        <v>FO-NBI-00#RH-KE-A-100</v>
      </c>
      <c r="J102" s="25"/>
      <c r="K102" s="66"/>
      <c r="L102" s="31"/>
      <c r="M102" s="31"/>
      <c r="N102" s="26" t="str">
        <f t="shared" si="3"/>
        <v>Roam Hub - </v>
      </c>
      <c r="O102" s="26" t="str">
        <f t="shared" si="4"/>
        <v>FO-NBI-00#RH-KE-A-100: Roam Hub - </v>
      </c>
      <c r="R102" s="53"/>
      <c r="S102" s="78" t="b">
        <v>0</v>
      </c>
      <c r="T102" s="78" t="b">
        <v>0</v>
      </c>
      <c r="U102" s="78" t="b">
        <v>0</v>
      </c>
      <c r="V102" s="30" t="b">
        <v>0</v>
      </c>
      <c r="W102" s="30" t="b">
        <v>0</v>
      </c>
      <c r="X102" s="30"/>
      <c r="Y102" s="30"/>
      <c r="Z102" s="30"/>
      <c r="AA102" s="30"/>
      <c r="AB102" s="30"/>
      <c r="AC102" s="50"/>
      <c r="AD102" s="30"/>
      <c r="AE102" s="12">
        <f t="shared" si="5"/>
        <v>0</v>
      </c>
      <c r="AF102" s="70">
        <f t="shared" si="6"/>
        <v>0</v>
      </c>
      <c r="AG102" s="76"/>
      <c r="AH102" s="76"/>
      <c r="AI102" s="76"/>
      <c r="AJ102" s="76"/>
      <c r="AK102" s="76"/>
      <c r="AL102" s="30"/>
      <c r="AM102" s="79"/>
      <c r="AN102" s="79"/>
      <c r="AO102" s="79"/>
    </row>
    <row r="103" hidden="1">
      <c r="A103" s="12" t="s">
        <v>74</v>
      </c>
      <c r="B103" s="64"/>
      <c r="C103" s="12" t="s">
        <v>248</v>
      </c>
      <c r="D103" s="12" t="str">
        <f>vlookup(C103,'List of Chargers'!$A$2:$B$5,2,FALSE)</f>
        <v>Roam Hub</v>
      </c>
      <c r="E103" s="12" t="s">
        <v>73</v>
      </c>
      <c r="F103" s="12" t="s">
        <v>75</v>
      </c>
      <c r="G103" s="12">
        <v>101.0</v>
      </c>
      <c r="H103" s="13" t="str">
        <f t="shared" si="1"/>
        <v>#RH-KE-A-101</v>
      </c>
      <c r="I103" s="13" t="str">
        <f t="shared" si="2"/>
        <v>FO-NBI-00#RH-KE-A-101</v>
      </c>
      <c r="J103" s="25"/>
      <c r="K103" s="66"/>
      <c r="L103" s="31"/>
      <c r="M103" s="31"/>
      <c r="N103" s="26" t="str">
        <f t="shared" si="3"/>
        <v>Roam Hub - </v>
      </c>
      <c r="O103" s="26" t="str">
        <f t="shared" si="4"/>
        <v>FO-NBI-00#RH-KE-A-101: Roam Hub - </v>
      </c>
      <c r="R103" s="53"/>
      <c r="S103" s="78" t="b">
        <v>0</v>
      </c>
      <c r="T103" s="78" t="b">
        <v>0</v>
      </c>
      <c r="U103" s="78" t="b">
        <v>0</v>
      </c>
      <c r="V103" s="30" t="b">
        <v>0</v>
      </c>
      <c r="W103" s="30" t="b">
        <v>0</v>
      </c>
      <c r="X103" s="30"/>
      <c r="Y103" s="30"/>
      <c r="Z103" s="30"/>
      <c r="AA103" s="30"/>
      <c r="AB103" s="30"/>
      <c r="AC103" s="50"/>
      <c r="AD103" s="30"/>
      <c r="AE103" s="12">
        <f t="shared" si="5"/>
        <v>0</v>
      </c>
      <c r="AF103" s="70">
        <f t="shared" si="6"/>
        <v>0</v>
      </c>
      <c r="AG103" s="76"/>
      <c r="AH103" s="76"/>
      <c r="AI103" s="76"/>
      <c r="AJ103" s="76"/>
      <c r="AK103" s="76"/>
      <c r="AL103" s="30"/>
      <c r="AM103" s="79"/>
      <c r="AN103" s="79"/>
      <c r="AO103" s="79"/>
    </row>
    <row r="104" hidden="1">
      <c r="A104" s="12" t="s">
        <v>74</v>
      </c>
      <c r="B104" s="64"/>
      <c r="C104" s="12" t="s">
        <v>248</v>
      </c>
      <c r="D104" s="12" t="str">
        <f>vlookup(C104,'List of Chargers'!$A$2:$B$5,2,FALSE)</f>
        <v>Roam Hub</v>
      </c>
      <c r="E104" s="12" t="s">
        <v>73</v>
      </c>
      <c r="F104" s="12" t="s">
        <v>75</v>
      </c>
      <c r="G104" s="12">
        <v>102.0</v>
      </c>
      <c r="H104" s="13" t="str">
        <f t="shared" si="1"/>
        <v>#RH-KE-A-102</v>
      </c>
      <c r="I104" s="13" t="str">
        <f t="shared" si="2"/>
        <v>FO-NBI-00#RH-KE-A-102</v>
      </c>
      <c r="J104" s="25"/>
      <c r="K104" s="66"/>
      <c r="L104" s="31"/>
      <c r="M104" s="31"/>
      <c r="N104" s="26" t="str">
        <f t="shared" si="3"/>
        <v>Roam Hub - </v>
      </c>
      <c r="O104" s="26" t="str">
        <f t="shared" si="4"/>
        <v>FO-NBI-00#RH-KE-A-102: Roam Hub - </v>
      </c>
      <c r="R104" s="53"/>
      <c r="S104" s="78" t="b">
        <v>0</v>
      </c>
      <c r="T104" s="78" t="b">
        <v>0</v>
      </c>
      <c r="U104" s="78" t="b">
        <v>0</v>
      </c>
      <c r="V104" s="30" t="b">
        <v>0</v>
      </c>
      <c r="W104" s="30" t="b">
        <v>0</v>
      </c>
      <c r="X104" s="30"/>
      <c r="Y104" s="30"/>
      <c r="Z104" s="30"/>
      <c r="AA104" s="30"/>
      <c r="AB104" s="30"/>
      <c r="AC104" s="50"/>
      <c r="AD104" s="30"/>
      <c r="AE104" s="12">
        <f t="shared" si="5"/>
        <v>0</v>
      </c>
      <c r="AF104" s="70">
        <f t="shared" si="6"/>
        <v>0</v>
      </c>
      <c r="AG104" s="76"/>
      <c r="AH104" s="76"/>
      <c r="AI104" s="76"/>
      <c r="AJ104" s="76"/>
      <c r="AK104" s="76"/>
      <c r="AL104" s="30"/>
      <c r="AM104" s="79"/>
      <c r="AN104" s="79"/>
      <c r="AO104" s="79"/>
    </row>
    <row r="105" hidden="1">
      <c r="A105" s="12" t="s">
        <v>74</v>
      </c>
      <c r="B105" s="64"/>
      <c r="C105" s="12" t="s">
        <v>248</v>
      </c>
      <c r="D105" s="12" t="str">
        <f>vlookup(C105,'List of Chargers'!$A$2:$B$5,2,FALSE)</f>
        <v>Roam Hub</v>
      </c>
      <c r="E105" s="12" t="s">
        <v>73</v>
      </c>
      <c r="F105" s="12" t="s">
        <v>75</v>
      </c>
      <c r="G105" s="12">
        <v>103.0</v>
      </c>
      <c r="H105" s="13" t="str">
        <f t="shared" si="1"/>
        <v>#RH-KE-A-103</v>
      </c>
      <c r="I105" s="13" t="str">
        <f t="shared" si="2"/>
        <v>FO-NBI-00#RH-KE-A-103</v>
      </c>
      <c r="J105" s="25"/>
      <c r="K105" s="66"/>
      <c r="L105" s="31"/>
      <c r="M105" s="31"/>
      <c r="N105" s="26" t="str">
        <f t="shared" si="3"/>
        <v>Roam Hub - </v>
      </c>
      <c r="O105" s="26" t="str">
        <f t="shared" si="4"/>
        <v>FO-NBI-00#RH-KE-A-103: Roam Hub - </v>
      </c>
      <c r="R105" s="53"/>
      <c r="S105" s="78" t="b">
        <v>0</v>
      </c>
      <c r="T105" s="78" t="b">
        <v>0</v>
      </c>
      <c r="U105" s="78" t="b">
        <v>0</v>
      </c>
      <c r="V105" s="30" t="b">
        <v>0</v>
      </c>
      <c r="W105" s="30" t="b">
        <v>0</v>
      </c>
      <c r="X105" s="30"/>
      <c r="Y105" s="30"/>
      <c r="Z105" s="30"/>
      <c r="AA105" s="30"/>
      <c r="AB105" s="30"/>
      <c r="AC105" s="50"/>
      <c r="AD105" s="30"/>
      <c r="AE105" s="12">
        <f t="shared" si="5"/>
        <v>0</v>
      </c>
      <c r="AF105" s="70">
        <f t="shared" si="6"/>
        <v>0</v>
      </c>
      <c r="AG105" s="76"/>
      <c r="AH105" s="76"/>
      <c r="AI105" s="76"/>
      <c r="AJ105" s="76"/>
      <c r="AK105" s="76"/>
      <c r="AL105" s="30"/>
      <c r="AM105" s="79"/>
      <c r="AN105" s="79"/>
      <c r="AO105" s="79"/>
    </row>
    <row r="106" hidden="1">
      <c r="A106" s="12" t="s">
        <v>74</v>
      </c>
      <c r="B106" s="64"/>
      <c r="C106" s="12" t="s">
        <v>248</v>
      </c>
      <c r="D106" s="12" t="str">
        <f>vlookup(C106,'List of Chargers'!$A$2:$B$5,2,FALSE)</f>
        <v>Roam Hub</v>
      </c>
      <c r="E106" s="12" t="s">
        <v>73</v>
      </c>
      <c r="F106" s="12" t="s">
        <v>75</v>
      </c>
      <c r="G106" s="12">
        <v>104.0</v>
      </c>
      <c r="H106" s="13" t="str">
        <f t="shared" si="1"/>
        <v>#RH-KE-A-104</v>
      </c>
      <c r="I106" s="13" t="str">
        <f t="shared" si="2"/>
        <v>FO-NBI-00#RH-KE-A-104</v>
      </c>
      <c r="J106" s="25"/>
      <c r="K106" s="66"/>
      <c r="L106" s="31"/>
      <c r="M106" s="31"/>
      <c r="N106" s="26" t="str">
        <f t="shared" si="3"/>
        <v>Roam Hub - </v>
      </c>
      <c r="O106" s="26" t="str">
        <f t="shared" si="4"/>
        <v>FO-NBI-00#RH-KE-A-104: Roam Hub - </v>
      </c>
      <c r="R106" s="53"/>
      <c r="S106" s="78" t="b">
        <v>0</v>
      </c>
      <c r="T106" s="78" t="b">
        <v>0</v>
      </c>
      <c r="U106" s="78" t="b">
        <v>0</v>
      </c>
      <c r="V106" s="30" t="b">
        <v>0</v>
      </c>
      <c r="W106" s="30" t="b">
        <v>0</v>
      </c>
      <c r="X106" s="30"/>
      <c r="Y106" s="30"/>
      <c r="Z106" s="30"/>
      <c r="AA106" s="30"/>
      <c r="AB106" s="30"/>
      <c r="AC106" s="50"/>
      <c r="AD106" s="30"/>
      <c r="AE106" s="12">
        <f t="shared" si="5"/>
        <v>0</v>
      </c>
      <c r="AF106" s="70">
        <f t="shared" si="6"/>
        <v>0</v>
      </c>
      <c r="AG106" s="76"/>
      <c r="AH106" s="76"/>
      <c r="AI106" s="76"/>
      <c r="AJ106" s="76"/>
      <c r="AK106" s="76"/>
      <c r="AL106" s="30"/>
      <c r="AM106" s="79"/>
      <c r="AN106" s="79"/>
      <c r="AO106" s="79"/>
    </row>
    <row r="107" hidden="1">
      <c r="A107" s="12" t="s">
        <v>74</v>
      </c>
      <c r="B107" s="64"/>
      <c r="C107" s="12" t="s">
        <v>248</v>
      </c>
      <c r="D107" s="12" t="str">
        <f>vlookup(C107,'List of Chargers'!$A$2:$B$5,2,FALSE)</f>
        <v>Roam Hub</v>
      </c>
      <c r="E107" s="12" t="s">
        <v>73</v>
      </c>
      <c r="F107" s="12" t="s">
        <v>75</v>
      </c>
      <c r="G107" s="12">
        <v>105.0</v>
      </c>
      <c r="H107" s="13" t="str">
        <f t="shared" si="1"/>
        <v>#RH-KE-A-105</v>
      </c>
      <c r="I107" s="13" t="str">
        <f t="shared" si="2"/>
        <v>FO-NBI-00#RH-KE-A-105</v>
      </c>
      <c r="J107" s="25"/>
      <c r="K107" s="66"/>
      <c r="L107" s="31"/>
      <c r="M107" s="31"/>
      <c r="N107" s="26" t="str">
        <f t="shared" si="3"/>
        <v>Roam Hub - </v>
      </c>
      <c r="O107" s="26" t="str">
        <f t="shared" si="4"/>
        <v>FO-NBI-00#RH-KE-A-105: Roam Hub - </v>
      </c>
      <c r="R107" s="53"/>
      <c r="S107" s="78" t="b">
        <v>0</v>
      </c>
      <c r="T107" s="78" t="b">
        <v>0</v>
      </c>
      <c r="U107" s="78" t="b">
        <v>0</v>
      </c>
      <c r="V107" s="30" t="b">
        <v>0</v>
      </c>
      <c r="W107" s="30" t="b">
        <v>0</v>
      </c>
      <c r="X107" s="30"/>
      <c r="Y107" s="30"/>
      <c r="Z107" s="30"/>
      <c r="AA107" s="30"/>
      <c r="AB107" s="30"/>
      <c r="AC107" s="50"/>
      <c r="AD107" s="30"/>
      <c r="AE107" s="12">
        <f t="shared" si="5"/>
        <v>0</v>
      </c>
      <c r="AF107" s="70">
        <f t="shared" si="6"/>
        <v>0</v>
      </c>
      <c r="AG107" s="76"/>
      <c r="AH107" s="76"/>
      <c r="AI107" s="76"/>
      <c r="AJ107" s="76"/>
      <c r="AK107" s="76"/>
      <c r="AL107" s="30"/>
      <c r="AM107" s="79"/>
      <c r="AN107" s="79"/>
      <c r="AO107" s="79"/>
    </row>
    <row r="108" hidden="1">
      <c r="A108" s="12" t="s">
        <v>74</v>
      </c>
      <c r="B108" s="64"/>
      <c r="C108" s="12" t="s">
        <v>248</v>
      </c>
      <c r="D108" s="12" t="str">
        <f>vlookup(C108,'List of Chargers'!$A$2:$B$5,2,FALSE)</f>
        <v>Roam Hub</v>
      </c>
      <c r="E108" s="12" t="s">
        <v>73</v>
      </c>
      <c r="F108" s="12" t="s">
        <v>75</v>
      </c>
      <c r="G108" s="12">
        <v>106.0</v>
      </c>
      <c r="H108" s="13" t="str">
        <f t="shared" si="1"/>
        <v>#RH-KE-A-106</v>
      </c>
      <c r="I108" s="13" t="str">
        <f t="shared" si="2"/>
        <v>FO-NBI-00#RH-KE-A-106</v>
      </c>
      <c r="J108" s="25"/>
      <c r="K108" s="66"/>
      <c r="L108" s="31"/>
      <c r="M108" s="31"/>
      <c r="N108" s="26" t="str">
        <f t="shared" si="3"/>
        <v>Roam Hub - </v>
      </c>
      <c r="O108" s="26" t="str">
        <f t="shared" si="4"/>
        <v>FO-NBI-00#RH-KE-A-106: Roam Hub - </v>
      </c>
      <c r="R108" s="53"/>
      <c r="S108" s="78" t="b">
        <v>0</v>
      </c>
      <c r="T108" s="78" t="b">
        <v>0</v>
      </c>
      <c r="U108" s="78" t="b">
        <v>0</v>
      </c>
      <c r="V108" s="30" t="b">
        <v>0</v>
      </c>
      <c r="W108" s="30" t="b">
        <v>0</v>
      </c>
      <c r="X108" s="30"/>
      <c r="Y108" s="30"/>
      <c r="Z108" s="30"/>
      <c r="AA108" s="30"/>
      <c r="AB108" s="30"/>
      <c r="AC108" s="50"/>
      <c r="AD108" s="30"/>
      <c r="AE108" s="12">
        <f t="shared" si="5"/>
        <v>0</v>
      </c>
      <c r="AF108" s="70">
        <f t="shared" si="6"/>
        <v>0</v>
      </c>
      <c r="AG108" s="76"/>
      <c r="AH108" s="76"/>
      <c r="AI108" s="76"/>
      <c r="AJ108" s="76"/>
      <c r="AK108" s="76"/>
      <c r="AL108" s="30"/>
      <c r="AM108" s="79"/>
      <c r="AN108" s="79"/>
      <c r="AO108" s="79"/>
    </row>
    <row r="109" hidden="1">
      <c r="A109" s="12" t="s">
        <v>74</v>
      </c>
      <c r="B109" s="64"/>
      <c r="C109" s="12" t="s">
        <v>248</v>
      </c>
      <c r="D109" s="12" t="str">
        <f>vlookup(C109,'List of Chargers'!$A$2:$B$5,2,FALSE)</f>
        <v>Roam Hub</v>
      </c>
      <c r="E109" s="12" t="s">
        <v>73</v>
      </c>
      <c r="F109" s="12" t="s">
        <v>75</v>
      </c>
      <c r="G109" s="12">
        <v>107.0</v>
      </c>
      <c r="H109" s="13" t="str">
        <f t="shared" si="1"/>
        <v>#RH-KE-A-107</v>
      </c>
      <c r="I109" s="13" t="str">
        <f t="shared" si="2"/>
        <v>FO-NBI-00#RH-KE-A-107</v>
      </c>
      <c r="J109" s="25"/>
      <c r="K109" s="66"/>
      <c r="L109" s="31"/>
      <c r="M109" s="31"/>
      <c r="N109" s="26" t="str">
        <f t="shared" si="3"/>
        <v>Roam Hub - </v>
      </c>
      <c r="O109" s="26" t="str">
        <f t="shared" si="4"/>
        <v>FO-NBI-00#RH-KE-A-107: Roam Hub - </v>
      </c>
      <c r="R109" s="53"/>
      <c r="S109" s="78" t="b">
        <v>0</v>
      </c>
      <c r="T109" s="78" t="b">
        <v>0</v>
      </c>
      <c r="U109" s="78" t="b">
        <v>0</v>
      </c>
      <c r="V109" s="30" t="b">
        <v>0</v>
      </c>
      <c r="W109" s="30" t="b">
        <v>0</v>
      </c>
      <c r="X109" s="30"/>
      <c r="Y109" s="30"/>
      <c r="Z109" s="30"/>
      <c r="AA109" s="30"/>
      <c r="AB109" s="30"/>
      <c r="AC109" s="50"/>
      <c r="AD109" s="30"/>
      <c r="AE109" s="12">
        <f t="shared" si="5"/>
        <v>0</v>
      </c>
      <c r="AF109" s="70">
        <f t="shared" si="6"/>
        <v>0</v>
      </c>
      <c r="AG109" s="76"/>
      <c r="AH109" s="76"/>
      <c r="AI109" s="76"/>
      <c r="AJ109" s="76"/>
      <c r="AK109" s="76"/>
      <c r="AL109" s="30"/>
      <c r="AM109" s="79"/>
      <c r="AN109" s="79"/>
      <c r="AO109" s="79"/>
    </row>
    <row r="110" hidden="1">
      <c r="A110" s="12" t="s">
        <v>74</v>
      </c>
      <c r="B110" s="64"/>
      <c r="C110" s="12" t="s">
        <v>248</v>
      </c>
      <c r="D110" s="12" t="str">
        <f>vlookup(C110,'List of Chargers'!$A$2:$B$5,2,FALSE)</f>
        <v>Roam Hub</v>
      </c>
      <c r="E110" s="12" t="s">
        <v>73</v>
      </c>
      <c r="F110" s="12" t="s">
        <v>75</v>
      </c>
      <c r="G110" s="12">
        <v>108.0</v>
      </c>
      <c r="H110" s="13" t="str">
        <f t="shared" si="1"/>
        <v>#RH-KE-A-108</v>
      </c>
      <c r="I110" s="13" t="str">
        <f t="shared" si="2"/>
        <v>FO-NBI-00#RH-KE-A-108</v>
      </c>
      <c r="J110" s="25"/>
      <c r="K110" s="66"/>
      <c r="L110" s="31"/>
      <c r="M110" s="31"/>
      <c r="N110" s="26" t="str">
        <f t="shared" si="3"/>
        <v>Roam Hub - </v>
      </c>
      <c r="O110" s="26" t="str">
        <f t="shared" si="4"/>
        <v>FO-NBI-00#RH-KE-A-108: Roam Hub - </v>
      </c>
      <c r="R110" s="53"/>
      <c r="S110" s="78" t="b">
        <v>0</v>
      </c>
      <c r="T110" s="78" t="b">
        <v>0</v>
      </c>
      <c r="U110" s="78" t="b">
        <v>0</v>
      </c>
      <c r="V110" s="30" t="b">
        <v>0</v>
      </c>
      <c r="W110" s="30" t="b">
        <v>0</v>
      </c>
      <c r="X110" s="30"/>
      <c r="Y110" s="30"/>
      <c r="Z110" s="30"/>
      <c r="AA110" s="30"/>
      <c r="AB110" s="30"/>
      <c r="AC110" s="50"/>
      <c r="AD110" s="30"/>
      <c r="AE110" s="12">
        <f t="shared" si="5"/>
        <v>0</v>
      </c>
      <c r="AF110" s="70">
        <f t="shared" si="6"/>
        <v>0</v>
      </c>
      <c r="AG110" s="76"/>
      <c r="AH110" s="76"/>
      <c r="AI110" s="76"/>
      <c r="AJ110" s="76"/>
      <c r="AK110" s="76"/>
      <c r="AL110" s="30"/>
      <c r="AM110" s="79"/>
      <c r="AN110" s="79"/>
      <c r="AO110" s="79"/>
    </row>
    <row r="111" hidden="1">
      <c r="A111" s="12" t="s">
        <v>74</v>
      </c>
      <c r="B111" s="64"/>
      <c r="C111" s="12" t="s">
        <v>248</v>
      </c>
      <c r="D111" s="12" t="str">
        <f>vlookup(C111,'List of Chargers'!$A$2:$B$5,2,FALSE)</f>
        <v>Roam Hub</v>
      </c>
      <c r="E111" s="12" t="s">
        <v>73</v>
      </c>
      <c r="F111" s="12" t="s">
        <v>75</v>
      </c>
      <c r="G111" s="12">
        <v>109.0</v>
      </c>
      <c r="H111" s="13" t="str">
        <f t="shared" si="1"/>
        <v>#RH-KE-A-109</v>
      </c>
      <c r="I111" s="13" t="str">
        <f t="shared" si="2"/>
        <v>FO-NBI-00#RH-KE-A-109</v>
      </c>
      <c r="J111" s="25"/>
      <c r="K111" s="66"/>
      <c r="L111" s="31"/>
      <c r="M111" s="31"/>
      <c r="N111" s="26" t="str">
        <f t="shared" si="3"/>
        <v>Roam Hub - </v>
      </c>
      <c r="O111" s="26" t="str">
        <f t="shared" si="4"/>
        <v>FO-NBI-00#RH-KE-A-109: Roam Hub - </v>
      </c>
      <c r="R111" s="53"/>
      <c r="S111" s="78" t="b">
        <v>0</v>
      </c>
      <c r="T111" s="78" t="b">
        <v>0</v>
      </c>
      <c r="U111" s="78" t="b">
        <v>0</v>
      </c>
      <c r="V111" s="30" t="b">
        <v>0</v>
      </c>
      <c r="W111" s="30" t="b">
        <v>0</v>
      </c>
      <c r="X111" s="30"/>
      <c r="Y111" s="30"/>
      <c r="Z111" s="30"/>
      <c r="AA111" s="30"/>
      <c r="AB111" s="30"/>
      <c r="AC111" s="50"/>
      <c r="AD111" s="30"/>
      <c r="AE111" s="12">
        <f t="shared" si="5"/>
        <v>0</v>
      </c>
      <c r="AF111" s="70">
        <f t="shared" si="6"/>
        <v>0</v>
      </c>
      <c r="AG111" s="76"/>
      <c r="AH111" s="76"/>
      <c r="AI111" s="76"/>
      <c r="AJ111" s="76"/>
      <c r="AK111" s="76"/>
      <c r="AL111" s="30"/>
      <c r="AM111" s="79"/>
      <c r="AN111" s="79"/>
      <c r="AO111" s="79"/>
    </row>
    <row r="112" hidden="1">
      <c r="A112" s="12" t="s">
        <v>74</v>
      </c>
      <c r="B112" s="64"/>
      <c r="C112" s="12" t="s">
        <v>248</v>
      </c>
      <c r="D112" s="12" t="str">
        <f>vlookup(C112,'List of Chargers'!$A$2:$B$5,2,FALSE)</f>
        <v>Roam Hub</v>
      </c>
      <c r="E112" s="12" t="s">
        <v>73</v>
      </c>
      <c r="F112" s="12" t="s">
        <v>75</v>
      </c>
      <c r="G112" s="12">
        <v>110.0</v>
      </c>
      <c r="H112" s="13" t="str">
        <f t="shared" si="1"/>
        <v>#RH-KE-A-110</v>
      </c>
      <c r="I112" s="13" t="str">
        <f t="shared" si="2"/>
        <v>FO-NBI-00#RH-KE-A-110</v>
      </c>
      <c r="J112" s="25"/>
      <c r="K112" s="66"/>
      <c r="L112" s="31"/>
      <c r="M112" s="31"/>
      <c r="N112" s="26" t="str">
        <f t="shared" si="3"/>
        <v>Roam Hub - </v>
      </c>
      <c r="O112" s="26" t="str">
        <f t="shared" si="4"/>
        <v>FO-NBI-00#RH-KE-A-110: Roam Hub - </v>
      </c>
      <c r="R112" s="53"/>
      <c r="S112" s="78" t="b">
        <v>0</v>
      </c>
      <c r="T112" s="78" t="b">
        <v>0</v>
      </c>
      <c r="U112" s="78" t="b">
        <v>0</v>
      </c>
      <c r="V112" s="30" t="b">
        <v>0</v>
      </c>
      <c r="W112" s="30" t="b">
        <v>0</v>
      </c>
      <c r="X112" s="30"/>
      <c r="Y112" s="30"/>
      <c r="Z112" s="30"/>
      <c r="AA112" s="30"/>
      <c r="AB112" s="30"/>
      <c r="AC112" s="50"/>
      <c r="AD112" s="30"/>
      <c r="AE112" s="12">
        <f t="shared" si="5"/>
        <v>0</v>
      </c>
      <c r="AF112" s="70">
        <f t="shared" si="6"/>
        <v>0</v>
      </c>
      <c r="AG112" s="76"/>
      <c r="AH112" s="76"/>
      <c r="AI112" s="76"/>
      <c r="AJ112" s="76"/>
      <c r="AK112" s="76"/>
      <c r="AL112" s="30"/>
      <c r="AM112" s="79"/>
      <c r="AN112" s="79"/>
      <c r="AO112" s="79"/>
    </row>
    <row r="113" hidden="1">
      <c r="A113" s="12" t="s">
        <v>74</v>
      </c>
      <c r="B113" s="64"/>
      <c r="C113" s="12" t="s">
        <v>248</v>
      </c>
      <c r="D113" s="12" t="str">
        <f>vlookup(C113,'List of Chargers'!$A$2:$B$5,2,FALSE)</f>
        <v>Roam Hub</v>
      </c>
      <c r="E113" s="12" t="s">
        <v>73</v>
      </c>
      <c r="F113" s="12" t="s">
        <v>75</v>
      </c>
      <c r="G113" s="12">
        <v>111.0</v>
      </c>
      <c r="H113" s="13" t="str">
        <f t="shared" si="1"/>
        <v>#RH-KE-A-111</v>
      </c>
      <c r="I113" s="13" t="str">
        <f t="shared" si="2"/>
        <v>FO-NBI-00#RH-KE-A-111</v>
      </c>
      <c r="J113" s="25"/>
      <c r="K113" s="66"/>
      <c r="L113" s="31"/>
      <c r="M113" s="31"/>
      <c r="N113" s="26" t="str">
        <f t="shared" si="3"/>
        <v>Roam Hub - </v>
      </c>
      <c r="O113" s="26" t="str">
        <f t="shared" si="4"/>
        <v>FO-NBI-00#RH-KE-A-111: Roam Hub - </v>
      </c>
      <c r="R113" s="53"/>
      <c r="S113" s="78" t="b">
        <v>0</v>
      </c>
      <c r="T113" s="78" t="b">
        <v>0</v>
      </c>
      <c r="U113" s="78" t="b">
        <v>0</v>
      </c>
      <c r="V113" s="30" t="b">
        <v>0</v>
      </c>
      <c r="W113" s="30" t="b">
        <v>0</v>
      </c>
      <c r="X113" s="30"/>
      <c r="Y113" s="30"/>
      <c r="Z113" s="30"/>
      <c r="AA113" s="30"/>
      <c r="AB113" s="30"/>
      <c r="AC113" s="50"/>
      <c r="AD113" s="30"/>
      <c r="AE113" s="12">
        <f t="shared" si="5"/>
        <v>0</v>
      </c>
      <c r="AF113" s="70">
        <f t="shared" si="6"/>
        <v>0</v>
      </c>
      <c r="AG113" s="76"/>
      <c r="AH113" s="76"/>
      <c r="AI113" s="76"/>
      <c r="AJ113" s="76"/>
      <c r="AK113" s="76"/>
      <c r="AL113" s="30"/>
      <c r="AM113" s="79"/>
      <c r="AN113" s="79"/>
      <c r="AO113" s="79"/>
    </row>
    <row r="114" hidden="1">
      <c r="A114" s="12" t="s">
        <v>74</v>
      </c>
      <c r="B114" s="64"/>
      <c r="C114" s="12" t="s">
        <v>248</v>
      </c>
      <c r="D114" s="12" t="str">
        <f>vlookup(C114,'List of Chargers'!$A$2:$B$5,2,FALSE)</f>
        <v>Roam Hub</v>
      </c>
      <c r="E114" s="12" t="s">
        <v>73</v>
      </c>
      <c r="F114" s="12" t="s">
        <v>75</v>
      </c>
      <c r="G114" s="12">
        <v>112.0</v>
      </c>
      <c r="H114" s="13" t="str">
        <f t="shared" si="1"/>
        <v>#RH-KE-A-112</v>
      </c>
      <c r="I114" s="13" t="str">
        <f t="shared" si="2"/>
        <v>FO-NBI-00#RH-KE-A-112</v>
      </c>
      <c r="J114" s="25"/>
      <c r="K114" s="66"/>
      <c r="L114" s="31"/>
      <c r="M114" s="31"/>
      <c r="N114" s="26" t="str">
        <f t="shared" si="3"/>
        <v>Roam Hub - </v>
      </c>
      <c r="O114" s="26" t="str">
        <f t="shared" si="4"/>
        <v>FO-NBI-00#RH-KE-A-112: Roam Hub - </v>
      </c>
      <c r="R114" s="53"/>
      <c r="S114" s="78" t="b">
        <v>0</v>
      </c>
      <c r="T114" s="78" t="b">
        <v>0</v>
      </c>
      <c r="U114" s="78" t="b">
        <v>0</v>
      </c>
      <c r="V114" s="30" t="b">
        <v>0</v>
      </c>
      <c r="W114" s="30" t="b">
        <v>0</v>
      </c>
      <c r="X114" s="30"/>
      <c r="Y114" s="30"/>
      <c r="Z114" s="30"/>
      <c r="AA114" s="30"/>
      <c r="AB114" s="30"/>
      <c r="AC114" s="50"/>
      <c r="AD114" s="30"/>
      <c r="AE114" s="12">
        <f t="shared" si="5"/>
        <v>0</v>
      </c>
      <c r="AF114" s="70">
        <f t="shared" si="6"/>
        <v>0</v>
      </c>
      <c r="AG114" s="76"/>
      <c r="AH114" s="76"/>
      <c r="AI114" s="76"/>
      <c r="AJ114" s="76"/>
      <c r="AK114" s="76"/>
      <c r="AL114" s="30"/>
      <c r="AM114" s="79"/>
      <c r="AN114" s="79"/>
      <c r="AO114" s="79"/>
    </row>
    <row r="115" hidden="1">
      <c r="A115" s="12" t="s">
        <v>74</v>
      </c>
      <c r="B115" s="64"/>
      <c r="C115" s="12" t="s">
        <v>248</v>
      </c>
      <c r="D115" s="12" t="str">
        <f>vlookup(C115,'List of Chargers'!$A$2:$B$5,2,FALSE)</f>
        <v>Roam Hub</v>
      </c>
      <c r="E115" s="12" t="s">
        <v>73</v>
      </c>
      <c r="F115" s="12" t="s">
        <v>75</v>
      </c>
      <c r="G115" s="12">
        <v>113.0</v>
      </c>
      <c r="H115" s="13" t="str">
        <f t="shared" si="1"/>
        <v>#RH-KE-A-113</v>
      </c>
      <c r="I115" s="13" t="str">
        <f t="shared" si="2"/>
        <v>FO-NBI-00#RH-KE-A-113</v>
      </c>
      <c r="J115" s="25"/>
      <c r="K115" s="66"/>
      <c r="L115" s="31"/>
      <c r="M115" s="31"/>
      <c r="N115" s="26" t="str">
        <f t="shared" si="3"/>
        <v>Roam Hub - </v>
      </c>
      <c r="O115" s="26" t="str">
        <f t="shared" si="4"/>
        <v>FO-NBI-00#RH-KE-A-113: Roam Hub - </v>
      </c>
      <c r="R115" s="53"/>
      <c r="S115" s="78" t="b">
        <v>0</v>
      </c>
      <c r="T115" s="78" t="b">
        <v>0</v>
      </c>
      <c r="U115" s="78" t="b">
        <v>0</v>
      </c>
      <c r="V115" s="30" t="b">
        <v>0</v>
      </c>
      <c r="W115" s="30" t="b">
        <v>0</v>
      </c>
      <c r="X115" s="30"/>
      <c r="Y115" s="30"/>
      <c r="Z115" s="30"/>
      <c r="AA115" s="30"/>
      <c r="AB115" s="30"/>
      <c r="AC115" s="50"/>
      <c r="AD115" s="30"/>
      <c r="AE115" s="12">
        <f t="shared" si="5"/>
        <v>0</v>
      </c>
      <c r="AF115" s="70">
        <f t="shared" si="6"/>
        <v>0</v>
      </c>
      <c r="AG115" s="76"/>
      <c r="AH115" s="76"/>
      <c r="AI115" s="76"/>
      <c r="AJ115" s="76"/>
      <c r="AK115" s="76"/>
      <c r="AL115" s="30"/>
      <c r="AM115" s="79"/>
      <c r="AN115" s="79"/>
      <c r="AO115" s="79"/>
    </row>
    <row r="116" hidden="1">
      <c r="A116" s="12" t="s">
        <v>74</v>
      </c>
      <c r="B116" s="64"/>
      <c r="C116" s="12" t="s">
        <v>248</v>
      </c>
      <c r="D116" s="12" t="str">
        <f>vlookup(C116,'List of Chargers'!$A$2:$B$5,2,FALSE)</f>
        <v>Roam Hub</v>
      </c>
      <c r="E116" s="12" t="s">
        <v>73</v>
      </c>
      <c r="F116" s="12" t="s">
        <v>75</v>
      </c>
      <c r="G116" s="12">
        <v>114.0</v>
      </c>
      <c r="H116" s="13" t="str">
        <f t="shared" si="1"/>
        <v>#RH-KE-A-114</v>
      </c>
      <c r="I116" s="13" t="str">
        <f t="shared" si="2"/>
        <v>FO-NBI-00#RH-KE-A-114</v>
      </c>
      <c r="J116" s="25"/>
      <c r="K116" s="66"/>
      <c r="L116" s="31"/>
      <c r="M116" s="31"/>
      <c r="N116" s="26" t="str">
        <f t="shared" si="3"/>
        <v>Roam Hub - </v>
      </c>
      <c r="O116" s="26" t="str">
        <f t="shared" si="4"/>
        <v>FO-NBI-00#RH-KE-A-114: Roam Hub - </v>
      </c>
      <c r="R116" s="53"/>
      <c r="S116" s="78" t="b">
        <v>0</v>
      </c>
      <c r="T116" s="78" t="b">
        <v>0</v>
      </c>
      <c r="U116" s="78" t="b">
        <v>0</v>
      </c>
      <c r="V116" s="30" t="b">
        <v>0</v>
      </c>
      <c r="W116" s="30" t="b">
        <v>0</v>
      </c>
      <c r="X116" s="30"/>
      <c r="Y116" s="30"/>
      <c r="Z116" s="30"/>
      <c r="AA116" s="30"/>
      <c r="AB116" s="30"/>
      <c r="AC116" s="50"/>
      <c r="AD116" s="30"/>
      <c r="AE116" s="12">
        <f t="shared" si="5"/>
        <v>0</v>
      </c>
      <c r="AF116" s="70">
        <f t="shared" si="6"/>
        <v>0</v>
      </c>
      <c r="AG116" s="76"/>
      <c r="AH116" s="76"/>
      <c r="AI116" s="76"/>
      <c r="AJ116" s="76"/>
      <c r="AK116" s="76"/>
      <c r="AL116" s="30"/>
      <c r="AM116" s="79"/>
      <c r="AN116" s="79"/>
      <c r="AO116" s="79"/>
    </row>
    <row r="117" hidden="1">
      <c r="A117" s="12" t="s">
        <v>74</v>
      </c>
      <c r="B117" s="64"/>
      <c r="C117" s="12" t="s">
        <v>248</v>
      </c>
      <c r="D117" s="12" t="str">
        <f>vlookup(C117,'List of Chargers'!$A$2:$B$5,2,FALSE)</f>
        <v>Roam Hub</v>
      </c>
      <c r="E117" s="12" t="s">
        <v>73</v>
      </c>
      <c r="F117" s="12" t="s">
        <v>75</v>
      </c>
      <c r="G117" s="12">
        <v>115.0</v>
      </c>
      <c r="H117" s="13" t="str">
        <f t="shared" si="1"/>
        <v>#RH-KE-A-115</v>
      </c>
      <c r="I117" s="13" t="str">
        <f t="shared" si="2"/>
        <v>FO-NBI-00#RH-KE-A-115</v>
      </c>
      <c r="J117" s="25"/>
      <c r="K117" s="66"/>
      <c r="L117" s="31"/>
      <c r="M117" s="31"/>
      <c r="N117" s="26" t="str">
        <f t="shared" si="3"/>
        <v>Roam Hub - </v>
      </c>
      <c r="O117" s="26" t="str">
        <f t="shared" si="4"/>
        <v>FO-NBI-00#RH-KE-A-115: Roam Hub - </v>
      </c>
      <c r="R117" s="53"/>
      <c r="S117" s="78" t="b">
        <v>0</v>
      </c>
      <c r="T117" s="78" t="b">
        <v>0</v>
      </c>
      <c r="U117" s="78" t="b">
        <v>0</v>
      </c>
      <c r="V117" s="30" t="b">
        <v>0</v>
      </c>
      <c r="W117" s="30" t="b">
        <v>0</v>
      </c>
      <c r="X117" s="30"/>
      <c r="Y117" s="30"/>
      <c r="Z117" s="30"/>
      <c r="AA117" s="30"/>
      <c r="AB117" s="30"/>
      <c r="AC117" s="50"/>
      <c r="AD117" s="30"/>
      <c r="AE117" s="12">
        <f t="shared" si="5"/>
        <v>0</v>
      </c>
      <c r="AF117" s="70">
        <f t="shared" si="6"/>
        <v>0</v>
      </c>
      <c r="AG117" s="76"/>
      <c r="AH117" s="76"/>
      <c r="AI117" s="76"/>
      <c r="AJ117" s="76"/>
      <c r="AK117" s="76"/>
      <c r="AL117" s="30"/>
      <c r="AM117" s="79"/>
      <c r="AN117" s="79"/>
      <c r="AO117" s="79"/>
    </row>
    <row r="118" hidden="1">
      <c r="A118" s="12" t="s">
        <v>74</v>
      </c>
      <c r="B118" s="64"/>
      <c r="C118" s="12" t="s">
        <v>248</v>
      </c>
      <c r="D118" s="12" t="str">
        <f>vlookup(C118,'List of Chargers'!$A$2:$B$5,2,FALSE)</f>
        <v>Roam Hub</v>
      </c>
      <c r="E118" s="12" t="s">
        <v>73</v>
      </c>
      <c r="F118" s="12" t="s">
        <v>75</v>
      </c>
      <c r="G118" s="12">
        <v>116.0</v>
      </c>
      <c r="H118" s="13" t="str">
        <f t="shared" si="1"/>
        <v>#RH-KE-A-116</v>
      </c>
      <c r="I118" s="13" t="str">
        <f t="shared" si="2"/>
        <v>FO-NBI-00#RH-KE-A-116</v>
      </c>
      <c r="J118" s="25"/>
      <c r="K118" s="66"/>
      <c r="L118" s="31"/>
      <c r="M118" s="31"/>
      <c r="N118" s="26" t="str">
        <f t="shared" si="3"/>
        <v>Roam Hub - </v>
      </c>
      <c r="O118" s="26" t="str">
        <f t="shared" si="4"/>
        <v>FO-NBI-00#RH-KE-A-116: Roam Hub - </v>
      </c>
      <c r="R118" s="53"/>
      <c r="S118" s="78" t="b">
        <v>0</v>
      </c>
      <c r="T118" s="78" t="b">
        <v>0</v>
      </c>
      <c r="U118" s="78" t="b">
        <v>0</v>
      </c>
      <c r="V118" s="30" t="b">
        <v>0</v>
      </c>
      <c r="W118" s="30" t="b">
        <v>0</v>
      </c>
      <c r="X118" s="30"/>
      <c r="Y118" s="30"/>
      <c r="Z118" s="30"/>
      <c r="AA118" s="30"/>
      <c r="AB118" s="30"/>
      <c r="AC118" s="50"/>
      <c r="AD118" s="30"/>
      <c r="AE118" s="12">
        <f t="shared" si="5"/>
        <v>0</v>
      </c>
      <c r="AF118" s="70">
        <f t="shared" si="6"/>
        <v>0</v>
      </c>
      <c r="AG118" s="76"/>
      <c r="AH118" s="76"/>
      <c r="AI118" s="76"/>
      <c r="AJ118" s="76"/>
      <c r="AK118" s="76"/>
      <c r="AL118" s="30"/>
      <c r="AM118" s="79"/>
      <c r="AN118" s="79"/>
      <c r="AO118" s="79"/>
    </row>
    <row r="119" hidden="1">
      <c r="A119" s="12" t="s">
        <v>74</v>
      </c>
      <c r="B119" s="64"/>
      <c r="C119" s="12" t="s">
        <v>248</v>
      </c>
      <c r="D119" s="12" t="str">
        <f>vlookup(C119,'List of Chargers'!$A$2:$B$5,2,FALSE)</f>
        <v>Roam Hub</v>
      </c>
      <c r="E119" s="12" t="s">
        <v>73</v>
      </c>
      <c r="F119" s="12" t="s">
        <v>75</v>
      </c>
      <c r="G119" s="12">
        <v>117.0</v>
      </c>
      <c r="H119" s="13" t="str">
        <f t="shared" si="1"/>
        <v>#RH-KE-A-117</v>
      </c>
      <c r="I119" s="13" t="str">
        <f t="shared" si="2"/>
        <v>FO-NBI-00#RH-KE-A-117</v>
      </c>
      <c r="J119" s="25"/>
      <c r="K119" s="66"/>
      <c r="L119" s="31"/>
      <c r="M119" s="31"/>
      <c r="N119" s="26" t="str">
        <f t="shared" si="3"/>
        <v>Roam Hub - </v>
      </c>
      <c r="O119" s="26" t="str">
        <f t="shared" si="4"/>
        <v>FO-NBI-00#RH-KE-A-117: Roam Hub - </v>
      </c>
      <c r="R119" s="53"/>
      <c r="S119" s="78" t="b">
        <v>0</v>
      </c>
      <c r="T119" s="78" t="b">
        <v>0</v>
      </c>
      <c r="U119" s="78" t="b">
        <v>0</v>
      </c>
      <c r="V119" s="30" t="b">
        <v>0</v>
      </c>
      <c r="W119" s="30" t="b">
        <v>0</v>
      </c>
      <c r="X119" s="30"/>
      <c r="Y119" s="30"/>
      <c r="Z119" s="30"/>
      <c r="AA119" s="30"/>
      <c r="AB119" s="30"/>
      <c r="AC119" s="50"/>
      <c r="AD119" s="30"/>
      <c r="AE119" s="12">
        <f t="shared" si="5"/>
        <v>0</v>
      </c>
      <c r="AF119" s="70">
        <f t="shared" si="6"/>
        <v>0</v>
      </c>
      <c r="AG119" s="76"/>
      <c r="AH119" s="76"/>
      <c r="AI119" s="76"/>
      <c r="AJ119" s="76"/>
      <c r="AK119" s="76"/>
      <c r="AL119" s="30"/>
      <c r="AM119" s="79"/>
      <c r="AN119" s="79"/>
      <c r="AO119" s="79"/>
    </row>
    <row r="120" hidden="1">
      <c r="A120" s="12" t="s">
        <v>74</v>
      </c>
      <c r="B120" s="64"/>
      <c r="C120" s="12" t="s">
        <v>248</v>
      </c>
      <c r="D120" s="12" t="str">
        <f>vlookup(C120,'List of Chargers'!$A$2:$B$5,2,FALSE)</f>
        <v>Roam Hub</v>
      </c>
      <c r="E120" s="12" t="s">
        <v>73</v>
      </c>
      <c r="F120" s="12" t="s">
        <v>75</v>
      </c>
      <c r="G120" s="12">
        <v>118.0</v>
      </c>
      <c r="H120" s="13" t="str">
        <f t="shared" si="1"/>
        <v>#RH-KE-A-118</v>
      </c>
      <c r="I120" s="13" t="str">
        <f t="shared" si="2"/>
        <v>FO-NBI-00#RH-KE-A-118</v>
      </c>
      <c r="J120" s="25"/>
      <c r="K120" s="66"/>
      <c r="L120" s="31"/>
      <c r="M120" s="31"/>
      <c r="N120" s="26" t="str">
        <f t="shared" si="3"/>
        <v>Roam Hub - </v>
      </c>
      <c r="O120" s="26" t="str">
        <f t="shared" si="4"/>
        <v>FO-NBI-00#RH-KE-A-118: Roam Hub - </v>
      </c>
      <c r="R120" s="53"/>
      <c r="S120" s="78" t="b">
        <v>0</v>
      </c>
      <c r="T120" s="78" t="b">
        <v>0</v>
      </c>
      <c r="U120" s="78" t="b">
        <v>0</v>
      </c>
      <c r="V120" s="30" t="b">
        <v>0</v>
      </c>
      <c r="W120" s="30" t="b">
        <v>0</v>
      </c>
      <c r="X120" s="30"/>
      <c r="Y120" s="30"/>
      <c r="Z120" s="30"/>
      <c r="AA120" s="30"/>
      <c r="AB120" s="30"/>
      <c r="AC120" s="50"/>
      <c r="AD120" s="30"/>
      <c r="AE120" s="12">
        <f t="shared" si="5"/>
        <v>0</v>
      </c>
      <c r="AF120" s="70">
        <f t="shared" si="6"/>
        <v>0</v>
      </c>
      <c r="AG120" s="76"/>
      <c r="AH120" s="76"/>
      <c r="AI120" s="76"/>
      <c r="AJ120" s="76"/>
      <c r="AK120" s="76"/>
      <c r="AL120" s="30"/>
      <c r="AM120" s="79"/>
      <c r="AN120" s="79"/>
      <c r="AO120" s="79"/>
    </row>
    <row r="121" hidden="1">
      <c r="A121" s="12" t="s">
        <v>74</v>
      </c>
      <c r="B121" s="64"/>
      <c r="C121" s="12" t="s">
        <v>248</v>
      </c>
      <c r="D121" s="12" t="str">
        <f>vlookup(C121,'List of Chargers'!$A$2:$B$5,2,FALSE)</f>
        <v>Roam Hub</v>
      </c>
      <c r="E121" s="12" t="s">
        <v>73</v>
      </c>
      <c r="F121" s="12" t="s">
        <v>75</v>
      </c>
      <c r="G121" s="12">
        <v>119.0</v>
      </c>
      <c r="H121" s="13" t="str">
        <f t="shared" si="1"/>
        <v>#RH-KE-A-119</v>
      </c>
      <c r="I121" s="13" t="str">
        <f t="shared" si="2"/>
        <v>FO-NBI-00#RH-KE-A-119</v>
      </c>
      <c r="J121" s="25"/>
      <c r="K121" s="66"/>
      <c r="L121" s="31"/>
      <c r="M121" s="31"/>
      <c r="N121" s="26" t="str">
        <f t="shared" si="3"/>
        <v>Roam Hub - </v>
      </c>
      <c r="O121" s="26" t="str">
        <f t="shared" si="4"/>
        <v>FO-NBI-00#RH-KE-A-119: Roam Hub - </v>
      </c>
      <c r="R121" s="53"/>
      <c r="S121" s="78" t="b">
        <v>0</v>
      </c>
      <c r="T121" s="78" t="b">
        <v>0</v>
      </c>
      <c r="U121" s="78" t="b">
        <v>0</v>
      </c>
      <c r="V121" s="30" t="b">
        <v>0</v>
      </c>
      <c r="W121" s="30" t="b">
        <v>0</v>
      </c>
      <c r="X121" s="30"/>
      <c r="Y121" s="30"/>
      <c r="Z121" s="30"/>
      <c r="AA121" s="30"/>
      <c r="AB121" s="30"/>
      <c r="AC121" s="50"/>
      <c r="AD121" s="30"/>
      <c r="AE121" s="12">
        <f t="shared" si="5"/>
        <v>0</v>
      </c>
      <c r="AF121" s="70">
        <f t="shared" si="6"/>
        <v>0</v>
      </c>
      <c r="AG121" s="76"/>
      <c r="AH121" s="76"/>
      <c r="AI121" s="76"/>
      <c r="AJ121" s="76"/>
      <c r="AK121" s="76"/>
      <c r="AL121" s="30"/>
      <c r="AM121" s="79"/>
      <c r="AN121" s="79"/>
      <c r="AO121" s="79"/>
    </row>
    <row r="122" hidden="1">
      <c r="A122" s="12" t="s">
        <v>74</v>
      </c>
      <c r="B122" s="64"/>
      <c r="C122" s="12" t="s">
        <v>248</v>
      </c>
      <c r="D122" s="12" t="str">
        <f>vlookup(C122,'List of Chargers'!$A$2:$B$5,2,FALSE)</f>
        <v>Roam Hub</v>
      </c>
      <c r="E122" s="12" t="s">
        <v>73</v>
      </c>
      <c r="F122" s="12" t="s">
        <v>75</v>
      </c>
      <c r="G122" s="12">
        <v>120.0</v>
      </c>
      <c r="H122" s="13" t="str">
        <f t="shared" si="1"/>
        <v>#RH-KE-A-120</v>
      </c>
      <c r="I122" s="13" t="str">
        <f t="shared" si="2"/>
        <v>FO-NBI-00#RH-KE-A-120</v>
      </c>
      <c r="J122" s="25"/>
      <c r="K122" s="66"/>
      <c r="L122" s="31"/>
      <c r="M122" s="31"/>
      <c r="N122" s="26" t="str">
        <f t="shared" si="3"/>
        <v>Roam Hub - </v>
      </c>
      <c r="O122" s="26" t="str">
        <f t="shared" si="4"/>
        <v>FO-NBI-00#RH-KE-A-120: Roam Hub - </v>
      </c>
      <c r="R122" s="53"/>
      <c r="S122" s="78" t="b">
        <v>0</v>
      </c>
      <c r="T122" s="78" t="b">
        <v>0</v>
      </c>
      <c r="U122" s="78" t="b">
        <v>0</v>
      </c>
      <c r="V122" s="30" t="b">
        <v>0</v>
      </c>
      <c r="W122" s="30" t="b">
        <v>0</v>
      </c>
      <c r="X122" s="30"/>
      <c r="Y122" s="30"/>
      <c r="Z122" s="30"/>
      <c r="AA122" s="30"/>
      <c r="AB122" s="30"/>
      <c r="AC122" s="50"/>
      <c r="AD122" s="30"/>
      <c r="AE122" s="12">
        <f t="shared" si="5"/>
        <v>0</v>
      </c>
      <c r="AF122" s="70">
        <f t="shared" si="6"/>
        <v>0</v>
      </c>
      <c r="AG122" s="76"/>
      <c r="AH122" s="76"/>
      <c r="AI122" s="76"/>
      <c r="AJ122" s="76"/>
      <c r="AK122" s="76"/>
      <c r="AL122" s="30"/>
      <c r="AM122" s="79"/>
      <c r="AN122" s="79"/>
      <c r="AO122" s="79"/>
    </row>
    <row r="123" hidden="1">
      <c r="A123" s="12" t="s">
        <v>74</v>
      </c>
      <c r="B123" s="64"/>
      <c r="C123" s="12" t="s">
        <v>248</v>
      </c>
      <c r="D123" s="12" t="str">
        <f>vlookup(C123,'List of Chargers'!$A$2:$B$5,2,FALSE)</f>
        <v>Roam Hub</v>
      </c>
      <c r="E123" s="12" t="s">
        <v>73</v>
      </c>
      <c r="F123" s="12" t="s">
        <v>75</v>
      </c>
      <c r="G123" s="12">
        <v>121.0</v>
      </c>
      <c r="H123" s="13" t="str">
        <f t="shared" si="1"/>
        <v>#RH-KE-A-121</v>
      </c>
      <c r="I123" s="13" t="str">
        <f t="shared" si="2"/>
        <v>FO-NBI-00#RH-KE-A-121</v>
      </c>
      <c r="J123" s="25"/>
      <c r="K123" s="66"/>
      <c r="L123" s="31"/>
      <c r="M123" s="31"/>
      <c r="N123" s="26" t="str">
        <f t="shared" si="3"/>
        <v>Roam Hub - </v>
      </c>
      <c r="O123" s="26" t="str">
        <f t="shared" si="4"/>
        <v>FO-NBI-00#RH-KE-A-121: Roam Hub - </v>
      </c>
      <c r="R123" s="53"/>
      <c r="S123" s="78" t="b">
        <v>0</v>
      </c>
      <c r="T123" s="78" t="b">
        <v>0</v>
      </c>
      <c r="U123" s="78" t="b">
        <v>0</v>
      </c>
      <c r="V123" s="30" t="b">
        <v>0</v>
      </c>
      <c r="W123" s="30" t="b">
        <v>0</v>
      </c>
      <c r="X123" s="30"/>
      <c r="Y123" s="30"/>
      <c r="Z123" s="30"/>
      <c r="AA123" s="30"/>
      <c r="AB123" s="30"/>
      <c r="AC123" s="50"/>
      <c r="AD123" s="30"/>
      <c r="AE123" s="12">
        <f t="shared" si="5"/>
        <v>0</v>
      </c>
      <c r="AF123" s="70">
        <f t="shared" si="6"/>
        <v>0</v>
      </c>
      <c r="AG123" s="76"/>
      <c r="AH123" s="76"/>
      <c r="AI123" s="76"/>
      <c r="AJ123" s="76"/>
      <c r="AK123" s="76"/>
      <c r="AL123" s="30"/>
      <c r="AM123" s="79"/>
      <c r="AN123" s="79"/>
      <c r="AO123" s="79"/>
    </row>
    <row r="124" hidden="1">
      <c r="A124" s="12" t="s">
        <v>74</v>
      </c>
      <c r="B124" s="64"/>
      <c r="C124" s="12" t="s">
        <v>248</v>
      </c>
      <c r="D124" s="12" t="str">
        <f>vlookup(C124,'List of Chargers'!$A$2:$B$5,2,FALSE)</f>
        <v>Roam Hub</v>
      </c>
      <c r="E124" s="12" t="s">
        <v>73</v>
      </c>
      <c r="F124" s="12" t="s">
        <v>75</v>
      </c>
      <c r="G124" s="12">
        <v>122.0</v>
      </c>
      <c r="H124" s="13" t="str">
        <f t="shared" si="1"/>
        <v>#RH-KE-A-122</v>
      </c>
      <c r="I124" s="13" t="str">
        <f t="shared" si="2"/>
        <v>FO-NBI-00#RH-KE-A-122</v>
      </c>
      <c r="J124" s="25"/>
      <c r="K124" s="66"/>
      <c r="L124" s="31"/>
      <c r="M124" s="31"/>
      <c r="N124" s="26" t="str">
        <f t="shared" si="3"/>
        <v>Roam Hub - </v>
      </c>
      <c r="O124" s="26" t="str">
        <f t="shared" si="4"/>
        <v>FO-NBI-00#RH-KE-A-122: Roam Hub - </v>
      </c>
      <c r="R124" s="53"/>
      <c r="S124" s="78" t="b">
        <v>0</v>
      </c>
      <c r="T124" s="78" t="b">
        <v>0</v>
      </c>
      <c r="U124" s="78" t="b">
        <v>0</v>
      </c>
      <c r="V124" s="30" t="b">
        <v>0</v>
      </c>
      <c r="W124" s="30" t="b">
        <v>0</v>
      </c>
      <c r="X124" s="30"/>
      <c r="Y124" s="30"/>
      <c r="Z124" s="30"/>
      <c r="AA124" s="30"/>
      <c r="AB124" s="30"/>
      <c r="AC124" s="50"/>
      <c r="AD124" s="30"/>
      <c r="AE124" s="12">
        <f t="shared" si="5"/>
        <v>0</v>
      </c>
      <c r="AF124" s="70">
        <f t="shared" si="6"/>
        <v>0</v>
      </c>
      <c r="AG124" s="76"/>
      <c r="AH124" s="76"/>
      <c r="AI124" s="76"/>
      <c r="AJ124" s="76"/>
      <c r="AK124" s="76"/>
      <c r="AL124" s="30"/>
      <c r="AM124" s="79"/>
      <c r="AN124" s="79"/>
      <c r="AO124" s="79"/>
    </row>
    <row r="125" hidden="1">
      <c r="A125" s="12" t="s">
        <v>74</v>
      </c>
      <c r="B125" s="64"/>
      <c r="C125" s="12" t="s">
        <v>248</v>
      </c>
      <c r="D125" s="12" t="str">
        <f>vlookup(C125,'List of Chargers'!$A$2:$B$5,2,FALSE)</f>
        <v>Roam Hub</v>
      </c>
      <c r="E125" s="12" t="s">
        <v>73</v>
      </c>
      <c r="F125" s="12" t="s">
        <v>75</v>
      </c>
      <c r="G125" s="12">
        <v>123.0</v>
      </c>
      <c r="H125" s="13" t="str">
        <f t="shared" si="1"/>
        <v>#RH-KE-A-123</v>
      </c>
      <c r="I125" s="13" t="str">
        <f t="shared" si="2"/>
        <v>FO-NBI-00#RH-KE-A-123</v>
      </c>
      <c r="J125" s="25"/>
      <c r="K125" s="66"/>
      <c r="L125" s="31"/>
      <c r="M125" s="31"/>
      <c r="N125" s="26" t="str">
        <f t="shared" si="3"/>
        <v>Roam Hub - </v>
      </c>
      <c r="O125" s="26" t="str">
        <f t="shared" si="4"/>
        <v>FO-NBI-00#RH-KE-A-123: Roam Hub - </v>
      </c>
      <c r="R125" s="53"/>
      <c r="S125" s="78" t="b">
        <v>0</v>
      </c>
      <c r="T125" s="78" t="b">
        <v>0</v>
      </c>
      <c r="U125" s="78" t="b">
        <v>0</v>
      </c>
      <c r="V125" s="30" t="b">
        <v>0</v>
      </c>
      <c r="W125" s="30" t="b">
        <v>0</v>
      </c>
      <c r="X125" s="30"/>
      <c r="Y125" s="30"/>
      <c r="Z125" s="30"/>
      <c r="AA125" s="30"/>
      <c r="AB125" s="30"/>
      <c r="AC125" s="50"/>
      <c r="AD125" s="30"/>
      <c r="AE125" s="12">
        <f t="shared" si="5"/>
        <v>0</v>
      </c>
      <c r="AF125" s="70">
        <f t="shared" si="6"/>
        <v>0</v>
      </c>
      <c r="AG125" s="76"/>
      <c r="AH125" s="76"/>
      <c r="AI125" s="76"/>
      <c r="AJ125" s="76"/>
      <c r="AK125" s="76"/>
      <c r="AL125" s="30"/>
      <c r="AM125" s="79"/>
      <c r="AN125" s="79"/>
      <c r="AO125" s="79"/>
    </row>
    <row r="126" hidden="1">
      <c r="A126" s="12" t="s">
        <v>74</v>
      </c>
      <c r="B126" s="64"/>
      <c r="C126" s="12" t="s">
        <v>248</v>
      </c>
      <c r="D126" s="12" t="str">
        <f>vlookup(C126,'List of Chargers'!$A$2:$B$5,2,FALSE)</f>
        <v>Roam Hub</v>
      </c>
      <c r="E126" s="12" t="s">
        <v>73</v>
      </c>
      <c r="F126" s="12" t="s">
        <v>75</v>
      </c>
      <c r="G126" s="12">
        <v>124.0</v>
      </c>
      <c r="H126" s="13" t="str">
        <f t="shared" si="1"/>
        <v>#RH-KE-A-124</v>
      </c>
      <c r="I126" s="13" t="str">
        <f t="shared" si="2"/>
        <v>FO-NBI-00#RH-KE-A-124</v>
      </c>
      <c r="J126" s="25"/>
      <c r="K126" s="66"/>
      <c r="L126" s="31"/>
      <c r="M126" s="31"/>
      <c r="N126" s="26" t="str">
        <f t="shared" si="3"/>
        <v>Roam Hub - </v>
      </c>
      <c r="O126" s="26" t="str">
        <f t="shared" si="4"/>
        <v>FO-NBI-00#RH-KE-A-124: Roam Hub - </v>
      </c>
      <c r="R126" s="53"/>
      <c r="S126" s="78" t="b">
        <v>0</v>
      </c>
      <c r="T126" s="78" t="b">
        <v>0</v>
      </c>
      <c r="U126" s="78" t="b">
        <v>0</v>
      </c>
      <c r="V126" s="30" t="b">
        <v>0</v>
      </c>
      <c r="W126" s="30" t="b">
        <v>0</v>
      </c>
      <c r="X126" s="30"/>
      <c r="Y126" s="30"/>
      <c r="Z126" s="30"/>
      <c r="AA126" s="30"/>
      <c r="AB126" s="30"/>
      <c r="AC126" s="50"/>
      <c r="AD126" s="30"/>
      <c r="AE126" s="12">
        <f t="shared" si="5"/>
        <v>0</v>
      </c>
      <c r="AF126" s="70">
        <f t="shared" si="6"/>
        <v>0</v>
      </c>
      <c r="AG126" s="76"/>
      <c r="AH126" s="76"/>
      <c r="AI126" s="76"/>
      <c r="AJ126" s="76"/>
      <c r="AK126" s="76"/>
      <c r="AL126" s="30"/>
      <c r="AM126" s="79"/>
      <c r="AN126" s="79"/>
      <c r="AO126" s="79"/>
    </row>
    <row r="127" hidden="1">
      <c r="A127" s="12" t="s">
        <v>74</v>
      </c>
      <c r="B127" s="64"/>
      <c r="C127" s="12" t="s">
        <v>248</v>
      </c>
      <c r="D127" s="12" t="str">
        <f>vlookup(C127,'List of Chargers'!$A$2:$B$5,2,FALSE)</f>
        <v>Roam Hub</v>
      </c>
      <c r="E127" s="12" t="s">
        <v>73</v>
      </c>
      <c r="F127" s="12" t="s">
        <v>75</v>
      </c>
      <c r="G127" s="12">
        <v>125.0</v>
      </c>
      <c r="H127" s="13" t="str">
        <f t="shared" si="1"/>
        <v>#RH-KE-A-125</v>
      </c>
      <c r="I127" s="13" t="str">
        <f t="shared" si="2"/>
        <v>FO-NBI-00#RH-KE-A-125</v>
      </c>
      <c r="J127" s="25"/>
      <c r="K127" s="66"/>
      <c r="L127" s="31"/>
      <c r="M127" s="31"/>
      <c r="N127" s="26" t="str">
        <f t="shared" si="3"/>
        <v>Roam Hub - </v>
      </c>
      <c r="O127" s="26" t="str">
        <f t="shared" si="4"/>
        <v>FO-NBI-00#RH-KE-A-125: Roam Hub - </v>
      </c>
      <c r="R127" s="53"/>
      <c r="S127" s="78" t="b">
        <v>0</v>
      </c>
      <c r="T127" s="78" t="b">
        <v>0</v>
      </c>
      <c r="U127" s="78" t="b">
        <v>0</v>
      </c>
      <c r="V127" s="30" t="b">
        <v>0</v>
      </c>
      <c r="W127" s="30" t="b">
        <v>0</v>
      </c>
      <c r="X127" s="30"/>
      <c r="Y127" s="30"/>
      <c r="Z127" s="30"/>
      <c r="AA127" s="30"/>
      <c r="AB127" s="30"/>
      <c r="AC127" s="50"/>
      <c r="AD127" s="30"/>
      <c r="AE127" s="12">
        <f t="shared" si="5"/>
        <v>0</v>
      </c>
      <c r="AF127" s="70">
        <f t="shared" si="6"/>
        <v>0</v>
      </c>
      <c r="AG127" s="76"/>
      <c r="AH127" s="76"/>
      <c r="AI127" s="76"/>
      <c r="AJ127" s="76"/>
      <c r="AK127" s="76"/>
      <c r="AL127" s="30"/>
      <c r="AM127" s="79"/>
      <c r="AN127" s="79"/>
      <c r="AO127" s="79"/>
    </row>
    <row r="128" hidden="1">
      <c r="A128" s="12" t="s">
        <v>74</v>
      </c>
      <c r="B128" s="64"/>
      <c r="C128" s="12" t="s">
        <v>248</v>
      </c>
      <c r="D128" s="12" t="str">
        <f>vlookup(C128,'List of Chargers'!$A$2:$B$5,2,FALSE)</f>
        <v>Roam Hub</v>
      </c>
      <c r="E128" s="12" t="s">
        <v>73</v>
      </c>
      <c r="F128" s="12" t="s">
        <v>75</v>
      </c>
      <c r="G128" s="12">
        <v>126.0</v>
      </c>
      <c r="H128" s="13" t="str">
        <f t="shared" si="1"/>
        <v>#RH-KE-A-126</v>
      </c>
      <c r="I128" s="13" t="str">
        <f t="shared" si="2"/>
        <v>FO-NBI-00#RH-KE-A-126</v>
      </c>
      <c r="J128" s="25"/>
      <c r="K128" s="66"/>
      <c r="L128" s="31"/>
      <c r="M128" s="31"/>
      <c r="N128" s="26" t="str">
        <f t="shared" si="3"/>
        <v>Roam Hub - </v>
      </c>
      <c r="O128" s="26" t="str">
        <f t="shared" si="4"/>
        <v>FO-NBI-00#RH-KE-A-126: Roam Hub - </v>
      </c>
      <c r="R128" s="53"/>
      <c r="S128" s="78" t="b">
        <v>0</v>
      </c>
      <c r="T128" s="78" t="b">
        <v>0</v>
      </c>
      <c r="U128" s="78" t="b">
        <v>0</v>
      </c>
      <c r="V128" s="30" t="b">
        <v>0</v>
      </c>
      <c r="W128" s="30" t="b">
        <v>0</v>
      </c>
      <c r="X128" s="30"/>
      <c r="Y128" s="30"/>
      <c r="Z128" s="30"/>
      <c r="AA128" s="30"/>
      <c r="AB128" s="30"/>
      <c r="AC128" s="50"/>
      <c r="AD128" s="30"/>
      <c r="AE128" s="12">
        <f t="shared" si="5"/>
        <v>0</v>
      </c>
      <c r="AF128" s="70">
        <f t="shared" si="6"/>
        <v>0</v>
      </c>
      <c r="AG128" s="76"/>
      <c r="AH128" s="76"/>
      <c r="AI128" s="76"/>
      <c r="AJ128" s="76"/>
      <c r="AK128" s="76"/>
      <c r="AL128" s="30"/>
      <c r="AM128" s="79"/>
      <c r="AN128" s="79"/>
      <c r="AO128" s="79"/>
    </row>
    <row r="129" hidden="1">
      <c r="A129" s="12" t="s">
        <v>74</v>
      </c>
      <c r="B129" s="64"/>
      <c r="C129" s="12" t="s">
        <v>248</v>
      </c>
      <c r="D129" s="12" t="str">
        <f>vlookup(C129,'List of Chargers'!$A$2:$B$5,2,FALSE)</f>
        <v>Roam Hub</v>
      </c>
      <c r="E129" s="12" t="s">
        <v>73</v>
      </c>
      <c r="F129" s="12" t="s">
        <v>75</v>
      </c>
      <c r="G129" s="12">
        <v>127.0</v>
      </c>
      <c r="H129" s="13" t="str">
        <f t="shared" si="1"/>
        <v>#RH-KE-A-127</v>
      </c>
      <c r="I129" s="13" t="str">
        <f t="shared" si="2"/>
        <v>FO-NBI-00#RH-KE-A-127</v>
      </c>
      <c r="J129" s="25"/>
      <c r="K129" s="66"/>
      <c r="L129" s="31"/>
      <c r="M129" s="31"/>
      <c r="N129" s="26" t="str">
        <f t="shared" si="3"/>
        <v>Roam Hub - </v>
      </c>
      <c r="O129" s="26" t="str">
        <f t="shared" si="4"/>
        <v>FO-NBI-00#RH-KE-A-127: Roam Hub - </v>
      </c>
      <c r="R129" s="53"/>
      <c r="S129" s="78" t="b">
        <v>0</v>
      </c>
      <c r="T129" s="78" t="b">
        <v>0</v>
      </c>
      <c r="U129" s="78" t="b">
        <v>0</v>
      </c>
      <c r="V129" s="30" t="b">
        <v>0</v>
      </c>
      <c r="W129" s="30" t="b">
        <v>0</v>
      </c>
      <c r="X129" s="30"/>
      <c r="Y129" s="30"/>
      <c r="Z129" s="30"/>
      <c r="AA129" s="30"/>
      <c r="AB129" s="30"/>
      <c r="AC129" s="50"/>
      <c r="AD129" s="30"/>
      <c r="AE129" s="12">
        <f t="shared" si="5"/>
        <v>0</v>
      </c>
      <c r="AF129" s="70">
        <f t="shared" si="6"/>
        <v>0</v>
      </c>
      <c r="AG129" s="76"/>
      <c r="AH129" s="76"/>
      <c r="AI129" s="76"/>
      <c r="AJ129" s="76"/>
      <c r="AK129" s="76"/>
      <c r="AL129" s="30"/>
      <c r="AM129" s="79"/>
      <c r="AN129" s="79"/>
      <c r="AO129" s="79"/>
    </row>
    <row r="130" hidden="1">
      <c r="A130" s="12" t="s">
        <v>74</v>
      </c>
      <c r="B130" s="64"/>
      <c r="C130" s="12" t="s">
        <v>248</v>
      </c>
      <c r="D130" s="12" t="str">
        <f>vlookup(C130,'List of Chargers'!$A$2:$B$5,2,FALSE)</f>
        <v>Roam Hub</v>
      </c>
      <c r="E130" s="12" t="s">
        <v>73</v>
      </c>
      <c r="F130" s="12" t="s">
        <v>75</v>
      </c>
      <c r="G130" s="12">
        <v>128.0</v>
      </c>
      <c r="H130" s="13" t="str">
        <f t="shared" si="1"/>
        <v>#RH-KE-A-128</v>
      </c>
      <c r="I130" s="13" t="str">
        <f t="shared" si="2"/>
        <v>FO-NBI-00#RH-KE-A-128</v>
      </c>
      <c r="J130" s="25"/>
      <c r="K130" s="66"/>
      <c r="L130" s="31"/>
      <c r="M130" s="31"/>
      <c r="N130" s="26" t="str">
        <f t="shared" si="3"/>
        <v>Roam Hub - </v>
      </c>
      <c r="O130" s="26" t="str">
        <f t="shared" si="4"/>
        <v>FO-NBI-00#RH-KE-A-128: Roam Hub - </v>
      </c>
      <c r="R130" s="53"/>
      <c r="S130" s="78" t="b">
        <v>0</v>
      </c>
      <c r="T130" s="78" t="b">
        <v>0</v>
      </c>
      <c r="U130" s="78" t="b">
        <v>0</v>
      </c>
      <c r="V130" s="30" t="b">
        <v>0</v>
      </c>
      <c r="W130" s="30" t="b">
        <v>0</v>
      </c>
      <c r="X130" s="30"/>
      <c r="Y130" s="30"/>
      <c r="Z130" s="30"/>
      <c r="AA130" s="30"/>
      <c r="AB130" s="30"/>
      <c r="AC130" s="50"/>
      <c r="AD130" s="30"/>
      <c r="AE130" s="12">
        <f t="shared" si="5"/>
        <v>0</v>
      </c>
      <c r="AF130" s="70">
        <f t="shared" si="6"/>
        <v>0</v>
      </c>
      <c r="AG130" s="76"/>
      <c r="AH130" s="76"/>
      <c r="AI130" s="76"/>
      <c r="AJ130" s="76"/>
      <c r="AK130" s="76"/>
      <c r="AL130" s="30"/>
      <c r="AM130" s="79"/>
      <c r="AN130" s="79"/>
      <c r="AO130" s="79"/>
    </row>
    <row r="131" hidden="1">
      <c r="A131" s="12" t="s">
        <v>74</v>
      </c>
      <c r="B131" s="64"/>
      <c r="C131" s="12" t="s">
        <v>248</v>
      </c>
      <c r="D131" s="12" t="str">
        <f>vlookup(C131,'List of Chargers'!$A$2:$B$5,2,FALSE)</f>
        <v>Roam Hub</v>
      </c>
      <c r="E131" s="12" t="s">
        <v>73</v>
      </c>
      <c r="F131" s="12" t="s">
        <v>75</v>
      </c>
      <c r="G131" s="12">
        <v>129.0</v>
      </c>
      <c r="H131" s="13" t="str">
        <f t="shared" si="1"/>
        <v>#RH-KE-A-129</v>
      </c>
      <c r="I131" s="13" t="str">
        <f t="shared" si="2"/>
        <v>FO-NBI-00#RH-KE-A-129</v>
      </c>
      <c r="J131" s="25"/>
      <c r="K131" s="66"/>
      <c r="L131" s="31"/>
      <c r="M131" s="31"/>
      <c r="N131" s="26" t="str">
        <f t="shared" si="3"/>
        <v>Roam Hub - </v>
      </c>
      <c r="O131" s="26" t="str">
        <f t="shared" si="4"/>
        <v>FO-NBI-00#RH-KE-A-129: Roam Hub - </v>
      </c>
      <c r="R131" s="53"/>
      <c r="S131" s="78" t="b">
        <v>0</v>
      </c>
      <c r="T131" s="78" t="b">
        <v>0</v>
      </c>
      <c r="U131" s="78" t="b">
        <v>0</v>
      </c>
      <c r="V131" s="30" t="b">
        <v>0</v>
      </c>
      <c r="W131" s="30" t="b">
        <v>0</v>
      </c>
      <c r="X131" s="30"/>
      <c r="Y131" s="30"/>
      <c r="Z131" s="30"/>
      <c r="AA131" s="30"/>
      <c r="AB131" s="30"/>
      <c r="AC131" s="50"/>
      <c r="AD131" s="30"/>
      <c r="AE131" s="12">
        <f t="shared" si="5"/>
        <v>0</v>
      </c>
      <c r="AF131" s="70">
        <f t="shared" si="6"/>
        <v>0</v>
      </c>
      <c r="AG131" s="76"/>
      <c r="AH131" s="76"/>
      <c r="AI131" s="76"/>
      <c r="AJ131" s="76"/>
      <c r="AK131" s="76"/>
      <c r="AL131" s="30"/>
      <c r="AM131" s="79"/>
      <c r="AN131" s="79"/>
      <c r="AO131" s="79"/>
    </row>
    <row r="132" hidden="1">
      <c r="A132" s="12" t="s">
        <v>74</v>
      </c>
      <c r="B132" s="64"/>
      <c r="C132" s="12" t="s">
        <v>248</v>
      </c>
      <c r="D132" s="12" t="str">
        <f>vlookup(C132,'List of Chargers'!$A$2:$B$5,2,FALSE)</f>
        <v>Roam Hub</v>
      </c>
      <c r="E132" s="12" t="s">
        <v>73</v>
      </c>
      <c r="F132" s="12" t="s">
        <v>75</v>
      </c>
      <c r="G132" s="12">
        <v>130.0</v>
      </c>
      <c r="H132" s="13" t="str">
        <f t="shared" si="1"/>
        <v>#RH-KE-A-130</v>
      </c>
      <c r="I132" s="13" t="str">
        <f t="shared" si="2"/>
        <v>FO-NBI-00#RH-KE-A-130</v>
      </c>
      <c r="J132" s="25"/>
      <c r="K132" s="66"/>
      <c r="L132" s="31"/>
      <c r="M132" s="31"/>
      <c r="N132" s="26" t="str">
        <f t="shared" si="3"/>
        <v>Roam Hub - </v>
      </c>
      <c r="O132" s="26" t="str">
        <f t="shared" si="4"/>
        <v>FO-NBI-00#RH-KE-A-130: Roam Hub - </v>
      </c>
      <c r="R132" s="53"/>
      <c r="S132" s="78" t="b">
        <v>0</v>
      </c>
      <c r="T132" s="78" t="b">
        <v>0</v>
      </c>
      <c r="U132" s="78" t="b">
        <v>0</v>
      </c>
      <c r="V132" s="30" t="b">
        <v>0</v>
      </c>
      <c r="W132" s="30" t="b">
        <v>0</v>
      </c>
      <c r="X132" s="30"/>
      <c r="Y132" s="30"/>
      <c r="Z132" s="30"/>
      <c r="AA132" s="30"/>
      <c r="AB132" s="30"/>
      <c r="AC132" s="50"/>
      <c r="AD132" s="30"/>
      <c r="AE132" s="12">
        <f t="shared" si="5"/>
        <v>0</v>
      </c>
      <c r="AF132" s="70">
        <f t="shared" si="6"/>
        <v>0</v>
      </c>
      <c r="AG132" s="76"/>
      <c r="AH132" s="76"/>
      <c r="AI132" s="76"/>
      <c r="AJ132" s="76"/>
      <c r="AK132" s="76"/>
      <c r="AL132" s="30"/>
      <c r="AM132" s="79"/>
      <c r="AN132" s="79"/>
      <c r="AO132" s="79"/>
    </row>
    <row r="133" hidden="1">
      <c r="A133" s="12" t="s">
        <v>74</v>
      </c>
      <c r="B133" s="64"/>
      <c r="C133" s="12" t="s">
        <v>248</v>
      </c>
      <c r="D133" s="12" t="str">
        <f>vlookup(C133,'List of Chargers'!$A$2:$B$5,2,FALSE)</f>
        <v>Roam Hub</v>
      </c>
      <c r="E133" s="12" t="s">
        <v>73</v>
      </c>
      <c r="F133" s="12" t="s">
        <v>75</v>
      </c>
      <c r="G133" s="12">
        <v>131.0</v>
      </c>
      <c r="H133" s="13" t="str">
        <f t="shared" si="1"/>
        <v>#RH-KE-A-131</v>
      </c>
      <c r="I133" s="13" t="str">
        <f t="shared" si="2"/>
        <v>FO-NBI-00#RH-KE-A-131</v>
      </c>
      <c r="J133" s="25"/>
      <c r="K133" s="66"/>
      <c r="L133" s="31"/>
      <c r="M133" s="31"/>
      <c r="N133" s="26" t="str">
        <f t="shared" si="3"/>
        <v>Roam Hub - </v>
      </c>
      <c r="O133" s="26" t="str">
        <f t="shared" si="4"/>
        <v>FO-NBI-00#RH-KE-A-131: Roam Hub - </v>
      </c>
      <c r="R133" s="53"/>
      <c r="S133" s="78" t="b">
        <v>0</v>
      </c>
      <c r="T133" s="78" t="b">
        <v>0</v>
      </c>
      <c r="U133" s="78" t="b">
        <v>0</v>
      </c>
      <c r="V133" s="30" t="b">
        <v>0</v>
      </c>
      <c r="W133" s="30" t="b">
        <v>0</v>
      </c>
      <c r="X133" s="30"/>
      <c r="Y133" s="30"/>
      <c r="Z133" s="30"/>
      <c r="AA133" s="30"/>
      <c r="AB133" s="30"/>
      <c r="AC133" s="50"/>
      <c r="AD133" s="30"/>
      <c r="AE133" s="12">
        <f t="shared" si="5"/>
        <v>0</v>
      </c>
      <c r="AF133" s="70">
        <f t="shared" si="6"/>
        <v>0</v>
      </c>
      <c r="AG133" s="76"/>
      <c r="AH133" s="76"/>
      <c r="AI133" s="76"/>
      <c r="AJ133" s="76"/>
      <c r="AK133" s="76"/>
      <c r="AL133" s="30"/>
      <c r="AM133" s="79"/>
      <c r="AN133" s="79"/>
      <c r="AO133" s="79"/>
    </row>
    <row r="134" hidden="1">
      <c r="A134" s="12" t="s">
        <v>74</v>
      </c>
      <c r="B134" s="64"/>
      <c r="C134" s="12" t="s">
        <v>248</v>
      </c>
      <c r="D134" s="12" t="str">
        <f>vlookup(C134,'List of Chargers'!$A$2:$B$5,2,FALSE)</f>
        <v>Roam Hub</v>
      </c>
      <c r="E134" s="12" t="s">
        <v>73</v>
      </c>
      <c r="F134" s="12" t="s">
        <v>75</v>
      </c>
      <c r="G134" s="12">
        <v>132.0</v>
      </c>
      <c r="H134" s="13" t="str">
        <f t="shared" si="1"/>
        <v>#RH-KE-A-132</v>
      </c>
      <c r="I134" s="13" t="str">
        <f t="shared" si="2"/>
        <v>FO-NBI-00#RH-KE-A-132</v>
      </c>
      <c r="J134" s="25"/>
      <c r="K134" s="66"/>
      <c r="L134" s="31"/>
      <c r="M134" s="31"/>
      <c r="N134" s="26" t="str">
        <f t="shared" si="3"/>
        <v>Roam Hub - </v>
      </c>
      <c r="O134" s="26" t="str">
        <f t="shared" si="4"/>
        <v>FO-NBI-00#RH-KE-A-132: Roam Hub - </v>
      </c>
      <c r="R134" s="53"/>
      <c r="S134" s="78" t="b">
        <v>0</v>
      </c>
      <c r="T134" s="78" t="b">
        <v>0</v>
      </c>
      <c r="U134" s="78" t="b">
        <v>0</v>
      </c>
      <c r="V134" s="30" t="b">
        <v>0</v>
      </c>
      <c r="W134" s="30" t="b">
        <v>0</v>
      </c>
      <c r="X134" s="30"/>
      <c r="Y134" s="30"/>
      <c r="Z134" s="30"/>
      <c r="AA134" s="30"/>
      <c r="AB134" s="30"/>
      <c r="AC134" s="50"/>
      <c r="AD134" s="30"/>
      <c r="AE134" s="12">
        <f t="shared" si="5"/>
        <v>0</v>
      </c>
      <c r="AF134" s="70">
        <f t="shared" si="6"/>
        <v>0</v>
      </c>
      <c r="AG134" s="76"/>
      <c r="AH134" s="76"/>
      <c r="AI134" s="76"/>
      <c r="AJ134" s="76"/>
      <c r="AK134" s="76"/>
      <c r="AL134" s="30"/>
      <c r="AM134" s="79"/>
      <c r="AN134" s="79"/>
      <c r="AO134" s="79"/>
    </row>
    <row r="135" hidden="1">
      <c r="A135" s="12" t="s">
        <v>74</v>
      </c>
      <c r="B135" s="64"/>
      <c r="C135" s="12" t="s">
        <v>248</v>
      </c>
      <c r="D135" s="12" t="str">
        <f>vlookup(C135,'List of Chargers'!$A$2:$B$5,2,FALSE)</f>
        <v>Roam Hub</v>
      </c>
      <c r="E135" s="12" t="s">
        <v>73</v>
      </c>
      <c r="F135" s="12" t="s">
        <v>75</v>
      </c>
      <c r="G135" s="12">
        <v>133.0</v>
      </c>
      <c r="H135" s="13" t="str">
        <f t="shared" si="1"/>
        <v>#RH-KE-A-133</v>
      </c>
      <c r="I135" s="13" t="str">
        <f t="shared" si="2"/>
        <v>FO-NBI-00#RH-KE-A-133</v>
      </c>
      <c r="J135" s="25"/>
      <c r="K135" s="66"/>
      <c r="L135" s="31"/>
      <c r="M135" s="31"/>
      <c r="N135" s="26" t="str">
        <f t="shared" si="3"/>
        <v>Roam Hub - </v>
      </c>
      <c r="O135" s="26" t="str">
        <f t="shared" si="4"/>
        <v>FO-NBI-00#RH-KE-A-133: Roam Hub - </v>
      </c>
      <c r="R135" s="53"/>
      <c r="S135" s="78" t="b">
        <v>0</v>
      </c>
      <c r="T135" s="78" t="b">
        <v>0</v>
      </c>
      <c r="U135" s="78" t="b">
        <v>0</v>
      </c>
      <c r="V135" s="30" t="b">
        <v>0</v>
      </c>
      <c r="W135" s="30" t="b">
        <v>0</v>
      </c>
      <c r="X135" s="30"/>
      <c r="Y135" s="30"/>
      <c r="Z135" s="30"/>
      <c r="AA135" s="30"/>
      <c r="AB135" s="30"/>
      <c r="AC135" s="50"/>
      <c r="AD135" s="30"/>
      <c r="AE135" s="12">
        <f t="shared" si="5"/>
        <v>0</v>
      </c>
      <c r="AF135" s="70">
        <f t="shared" si="6"/>
        <v>0</v>
      </c>
      <c r="AG135" s="76"/>
      <c r="AH135" s="76"/>
      <c r="AI135" s="76"/>
      <c r="AJ135" s="76"/>
      <c r="AK135" s="76"/>
      <c r="AL135" s="30"/>
      <c r="AM135" s="79"/>
      <c r="AN135" s="79"/>
      <c r="AO135" s="79"/>
    </row>
    <row r="136" hidden="1">
      <c r="A136" s="12" t="s">
        <v>74</v>
      </c>
      <c r="B136" s="64"/>
      <c r="C136" s="12" t="s">
        <v>248</v>
      </c>
      <c r="D136" s="12" t="str">
        <f>vlookup(C136,'List of Chargers'!$A$2:$B$5,2,FALSE)</f>
        <v>Roam Hub</v>
      </c>
      <c r="E136" s="12" t="s">
        <v>73</v>
      </c>
      <c r="F136" s="12" t="s">
        <v>75</v>
      </c>
      <c r="G136" s="12">
        <v>134.0</v>
      </c>
      <c r="H136" s="13" t="str">
        <f t="shared" si="1"/>
        <v>#RH-KE-A-134</v>
      </c>
      <c r="I136" s="13" t="str">
        <f t="shared" si="2"/>
        <v>FO-NBI-00#RH-KE-A-134</v>
      </c>
      <c r="J136" s="25"/>
      <c r="K136" s="66"/>
      <c r="L136" s="31"/>
      <c r="M136" s="31"/>
      <c r="N136" s="26" t="str">
        <f t="shared" si="3"/>
        <v>Roam Hub - </v>
      </c>
      <c r="O136" s="26" t="str">
        <f t="shared" si="4"/>
        <v>FO-NBI-00#RH-KE-A-134: Roam Hub - </v>
      </c>
      <c r="R136" s="53"/>
      <c r="S136" s="78" t="b">
        <v>0</v>
      </c>
      <c r="T136" s="78" t="b">
        <v>0</v>
      </c>
      <c r="U136" s="78" t="b">
        <v>0</v>
      </c>
      <c r="V136" s="30" t="b">
        <v>0</v>
      </c>
      <c r="W136" s="30" t="b">
        <v>0</v>
      </c>
      <c r="X136" s="30"/>
      <c r="Y136" s="30"/>
      <c r="Z136" s="30"/>
      <c r="AA136" s="30"/>
      <c r="AB136" s="30"/>
      <c r="AC136" s="50"/>
      <c r="AD136" s="30"/>
      <c r="AE136" s="12">
        <f t="shared" si="5"/>
        <v>0</v>
      </c>
      <c r="AF136" s="70">
        <f t="shared" si="6"/>
        <v>0</v>
      </c>
      <c r="AG136" s="76"/>
      <c r="AH136" s="76"/>
      <c r="AI136" s="76"/>
      <c r="AJ136" s="76"/>
      <c r="AK136" s="76"/>
      <c r="AL136" s="30"/>
      <c r="AM136" s="79"/>
      <c r="AN136" s="79"/>
      <c r="AO136" s="79"/>
    </row>
    <row r="137" hidden="1">
      <c r="A137" s="12" t="s">
        <v>74</v>
      </c>
      <c r="B137" s="64"/>
      <c r="C137" s="12" t="s">
        <v>248</v>
      </c>
      <c r="D137" s="12" t="str">
        <f>vlookup(C137,'List of Chargers'!$A$2:$B$5,2,FALSE)</f>
        <v>Roam Hub</v>
      </c>
      <c r="E137" s="12" t="s">
        <v>73</v>
      </c>
      <c r="F137" s="12" t="s">
        <v>75</v>
      </c>
      <c r="G137" s="12">
        <v>135.0</v>
      </c>
      <c r="H137" s="13" t="str">
        <f t="shared" si="1"/>
        <v>#RH-KE-A-135</v>
      </c>
      <c r="I137" s="13" t="str">
        <f t="shared" si="2"/>
        <v>FO-NBI-00#RH-KE-A-135</v>
      </c>
      <c r="J137" s="25"/>
      <c r="K137" s="66"/>
      <c r="L137" s="31"/>
      <c r="M137" s="31"/>
      <c r="N137" s="26" t="str">
        <f t="shared" si="3"/>
        <v>Roam Hub - </v>
      </c>
      <c r="O137" s="26" t="str">
        <f t="shared" si="4"/>
        <v>FO-NBI-00#RH-KE-A-135: Roam Hub - </v>
      </c>
      <c r="R137" s="53"/>
      <c r="S137" s="78" t="b">
        <v>0</v>
      </c>
      <c r="T137" s="78" t="b">
        <v>0</v>
      </c>
      <c r="U137" s="78" t="b">
        <v>0</v>
      </c>
      <c r="V137" s="30" t="b">
        <v>0</v>
      </c>
      <c r="W137" s="30" t="b">
        <v>0</v>
      </c>
      <c r="X137" s="30"/>
      <c r="Y137" s="30"/>
      <c r="Z137" s="30"/>
      <c r="AA137" s="30"/>
      <c r="AB137" s="30"/>
      <c r="AC137" s="50"/>
      <c r="AD137" s="30"/>
      <c r="AE137" s="12">
        <f t="shared" si="5"/>
        <v>0</v>
      </c>
      <c r="AF137" s="70">
        <f t="shared" si="6"/>
        <v>0</v>
      </c>
      <c r="AG137" s="76"/>
      <c r="AH137" s="76"/>
      <c r="AI137" s="76"/>
      <c r="AJ137" s="76"/>
      <c r="AK137" s="76"/>
      <c r="AL137" s="30"/>
      <c r="AM137" s="79"/>
      <c r="AN137" s="79"/>
      <c r="AO137" s="79"/>
    </row>
    <row r="138" hidden="1">
      <c r="A138" s="12" t="s">
        <v>74</v>
      </c>
      <c r="B138" s="64"/>
      <c r="C138" s="12" t="s">
        <v>248</v>
      </c>
      <c r="D138" s="12" t="str">
        <f>vlookup(C138,'List of Chargers'!$A$2:$B$5,2,FALSE)</f>
        <v>Roam Hub</v>
      </c>
      <c r="E138" s="12" t="s">
        <v>73</v>
      </c>
      <c r="F138" s="12" t="s">
        <v>75</v>
      </c>
      <c r="G138" s="12">
        <v>136.0</v>
      </c>
      <c r="H138" s="13" t="str">
        <f t="shared" si="1"/>
        <v>#RH-KE-A-136</v>
      </c>
      <c r="I138" s="13" t="str">
        <f t="shared" si="2"/>
        <v>FO-NBI-00#RH-KE-A-136</v>
      </c>
      <c r="J138" s="25"/>
      <c r="K138" s="66"/>
      <c r="L138" s="31"/>
      <c r="M138" s="31"/>
      <c r="N138" s="26" t="str">
        <f t="shared" si="3"/>
        <v>Roam Hub - </v>
      </c>
      <c r="O138" s="26" t="str">
        <f t="shared" si="4"/>
        <v>FO-NBI-00#RH-KE-A-136: Roam Hub - </v>
      </c>
      <c r="R138" s="53"/>
      <c r="S138" s="78" t="b">
        <v>0</v>
      </c>
      <c r="T138" s="78" t="b">
        <v>0</v>
      </c>
      <c r="U138" s="78" t="b">
        <v>0</v>
      </c>
      <c r="V138" s="30" t="b">
        <v>0</v>
      </c>
      <c r="W138" s="30" t="b">
        <v>0</v>
      </c>
      <c r="X138" s="30"/>
      <c r="Y138" s="30"/>
      <c r="Z138" s="30"/>
      <c r="AA138" s="30"/>
      <c r="AB138" s="30"/>
      <c r="AC138" s="50"/>
      <c r="AD138" s="30"/>
      <c r="AE138" s="12">
        <f t="shared" si="5"/>
        <v>0</v>
      </c>
      <c r="AF138" s="70">
        <f t="shared" si="6"/>
        <v>0</v>
      </c>
      <c r="AG138" s="76"/>
      <c r="AH138" s="76"/>
      <c r="AI138" s="76"/>
      <c r="AJ138" s="76"/>
      <c r="AK138" s="76"/>
      <c r="AL138" s="30"/>
      <c r="AM138" s="79"/>
      <c r="AN138" s="79"/>
      <c r="AO138" s="79"/>
    </row>
    <row r="139" hidden="1">
      <c r="A139" s="12" t="s">
        <v>74</v>
      </c>
      <c r="B139" s="64"/>
      <c r="C139" s="12" t="s">
        <v>248</v>
      </c>
      <c r="D139" s="12" t="str">
        <f>vlookup(C139,'List of Chargers'!$A$2:$B$5,2,FALSE)</f>
        <v>Roam Hub</v>
      </c>
      <c r="E139" s="12" t="s">
        <v>73</v>
      </c>
      <c r="F139" s="12" t="s">
        <v>75</v>
      </c>
      <c r="G139" s="12">
        <v>137.0</v>
      </c>
      <c r="H139" s="13" t="str">
        <f t="shared" si="1"/>
        <v>#RH-KE-A-137</v>
      </c>
      <c r="I139" s="13" t="str">
        <f t="shared" si="2"/>
        <v>FO-NBI-00#RH-KE-A-137</v>
      </c>
      <c r="J139" s="25"/>
      <c r="K139" s="66"/>
      <c r="L139" s="31"/>
      <c r="M139" s="31"/>
      <c r="N139" s="26" t="str">
        <f t="shared" si="3"/>
        <v>Roam Hub - </v>
      </c>
      <c r="O139" s="26" t="str">
        <f t="shared" si="4"/>
        <v>FO-NBI-00#RH-KE-A-137: Roam Hub - </v>
      </c>
      <c r="R139" s="53"/>
      <c r="S139" s="78" t="b">
        <v>0</v>
      </c>
      <c r="T139" s="78" t="b">
        <v>0</v>
      </c>
      <c r="U139" s="78" t="b">
        <v>0</v>
      </c>
      <c r="V139" s="30" t="b">
        <v>0</v>
      </c>
      <c r="W139" s="30" t="b">
        <v>0</v>
      </c>
      <c r="X139" s="30"/>
      <c r="Y139" s="30"/>
      <c r="Z139" s="30"/>
      <c r="AA139" s="30"/>
      <c r="AB139" s="30"/>
      <c r="AC139" s="50"/>
      <c r="AD139" s="30"/>
      <c r="AE139" s="12">
        <f t="shared" si="5"/>
        <v>0</v>
      </c>
      <c r="AF139" s="70">
        <f t="shared" si="6"/>
        <v>0</v>
      </c>
      <c r="AG139" s="76"/>
      <c r="AH139" s="76"/>
      <c r="AI139" s="76"/>
      <c r="AJ139" s="76"/>
      <c r="AK139" s="76"/>
      <c r="AL139" s="30"/>
      <c r="AM139" s="79"/>
      <c r="AN139" s="79"/>
      <c r="AO139" s="79"/>
    </row>
    <row r="140" hidden="1">
      <c r="A140" s="12" t="s">
        <v>74</v>
      </c>
      <c r="B140" s="64"/>
      <c r="C140" s="12" t="s">
        <v>248</v>
      </c>
      <c r="D140" s="12" t="str">
        <f>vlookup(C140,'List of Chargers'!$A$2:$B$5,2,FALSE)</f>
        <v>Roam Hub</v>
      </c>
      <c r="E140" s="12" t="s">
        <v>73</v>
      </c>
      <c r="F140" s="12" t="s">
        <v>75</v>
      </c>
      <c r="G140" s="12">
        <v>138.0</v>
      </c>
      <c r="H140" s="13" t="str">
        <f t="shared" si="1"/>
        <v>#RH-KE-A-138</v>
      </c>
      <c r="I140" s="13" t="str">
        <f t="shared" si="2"/>
        <v>FO-NBI-00#RH-KE-A-138</v>
      </c>
      <c r="J140" s="25"/>
      <c r="K140" s="66"/>
      <c r="L140" s="31"/>
      <c r="M140" s="31"/>
      <c r="N140" s="26" t="str">
        <f t="shared" si="3"/>
        <v>Roam Hub - </v>
      </c>
      <c r="O140" s="26" t="str">
        <f t="shared" si="4"/>
        <v>FO-NBI-00#RH-KE-A-138: Roam Hub - </v>
      </c>
      <c r="R140" s="53"/>
      <c r="S140" s="78" t="b">
        <v>0</v>
      </c>
      <c r="T140" s="78" t="b">
        <v>0</v>
      </c>
      <c r="U140" s="78" t="b">
        <v>0</v>
      </c>
      <c r="V140" s="30" t="b">
        <v>0</v>
      </c>
      <c r="W140" s="30" t="b">
        <v>0</v>
      </c>
      <c r="X140" s="30"/>
      <c r="Y140" s="30"/>
      <c r="Z140" s="30"/>
      <c r="AA140" s="30"/>
      <c r="AB140" s="30"/>
      <c r="AC140" s="50"/>
      <c r="AD140" s="30"/>
      <c r="AE140" s="12">
        <f t="shared" si="5"/>
        <v>0</v>
      </c>
      <c r="AF140" s="70">
        <f t="shared" si="6"/>
        <v>0</v>
      </c>
      <c r="AG140" s="76"/>
      <c r="AH140" s="76"/>
      <c r="AI140" s="76"/>
      <c r="AJ140" s="76"/>
      <c r="AK140" s="76"/>
      <c r="AL140" s="30"/>
      <c r="AM140" s="79"/>
      <c r="AN140" s="79"/>
      <c r="AO140" s="79"/>
    </row>
    <row r="141" hidden="1">
      <c r="A141" s="12" t="s">
        <v>74</v>
      </c>
      <c r="B141" s="64"/>
      <c r="C141" s="12" t="s">
        <v>248</v>
      </c>
      <c r="D141" s="12" t="str">
        <f>vlookup(C141,'List of Chargers'!$A$2:$B$5,2,FALSE)</f>
        <v>Roam Hub</v>
      </c>
      <c r="E141" s="12" t="s">
        <v>73</v>
      </c>
      <c r="F141" s="12" t="s">
        <v>75</v>
      </c>
      <c r="G141" s="12">
        <v>139.0</v>
      </c>
      <c r="H141" s="13" t="str">
        <f t="shared" si="1"/>
        <v>#RH-KE-A-139</v>
      </c>
      <c r="I141" s="13" t="str">
        <f t="shared" si="2"/>
        <v>FO-NBI-00#RH-KE-A-139</v>
      </c>
      <c r="J141" s="25"/>
      <c r="K141" s="66"/>
      <c r="L141" s="31"/>
      <c r="M141" s="31"/>
      <c r="N141" s="26" t="str">
        <f t="shared" si="3"/>
        <v>Roam Hub - </v>
      </c>
      <c r="O141" s="26" t="str">
        <f t="shared" si="4"/>
        <v>FO-NBI-00#RH-KE-A-139: Roam Hub - </v>
      </c>
      <c r="R141" s="53"/>
      <c r="S141" s="78" t="b">
        <v>0</v>
      </c>
      <c r="T141" s="78" t="b">
        <v>0</v>
      </c>
      <c r="U141" s="78" t="b">
        <v>0</v>
      </c>
      <c r="V141" s="30" t="b">
        <v>0</v>
      </c>
      <c r="W141" s="30" t="b">
        <v>0</v>
      </c>
      <c r="X141" s="30"/>
      <c r="Y141" s="30"/>
      <c r="Z141" s="30"/>
      <c r="AA141" s="30"/>
      <c r="AB141" s="30"/>
      <c r="AC141" s="50"/>
      <c r="AD141" s="30"/>
      <c r="AE141" s="12">
        <f t="shared" si="5"/>
        <v>0</v>
      </c>
      <c r="AF141" s="70">
        <f t="shared" si="6"/>
        <v>0</v>
      </c>
      <c r="AG141" s="76"/>
      <c r="AH141" s="76"/>
      <c r="AI141" s="76"/>
      <c r="AJ141" s="76"/>
      <c r="AK141" s="76"/>
      <c r="AL141" s="30"/>
      <c r="AM141" s="79"/>
      <c r="AN141" s="79"/>
      <c r="AO141" s="79"/>
    </row>
    <row r="142" hidden="1">
      <c r="A142" s="12" t="s">
        <v>74</v>
      </c>
      <c r="B142" s="64"/>
      <c r="C142" s="12" t="s">
        <v>248</v>
      </c>
      <c r="D142" s="12" t="str">
        <f>vlookup(C142,'List of Chargers'!$A$2:$B$5,2,FALSE)</f>
        <v>Roam Hub</v>
      </c>
      <c r="E142" s="12" t="s">
        <v>73</v>
      </c>
      <c r="F142" s="12" t="s">
        <v>75</v>
      </c>
      <c r="G142" s="12">
        <v>140.0</v>
      </c>
      <c r="H142" s="13" t="str">
        <f t="shared" si="1"/>
        <v>#RH-KE-A-140</v>
      </c>
      <c r="I142" s="13" t="str">
        <f t="shared" si="2"/>
        <v>FO-NBI-00#RH-KE-A-140</v>
      </c>
      <c r="J142" s="25"/>
      <c r="K142" s="66"/>
      <c r="L142" s="31"/>
      <c r="M142" s="31"/>
      <c r="N142" s="26" t="str">
        <f t="shared" si="3"/>
        <v>Roam Hub - </v>
      </c>
      <c r="O142" s="26" t="str">
        <f t="shared" si="4"/>
        <v>FO-NBI-00#RH-KE-A-140: Roam Hub - </v>
      </c>
      <c r="R142" s="53"/>
      <c r="S142" s="78" t="b">
        <v>0</v>
      </c>
      <c r="T142" s="78" t="b">
        <v>0</v>
      </c>
      <c r="U142" s="78" t="b">
        <v>0</v>
      </c>
      <c r="V142" s="30" t="b">
        <v>0</v>
      </c>
      <c r="W142" s="30" t="b">
        <v>0</v>
      </c>
      <c r="X142" s="30"/>
      <c r="Y142" s="30"/>
      <c r="Z142" s="30"/>
      <c r="AA142" s="30"/>
      <c r="AB142" s="30"/>
      <c r="AC142" s="50"/>
      <c r="AD142" s="30"/>
      <c r="AE142" s="12">
        <f t="shared" si="5"/>
        <v>0</v>
      </c>
      <c r="AF142" s="70">
        <f t="shared" si="6"/>
        <v>0</v>
      </c>
      <c r="AG142" s="76"/>
      <c r="AH142" s="76"/>
      <c r="AI142" s="76"/>
      <c r="AJ142" s="76"/>
      <c r="AK142" s="76"/>
      <c r="AL142" s="30"/>
      <c r="AM142" s="79"/>
      <c r="AN142" s="79"/>
      <c r="AO142" s="79"/>
    </row>
    <row r="143" hidden="1">
      <c r="A143" s="12" t="s">
        <v>74</v>
      </c>
      <c r="B143" s="64"/>
      <c r="C143" s="12" t="s">
        <v>248</v>
      </c>
      <c r="D143" s="12" t="str">
        <f>vlookup(C143,'List of Chargers'!$A$2:$B$5,2,FALSE)</f>
        <v>Roam Hub</v>
      </c>
      <c r="E143" s="12" t="s">
        <v>73</v>
      </c>
      <c r="F143" s="12" t="s">
        <v>75</v>
      </c>
      <c r="G143" s="12">
        <v>141.0</v>
      </c>
      <c r="H143" s="13" t="str">
        <f t="shared" si="1"/>
        <v>#RH-KE-A-141</v>
      </c>
      <c r="I143" s="13" t="str">
        <f t="shared" si="2"/>
        <v>FO-NBI-00#RH-KE-A-141</v>
      </c>
      <c r="J143" s="25"/>
      <c r="K143" s="66"/>
      <c r="L143" s="31"/>
      <c r="M143" s="31"/>
      <c r="N143" s="26" t="str">
        <f t="shared" si="3"/>
        <v>Roam Hub - </v>
      </c>
      <c r="O143" s="26" t="str">
        <f t="shared" si="4"/>
        <v>FO-NBI-00#RH-KE-A-141: Roam Hub - </v>
      </c>
      <c r="R143" s="53"/>
      <c r="S143" s="78" t="b">
        <v>0</v>
      </c>
      <c r="T143" s="78" t="b">
        <v>0</v>
      </c>
      <c r="U143" s="78" t="b">
        <v>0</v>
      </c>
      <c r="V143" s="30" t="b">
        <v>0</v>
      </c>
      <c r="W143" s="30" t="b">
        <v>0</v>
      </c>
      <c r="X143" s="30"/>
      <c r="Y143" s="30"/>
      <c r="Z143" s="30"/>
      <c r="AA143" s="30"/>
      <c r="AB143" s="30"/>
      <c r="AC143" s="50"/>
      <c r="AD143" s="30"/>
      <c r="AE143" s="12">
        <f t="shared" si="5"/>
        <v>0</v>
      </c>
      <c r="AF143" s="70">
        <f t="shared" si="6"/>
        <v>0</v>
      </c>
      <c r="AG143" s="76"/>
      <c r="AH143" s="76"/>
      <c r="AI143" s="76"/>
      <c r="AJ143" s="76"/>
      <c r="AK143" s="76"/>
      <c r="AL143" s="30"/>
      <c r="AM143" s="79"/>
      <c r="AN143" s="79"/>
      <c r="AO143" s="79"/>
    </row>
    <row r="144" hidden="1">
      <c r="A144" s="12" t="s">
        <v>74</v>
      </c>
      <c r="B144" s="64"/>
      <c r="C144" s="12" t="s">
        <v>248</v>
      </c>
      <c r="D144" s="12" t="str">
        <f>vlookup(C144,'List of Chargers'!$A$2:$B$5,2,FALSE)</f>
        <v>Roam Hub</v>
      </c>
      <c r="E144" s="12" t="s">
        <v>73</v>
      </c>
      <c r="F144" s="12" t="s">
        <v>75</v>
      </c>
      <c r="G144" s="12">
        <v>142.0</v>
      </c>
      <c r="H144" s="13" t="str">
        <f t="shared" si="1"/>
        <v>#RH-KE-A-142</v>
      </c>
      <c r="I144" s="13" t="str">
        <f t="shared" si="2"/>
        <v>FO-NBI-00#RH-KE-A-142</v>
      </c>
      <c r="J144" s="25"/>
      <c r="K144" s="66"/>
      <c r="L144" s="31"/>
      <c r="M144" s="31"/>
      <c r="N144" s="26" t="str">
        <f t="shared" si="3"/>
        <v>Roam Hub - </v>
      </c>
      <c r="O144" s="26" t="str">
        <f t="shared" si="4"/>
        <v>FO-NBI-00#RH-KE-A-142: Roam Hub - </v>
      </c>
      <c r="R144" s="53"/>
      <c r="S144" s="78" t="b">
        <v>0</v>
      </c>
      <c r="T144" s="78" t="b">
        <v>0</v>
      </c>
      <c r="U144" s="78" t="b">
        <v>0</v>
      </c>
      <c r="V144" s="30" t="b">
        <v>0</v>
      </c>
      <c r="W144" s="30" t="b">
        <v>0</v>
      </c>
      <c r="X144" s="30"/>
      <c r="Y144" s="30"/>
      <c r="Z144" s="30"/>
      <c r="AA144" s="30"/>
      <c r="AB144" s="30"/>
      <c r="AC144" s="50"/>
      <c r="AD144" s="30"/>
      <c r="AE144" s="12">
        <f t="shared" si="5"/>
        <v>0</v>
      </c>
      <c r="AF144" s="70">
        <f t="shared" si="6"/>
        <v>0</v>
      </c>
      <c r="AG144" s="76"/>
      <c r="AH144" s="76"/>
      <c r="AI144" s="76"/>
      <c r="AJ144" s="76"/>
      <c r="AK144" s="76"/>
      <c r="AL144" s="30"/>
      <c r="AM144" s="79"/>
      <c r="AN144" s="79"/>
      <c r="AO144" s="79"/>
    </row>
    <row r="145" hidden="1">
      <c r="A145" s="12" t="s">
        <v>74</v>
      </c>
      <c r="B145" s="64"/>
      <c r="C145" s="12" t="s">
        <v>248</v>
      </c>
      <c r="D145" s="12" t="str">
        <f>vlookup(C145,'List of Chargers'!$A$2:$B$5,2,FALSE)</f>
        <v>Roam Hub</v>
      </c>
      <c r="E145" s="12" t="s">
        <v>73</v>
      </c>
      <c r="F145" s="12" t="s">
        <v>75</v>
      </c>
      <c r="G145" s="12">
        <v>143.0</v>
      </c>
      <c r="H145" s="13" t="str">
        <f t="shared" si="1"/>
        <v>#RH-KE-A-143</v>
      </c>
      <c r="I145" s="13" t="str">
        <f t="shared" si="2"/>
        <v>FO-NBI-00#RH-KE-A-143</v>
      </c>
      <c r="J145" s="25"/>
      <c r="K145" s="66"/>
      <c r="L145" s="31"/>
      <c r="M145" s="31"/>
      <c r="N145" s="26" t="str">
        <f t="shared" si="3"/>
        <v>Roam Hub - </v>
      </c>
      <c r="O145" s="26" t="str">
        <f t="shared" si="4"/>
        <v>FO-NBI-00#RH-KE-A-143: Roam Hub - </v>
      </c>
      <c r="R145" s="53"/>
      <c r="S145" s="78" t="b">
        <v>0</v>
      </c>
      <c r="T145" s="78" t="b">
        <v>0</v>
      </c>
      <c r="U145" s="78" t="b">
        <v>0</v>
      </c>
      <c r="V145" s="30" t="b">
        <v>0</v>
      </c>
      <c r="W145" s="30" t="b">
        <v>0</v>
      </c>
      <c r="X145" s="30"/>
      <c r="Y145" s="30"/>
      <c r="Z145" s="30"/>
      <c r="AA145" s="30"/>
      <c r="AB145" s="30"/>
      <c r="AC145" s="50"/>
      <c r="AD145" s="30"/>
      <c r="AE145" s="12">
        <f t="shared" si="5"/>
        <v>0</v>
      </c>
      <c r="AF145" s="70">
        <f t="shared" si="6"/>
        <v>0</v>
      </c>
      <c r="AG145" s="76"/>
      <c r="AH145" s="76"/>
      <c r="AI145" s="76"/>
      <c r="AJ145" s="76"/>
      <c r="AK145" s="76"/>
      <c r="AL145" s="30"/>
      <c r="AM145" s="79"/>
      <c r="AN145" s="79"/>
      <c r="AO145" s="79"/>
    </row>
    <row r="146" hidden="1">
      <c r="A146" s="12" t="s">
        <v>74</v>
      </c>
      <c r="B146" s="64"/>
      <c r="C146" s="12" t="s">
        <v>248</v>
      </c>
      <c r="D146" s="12" t="str">
        <f>vlookup(C146,'List of Chargers'!$A$2:$B$5,2,FALSE)</f>
        <v>Roam Hub</v>
      </c>
      <c r="E146" s="12" t="s">
        <v>73</v>
      </c>
      <c r="F146" s="12" t="s">
        <v>75</v>
      </c>
      <c r="G146" s="12">
        <v>144.0</v>
      </c>
      <c r="H146" s="13" t="str">
        <f t="shared" si="1"/>
        <v>#RH-KE-A-144</v>
      </c>
      <c r="I146" s="13" t="str">
        <f t="shared" si="2"/>
        <v>FO-NBI-00#RH-KE-A-144</v>
      </c>
      <c r="J146" s="25"/>
      <c r="K146" s="66"/>
      <c r="L146" s="31"/>
      <c r="M146" s="31"/>
      <c r="N146" s="26" t="str">
        <f t="shared" si="3"/>
        <v>Roam Hub - </v>
      </c>
      <c r="O146" s="26" t="str">
        <f t="shared" si="4"/>
        <v>FO-NBI-00#RH-KE-A-144: Roam Hub - </v>
      </c>
      <c r="R146" s="53"/>
      <c r="S146" s="78" t="b">
        <v>0</v>
      </c>
      <c r="T146" s="78" t="b">
        <v>0</v>
      </c>
      <c r="U146" s="78" t="b">
        <v>0</v>
      </c>
      <c r="V146" s="30" t="b">
        <v>0</v>
      </c>
      <c r="W146" s="30" t="b">
        <v>0</v>
      </c>
      <c r="X146" s="30"/>
      <c r="Y146" s="30"/>
      <c r="Z146" s="30"/>
      <c r="AA146" s="30"/>
      <c r="AB146" s="30"/>
      <c r="AC146" s="50"/>
      <c r="AD146" s="30"/>
      <c r="AE146" s="12">
        <f t="shared" si="5"/>
        <v>0</v>
      </c>
      <c r="AF146" s="70">
        <f t="shared" si="6"/>
        <v>0</v>
      </c>
      <c r="AG146" s="76"/>
      <c r="AH146" s="76"/>
      <c r="AI146" s="76"/>
      <c r="AJ146" s="76"/>
      <c r="AK146" s="76"/>
      <c r="AL146" s="30"/>
      <c r="AM146" s="79"/>
      <c r="AN146" s="79"/>
      <c r="AO146" s="79"/>
    </row>
    <row r="147" hidden="1">
      <c r="A147" s="12" t="s">
        <v>74</v>
      </c>
      <c r="B147" s="64"/>
      <c r="C147" s="12" t="s">
        <v>248</v>
      </c>
      <c r="D147" s="12" t="str">
        <f>vlookup(C147,'List of Chargers'!$A$2:$B$5,2,FALSE)</f>
        <v>Roam Hub</v>
      </c>
      <c r="E147" s="12" t="s">
        <v>73</v>
      </c>
      <c r="F147" s="12" t="s">
        <v>75</v>
      </c>
      <c r="G147" s="12">
        <v>145.0</v>
      </c>
      <c r="H147" s="13" t="str">
        <f t="shared" si="1"/>
        <v>#RH-KE-A-145</v>
      </c>
      <c r="I147" s="13" t="str">
        <f t="shared" si="2"/>
        <v>FO-NBI-00#RH-KE-A-145</v>
      </c>
      <c r="J147" s="25"/>
      <c r="K147" s="66"/>
      <c r="L147" s="31"/>
      <c r="M147" s="31"/>
      <c r="N147" s="26" t="str">
        <f t="shared" si="3"/>
        <v>Roam Hub - </v>
      </c>
      <c r="O147" s="26" t="str">
        <f t="shared" si="4"/>
        <v>FO-NBI-00#RH-KE-A-145: Roam Hub - </v>
      </c>
      <c r="R147" s="53"/>
      <c r="S147" s="78" t="b">
        <v>0</v>
      </c>
      <c r="T147" s="78" t="b">
        <v>0</v>
      </c>
      <c r="U147" s="78" t="b">
        <v>0</v>
      </c>
      <c r="V147" s="30" t="b">
        <v>0</v>
      </c>
      <c r="W147" s="30" t="b">
        <v>0</v>
      </c>
      <c r="X147" s="30"/>
      <c r="Y147" s="30"/>
      <c r="Z147" s="30"/>
      <c r="AA147" s="30"/>
      <c r="AB147" s="30"/>
      <c r="AC147" s="50"/>
      <c r="AD147" s="30"/>
      <c r="AE147" s="12">
        <f t="shared" si="5"/>
        <v>0</v>
      </c>
      <c r="AF147" s="70">
        <f t="shared" si="6"/>
        <v>0</v>
      </c>
      <c r="AG147" s="76"/>
      <c r="AH147" s="76"/>
      <c r="AI147" s="76"/>
      <c r="AJ147" s="76"/>
      <c r="AK147" s="76"/>
      <c r="AL147" s="30"/>
      <c r="AM147" s="79"/>
      <c r="AN147" s="79"/>
      <c r="AO147" s="79"/>
    </row>
    <row r="148" hidden="1">
      <c r="A148" s="12" t="s">
        <v>74</v>
      </c>
      <c r="B148" s="64"/>
      <c r="C148" s="12" t="s">
        <v>248</v>
      </c>
      <c r="D148" s="12" t="str">
        <f>vlookup(C148,'List of Chargers'!$A$2:$B$5,2,FALSE)</f>
        <v>Roam Hub</v>
      </c>
      <c r="E148" s="12" t="s">
        <v>73</v>
      </c>
      <c r="F148" s="12" t="s">
        <v>75</v>
      </c>
      <c r="G148" s="12">
        <v>146.0</v>
      </c>
      <c r="H148" s="13" t="str">
        <f t="shared" si="1"/>
        <v>#RH-KE-A-146</v>
      </c>
      <c r="I148" s="13" t="str">
        <f t="shared" si="2"/>
        <v>FO-NBI-00#RH-KE-A-146</v>
      </c>
      <c r="J148" s="25"/>
      <c r="K148" s="66"/>
      <c r="L148" s="31"/>
      <c r="M148" s="31"/>
      <c r="N148" s="26" t="str">
        <f t="shared" si="3"/>
        <v>Roam Hub - </v>
      </c>
      <c r="O148" s="26" t="str">
        <f t="shared" si="4"/>
        <v>FO-NBI-00#RH-KE-A-146: Roam Hub - </v>
      </c>
      <c r="R148" s="53"/>
      <c r="S148" s="78" t="b">
        <v>0</v>
      </c>
      <c r="T148" s="78" t="b">
        <v>0</v>
      </c>
      <c r="U148" s="78" t="b">
        <v>0</v>
      </c>
      <c r="V148" s="30" t="b">
        <v>0</v>
      </c>
      <c r="W148" s="30" t="b">
        <v>0</v>
      </c>
      <c r="X148" s="30"/>
      <c r="Y148" s="30"/>
      <c r="Z148" s="30"/>
      <c r="AA148" s="30"/>
      <c r="AB148" s="30"/>
      <c r="AC148" s="50"/>
      <c r="AD148" s="30"/>
      <c r="AE148" s="12">
        <f t="shared" si="5"/>
        <v>0</v>
      </c>
      <c r="AF148" s="70">
        <f t="shared" si="6"/>
        <v>0</v>
      </c>
      <c r="AG148" s="76"/>
      <c r="AH148" s="76"/>
      <c r="AI148" s="76"/>
      <c r="AJ148" s="76"/>
      <c r="AK148" s="76"/>
      <c r="AL148" s="30"/>
      <c r="AM148" s="79"/>
      <c r="AN148" s="79"/>
      <c r="AO148" s="79"/>
    </row>
    <row r="149" hidden="1">
      <c r="A149" s="12" t="s">
        <v>74</v>
      </c>
      <c r="B149" s="64"/>
      <c r="C149" s="12" t="s">
        <v>248</v>
      </c>
      <c r="D149" s="12" t="str">
        <f>vlookup(C149,'List of Chargers'!$A$2:$B$5,2,FALSE)</f>
        <v>Roam Hub</v>
      </c>
      <c r="E149" s="12" t="s">
        <v>73</v>
      </c>
      <c r="F149" s="12" t="s">
        <v>75</v>
      </c>
      <c r="G149" s="12">
        <v>147.0</v>
      </c>
      <c r="H149" s="13" t="str">
        <f t="shared" si="1"/>
        <v>#RH-KE-A-147</v>
      </c>
      <c r="I149" s="13" t="str">
        <f t="shared" si="2"/>
        <v>FO-NBI-00#RH-KE-A-147</v>
      </c>
      <c r="J149" s="25"/>
      <c r="K149" s="66"/>
      <c r="L149" s="31"/>
      <c r="M149" s="31"/>
      <c r="N149" s="26" t="str">
        <f t="shared" si="3"/>
        <v>Roam Hub - </v>
      </c>
      <c r="O149" s="26" t="str">
        <f t="shared" si="4"/>
        <v>FO-NBI-00#RH-KE-A-147: Roam Hub - </v>
      </c>
      <c r="R149" s="53"/>
      <c r="S149" s="78" t="b">
        <v>0</v>
      </c>
      <c r="T149" s="78" t="b">
        <v>0</v>
      </c>
      <c r="U149" s="78" t="b">
        <v>0</v>
      </c>
      <c r="V149" s="30" t="b">
        <v>0</v>
      </c>
      <c r="W149" s="30" t="b">
        <v>0</v>
      </c>
      <c r="X149" s="30"/>
      <c r="Y149" s="30"/>
      <c r="Z149" s="30"/>
      <c r="AA149" s="30"/>
      <c r="AB149" s="30"/>
      <c r="AC149" s="50"/>
      <c r="AD149" s="30"/>
      <c r="AE149" s="12">
        <f t="shared" si="5"/>
        <v>0</v>
      </c>
      <c r="AF149" s="70">
        <f t="shared" si="6"/>
        <v>0</v>
      </c>
      <c r="AG149" s="76"/>
      <c r="AH149" s="76"/>
      <c r="AI149" s="76"/>
      <c r="AJ149" s="76"/>
      <c r="AK149" s="76"/>
      <c r="AL149" s="30"/>
      <c r="AM149" s="79"/>
      <c r="AN149" s="79"/>
      <c r="AO149" s="79"/>
    </row>
    <row r="150" hidden="1">
      <c r="A150" s="12" t="s">
        <v>74</v>
      </c>
      <c r="B150" s="64"/>
      <c r="C150" s="12" t="s">
        <v>248</v>
      </c>
      <c r="D150" s="12" t="str">
        <f>vlookup(C150,'List of Chargers'!$A$2:$B$5,2,FALSE)</f>
        <v>Roam Hub</v>
      </c>
      <c r="E150" s="12" t="s">
        <v>73</v>
      </c>
      <c r="F150" s="12" t="s">
        <v>75</v>
      </c>
      <c r="G150" s="12">
        <v>148.0</v>
      </c>
      <c r="H150" s="13" t="str">
        <f t="shared" si="1"/>
        <v>#RH-KE-A-148</v>
      </c>
      <c r="I150" s="13" t="str">
        <f t="shared" si="2"/>
        <v>FO-NBI-00#RH-KE-A-148</v>
      </c>
      <c r="J150" s="25"/>
      <c r="K150" s="66"/>
      <c r="L150" s="31"/>
      <c r="M150" s="31"/>
      <c r="N150" s="26" t="str">
        <f t="shared" si="3"/>
        <v>Roam Hub - </v>
      </c>
      <c r="O150" s="26" t="str">
        <f t="shared" si="4"/>
        <v>FO-NBI-00#RH-KE-A-148: Roam Hub - </v>
      </c>
      <c r="R150" s="53"/>
      <c r="S150" s="78" t="b">
        <v>0</v>
      </c>
      <c r="T150" s="78" t="b">
        <v>0</v>
      </c>
      <c r="U150" s="78" t="b">
        <v>0</v>
      </c>
      <c r="V150" s="30" t="b">
        <v>0</v>
      </c>
      <c r="W150" s="30" t="b">
        <v>0</v>
      </c>
      <c r="X150" s="30"/>
      <c r="Y150" s="30"/>
      <c r="Z150" s="30"/>
      <c r="AA150" s="30"/>
      <c r="AB150" s="30"/>
      <c r="AC150" s="50"/>
      <c r="AD150" s="30"/>
      <c r="AE150" s="12">
        <f t="shared" si="5"/>
        <v>0</v>
      </c>
      <c r="AF150" s="70">
        <f t="shared" si="6"/>
        <v>0</v>
      </c>
      <c r="AG150" s="76"/>
      <c r="AH150" s="76"/>
      <c r="AI150" s="76"/>
      <c r="AJ150" s="76"/>
      <c r="AK150" s="76"/>
      <c r="AL150" s="30"/>
      <c r="AM150" s="79"/>
      <c r="AN150" s="79"/>
      <c r="AO150" s="79"/>
    </row>
    <row r="151" hidden="1">
      <c r="A151" s="12" t="s">
        <v>74</v>
      </c>
      <c r="B151" s="64"/>
      <c r="C151" s="12" t="s">
        <v>248</v>
      </c>
      <c r="D151" s="12" t="str">
        <f>vlookup(C151,'List of Chargers'!$A$2:$B$5,2,FALSE)</f>
        <v>Roam Hub</v>
      </c>
      <c r="E151" s="12" t="s">
        <v>73</v>
      </c>
      <c r="F151" s="12" t="s">
        <v>75</v>
      </c>
      <c r="G151" s="12">
        <v>149.0</v>
      </c>
      <c r="H151" s="13" t="str">
        <f t="shared" si="1"/>
        <v>#RH-KE-A-149</v>
      </c>
      <c r="I151" s="13" t="str">
        <f t="shared" si="2"/>
        <v>FO-NBI-00#RH-KE-A-149</v>
      </c>
      <c r="J151" s="25"/>
      <c r="K151" s="66"/>
      <c r="L151" s="31"/>
      <c r="M151" s="31"/>
      <c r="N151" s="26" t="str">
        <f t="shared" si="3"/>
        <v>Roam Hub - </v>
      </c>
      <c r="O151" s="26" t="str">
        <f t="shared" si="4"/>
        <v>FO-NBI-00#RH-KE-A-149: Roam Hub - </v>
      </c>
      <c r="R151" s="53"/>
      <c r="S151" s="78" t="b">
        <v>0</v>
      </c>
      <c r="T151" s="78" t="b">
        <v>0</v>
      </c>
      <c r="U151" s="78" t="b">
        <v>0</v>
      </c>
      <c r="V151" s="30" t="b">
        <v>0</v>
      </c>
      <c r="W151" s="30" t="b">
        <v>0</v>
      </c>
      <c r="X151" s="30"/>
      <c r="Y151" s="30"/>
      <c r="Z151" s="30"/>
      <c r="AA151" s="30"/>
      <c r="AB151" s="30"/>
      <c r="AC151" s="50"/>
      <c r="AD151" s="30"/>
      <c r="AE151" s="12">
        <f t="shared" si="5"/>
        <v>0</v>
      </c>
      <c r="AF151" s="70">
        <f t="shared" si="6"/>
        <v>0</v>
      </c>
      <c r="AG151" s="76"/>
      <c r="AH151" s="76"/>
      <c r="AI151" s="76"/>
      <c r="AJ151" s="76"/>
      <c r="AK151" s="76"/>
      <c r="AL151" s="30"/>
      <c r="AM151" s="79"/>
      <c r="AN151" s="79"/>
      <c r="AO151" s="79"/>
    </row>
    <row r="152" hidden="1">
      <c r="A152" s="12" t="s">
        <v>74</v>
      </c>
      <c r="B152" s="64"/>
      <c r="C152" s="12" t="s">
        <v>248</v>
      </c>
      <c r="D152" s="12" t="str">
        <f>vlookup(C152,'List of Chargers'!$A$2:$B$5,2,FALSE)</f>
        <v>Roam Hub</v>
      </c>
      <c r="E152" s="12" t="s">
        <v>73</v>
      </c>
      <c r="F152" s="12" t="s">
        <v>75</v>
      </c>
      <c r="G152" s="12">
        <v>150.0</v>
      </c>
      <c r="H152" s="13" t="str">
        <f t="shared" si="1"/>
        <v>#RH-KE-A-150</v>
      </c>
      <c r="I152" s="13" t="str">
        <f t="shared" si="2"/>
        <v>FO-NBI-00#RH-KE-A-150</v>
      </c>
      <c r="J152" s="25"/>
      <c r="K152" s="66"/>
      <c r="L152" s="31"/>
      <c r="M152" s="31"/>
      <c r="N152" s="26" t="str">
        <f t="shared" si="3"/>
        <v>Roam Hub - </v>
      </c>
      <c r="O152" s="26" t="str">
        <f t="shared" si="4"/>
        <v>FO-NBI-00#RH-KE-A-150: Roam Hub - </v>
      </c>
      <c r="R152" s="53"/>
      <c r="S152" s="78" t="b">
        <v>0</v>
      </c>
      <c r="T152" s="78" t="b">
        <v>0</v>
      </c>
      <c r="U152" s="78" t="b">
        <v>0</v>
      </c>
      <c r="V152" s="30" t="b">
        <v>0</v>
      </c>
      <c r="W152" s="30" t="b">
        <v>0</v>
      </c>
      <c r="X152" s="30"/>
      <c r="Y152" s="30"/>
      <c r="Z152" s="30"/>
      <c r="AA152" s="30"/>
      <c r="AB152" s="30"/>
      <c r="AC152" s="50"/>
      <c r="AD152" s="30"/>
      <c r="AE152" s="12">
        <f t="shared" si="5"/>
        <v>0</v>
      </c>
      <c r="AF152" s="70">
        <f t="shared" si="6"/>
        <v>0</v>
      </c>
      <c r="AG152" s="76"/>
      <c r="AH152" s="76"/>
      <c r="AI152" s="76"/>
      <c r="AJ152" s="76"/>
      <c r="AK152" s="76"/>
      <c r="AL152" s="30"/>
      <c r="AM152" s="79"/>
      <c r="AN152" s="79"/>
      <c r="AO152" s="79"/>
    </row>
    <row r="153" hidden="1">
      <c r="A153" s="12" t="s">
        <v>74</v>
      </c>
      <c r="B153" s="64"/>
      <c r="C153" s="12" t="s">
        <v>248</v>
      </c>
      <c r="D153" s="12" t="str">
        <f>vlookup(C153,'List of Chargers'!$A$2:$B$5,2,FALSE)</f>
        <v>Roam Hub</v>
      </c>
      <c r="E153" s="12" t="s">
        <v>73</v>
      </c>
      <c r="F153" s="12" t="s">
        <v>75</v>
      </c>
      <c r="G153" s="12">
        <v>151.0</v>
      </c>
      <c r="H153" s="13" t="str">
        <f t="shared" si="1"/>
        <v>#RH-KE-A-151</v>
      </c>
      <c r="I153" s="13" t="str">
        <f t="shared" si="2"/>
        <v>FO-NBI-00#RH-KE-A-151</v>
      </c>
      <c r="J153" s="25"/>
      <c r="K153" s="66"/>
      <c r="L153" s="31"/>
      <c r="M153" s="31"/>
      <c r="N153" s="26" t="str">
        <f t="shared" si="3"/>
        <v>Roam Hub - </v>
      </c>
      <c r="O153" s="26" t="str">
        <f t="shared" si="4"/>
        <v>FO-NBI-00#RH-KE-A-151: Roam Hub - </v>
      </c>
      <c r="R153" s="53"/>
      <c r="S153" s="78" t="b">
        <v>0</v>
      </c>
      <c r="T153" s="78" t="b">
        <v>0</v>
      </c>
      <c r="U153" s="78" t="b">
        <v>0</v>
      </c>
      <c r="V153" s="30" t="b">
        <v>0</v>
      </c>
      <c r="W153" s="30" t="b">
        <v>0</v>
      </c>
      <c r="X153" s="30"/>
      <c r="Y153" s="30"/>
      <c r="Z153" s="30"/>
      <c r="AA153" s="30"/>
      <c r="AB153" s="30"/>
      <c r="AC153" s="50"/>
      <c r="AD153" s="30"/>
      <c r="AE153" s="12">
        <f t="shared" si="5"/>
        <v>0</v>
      </c>
      <c r="AF153" s="70">
        <f t="shared" si="6"/>
        <v>0</v>
      </c>
      <c r="AG153" s="76"/>
      <c r="AH153" s="76"/>
      <c r="AI153" s="76"/>
      <c r="AJ153" s="76"/>
      <c r="AK153" s="76"/>
      <c r="AL153" s="30"/>
      <c r="AM153" s="79"/>
      <c r="AN153" s="79"/>
      <c r="AO153" s="79"/>
    </row>
    <row r="154" hidden="1">
      <c r="A154" s="12" t="s">
        <v>74</v>
      </c>
      <c r="B154" s="64"/>
      <c r="C154" s="12" t="s">
        <v>248</v>
      </c>
      <c r="D154" s="12" t="str">
        <f>vlookup(C154,'List of Chargers'!$A$2:$B$5,2,FALSE)</f>
        <v>Roam Hub</v>
      </c>
      <c r="E154" s="12" t="s">
        <v>73</v>
      </c>
      <c r="F154" s="12" t="s">
        <v>75</v>
      </c>
      <c r="G154" s="12">
        <v>152.0</v>
      </c>
      <c r="H154" s="13" t="str">
        <f t="shared" si="1"/>
        <v>#RH-KE-A-152</v>
      </c>
      <c r="I154" s="13" t="str">
        <f t="shared" si="2"/>
        <v>FO-NBI-00#RH-KE-A-152</v>
      </c>
      <c r="J154" s="25"/>
      <c r="K154" s="66"/>
      <c r="L154" s="31"/>
      <c r="M154" s="31"/>
      <c r="N154" s="26" t="str">
        <f t="shared" si="3"/>
        <v>Roam Hub - </v>
      </c>
      <c r="O154" s="26" t="str">
        <f t="shared" si="4"/>
        <v>FO-NBI-00#RH-KE-A-152: Roam Hub - </v>
      </c>
      <c r="R154" s="53"/>
      <c r="S154" s="78" t="b">
        <v>0</v>
      </c>
      <c r="T154" s="78" t="b">
        <v>0</v>
      </c>
      <c r="U154" s="78" t="b">
        <v>0</v>
      </c>
      <c r="V154" s="30" t="b">
        <v>0</v>
      </c>
      <c r="W154" s="30" t="b">
        <v>0</v>
      </c>
      <c r="X154" s="30"/>
      <c r="Y154" s="30"/>
      <c r="Z154" s="30"/>
      <c r="AA154" s="30"/>
      <c r="AB154" s="30"/>
      <c r="AC154" s="50"/>
      <c r="AD154" s="30"/>
      <c r="AE154" s="12">
        <f t="shared" si="5"/>
        <v>0</v>
      </c>
      <c r="AF154" s="70">
        <f t="shared" si="6"/>
        <v>0</v>
      </c>
      <c r="AG154" s="76"/>
      <c r="AH154" s="76"/>
      <c r="AI154" s="76"/>
      <c r="AJ154" s="76"/>
      <c r="AK154" s="76"/>
      <c r="AL154" s="30"/>
      <c r="AM154" s="79"/>
      <c r="AN154" s="79"/>
      <c r="AO154" s="79"/>
    </row>
    <row r="155" hidden="1">
      <c r="A155" s="12" t="s">
        <v>74</v>
      </c>
      <c r="B155" s="64"/>
      <c r="C155" s="12" t="s">
        <v>248</v>
      </c>
      <c r="D155" s="12" t="str">
        <f>vlookup(C155,'List of Chargers'!$A$2:$B$5,2,FALSE)</f>
        <v>Roam Hub</v>
      </c>
      <c r="E155" s="12" t="s">
        <v>73</v>
      </c>
      <c r="F155" s="12" t="s">
        <v>75</v>
      </c>
      <c r="G155" s="12">
        <v>153.0</v>
      </c>
      <c r="H155" s="13" t="str">
        <f t="shared" si="1"/>
        <v>#RH-KE-A-153</v>
      </c>
      <c r="I155" s="13" t="str">
        <f t="shared" si="2"/>
        <v>FO-NBI-00#RH-KE-A-153</v>
      </c>
      <c r="J155" s="25"/>
      <c r="K155" s="66"/>
      <c r="L155" s="31"/>
      <c r="M155" s="31"/>
      <c r="N155" s="26" t="str">
        <f t="shared" si="3"/>
        <v>Roam Hub - </v>
      </c>
      <c r="O155" s="26" t="str">
        <f t="shared" si="4"/>
        <v>FO-NBI-00#RH-KE-A-153: Roam Hub - </v>
      </c>
      <c r="R155" s="53"/>
      <c r="S155" s="78" t="b">
        <v>0</v>
      </c>
      <c r="T155" s="78" t="b">
        <v>0</v>
      </c>
      <c r="U155" s="78" t="b">
        <v>0</v>
      </c>
      <c r="V155" s="30" t="b">
        <v>0</v>
      </c>
      <c r="W155" s="30" t="b">
        <v>0</v>
      </c>
      <c r="X155" s="30"/>
      <c r="Y155" s="30"/>
      <c r="Z155" s="30"/>
      <c r="AA155" s="30"/>
      <c r="AB155" s="30"/>
      <c r="AC155" s="50"/>
      <c r="AD155" s="30"/>
      <c r="AE155" s="12">
        <f t="shared" si="5"/>
        <v>0</v>
      </c>
      <c r="AF155" s="70">
        <f t="shared" si="6"/>
        <v>0</v>
      </c>
      <c r="AG155" s="76"/>
      <c r="AH155" s="76"/>
      <c r="AI155" s="76"/>
      <c r="AJ155" s="76"/>
      <c r="AK155" s="76"/>
      <c r="AL155" s="30"/>
      <c r="AM155" s="79"/>
      <c r="AN155" s="79"/>
      <c r="AO155" s="79"/>
    </row>
    <row r="156" hidden="1">
      <c r="A156" s="12" t="s">
        <v>74</v>
      </c>
      <c r="B156" s="64"/>
      <c r="C156" s="12" t="s">
        <v>248</v>
      </c>
      <c r="D156" s="12" t="str">
        <f>vlookup(C156,'List of Chargers'!$A$2:$B$5,2,FALSE)</f>
        <v>Roam Hub</v>
      </c>
      <c r="E156" s="12" t="s">
        <v>73</v>
      </c>
      <c r="F156" s="12" t="s">
        <v>75</v>
      </c>
      <c r="G156" s="12">
        <v>154.0</v>
      </c>
      <c r="H156" s="13" t="str">
        <f t="shared" si="1"/>
        <v>#RH-KE-A-154</v>
      </c>
      <c r="I156" s="13" t="str">
        <f t="shared" si="2"/>
        <v>FO-NBI-00#RH-KE-A-154</v>
      </c>
      <c r="J156" s="25"/>
      <c r="K156" s="66"/>
      <c r="L156" s="31"/>
      <c r="M156" s="31"/>
      <c r="N156" s="26" t="str">
        <f t="shared" si="3"/>
        <v>Roam Hub - </v>
      </c>
      <c r="O156" s="26" t="str">
        <f t="shared" si="4"/>
        <v>FO-NBI-00#RH-KE-A-154: Roam Hub - </v>
      </c>
      <c r="R156" s="53"/>
      <c r="S156" s="78" t="b">
        <v>0</v>
      </c>
      <c r="T156" s="78" t="b">
        <v>0</v>
      </c>
      <c r="U156" s="78" t="b">
        <v>0</v>
      </c>
      <c r="V156" s="30" t="b">
        <v>0</v>
      </c>
      <c r="W156" s="30" t="b">
        <v>0</v>
      </c>
      <c r="X156" s="30"/>
      <c r="Y156" s="30"/>
      <c r="Z156" s="30"/>
      <c r="AA156" s="30"/>
      <c r="AB156" s="30"/>
      <c r="AC156" s="50"/>
      <c r="AD156" s="30"/>
      <c r="AE156" s="12">
        <f t="shared" si="5"/>
        <v>0</v>
      </c>
      <c r="AF156" s="70">
        <f t="shared" si="6"/>
        <v>0</v>
      </c>
      <c r="AG156" s="76"/>
      <c r="AH156" s="76"/>
      <c r="AI156" s="76"/>
      <c r="AJ156" s="76"/>
      <c r="AK156" s="76"/>
      <c r="AL156" s="30"/>
      <c r="AM156" s="79"/>
      <c r="AN156" s="79"/>
      <c r="AO156" s="79"/>
    </row>
    <row r="157" hidden="1">
      <c r="A157" s="12" t="s">
        <v>74</v>
      </c>
      <c r="B157" s="64"/>
      <c r="C157" s="12" t="s">
        <v>248</v>
      </c>
      <c r="D157" s="12" t="str">
        <f>vlookup(C157,'List of Chargers'!$A$2:$B$5,2,FALSE)</f>
        <v>Roam Hub</v>
      </c>
      <c r="E157" s="12" t="s">
        <v>73</v>
      </c>
      <c r="F157" s="12" t="s">
        <v>75</v>
      </c>
      <c r="G157" s="12">
        <v>155.0</v>
      </c>
      <c r="H157" s="13" t="str">
        <f t="shared" si="1"/>
        <v>#RH-KE-A-155</v>
      </c>
      <c r="I157" s="13" t="str">
        <f t="shared" si="2"/>
        <v>FO-NBI-00#RH-KE-A-155</v>
      </c>
      <c r="J157" s="25"/>
      <c r="K157" s="66"/>
      <c r="L157" s="31"/>
      <c r="M157" s="31"/>
      <c r="N157" s="26" t="str">
        <f t="shared" si="3"/>
        <v>Roam Hub - </v>
      </c>
      <c r="O157" s="26" t="str">
        <f t="shared" si="4"/>
        <v>FO-NBI-00#RH-KE-A-155: Roam Hub - </v>
      </c>
      <c r="R157" s="53"/>
      <c r="S157" s="78" t="b">
        <v>0</v>
      </c>
      <c r="T157" s="78" t="b">
        <v>0</v>
      </c>
      <c r="U157" s="78" t="b">
        <v>0</v>
      </c>
      <c r="V157" s="30" t="b">
        <v>0</v>
      </c>
      <c r="W157" s="30" t="b">
        <v>0</v>
      </c>
      <c r="X157" s="30"/>
      <c r="Y157" s="30"/>
      <c r="Z157" s="30"/>
      <c r="AA157" s="30"/>
      <c r="AB157" s="30"/>
      <c r="AC157" s="50"/>
      <c r="AD157" s="30"/>
      <c r="AE157" s="12">
        <f t="shared" si="5"/>
        <v>0</v>
      </c>
      <c r="AF157" s="70">
        <f t="shared" si="6"/>
        <v>0</v>
      </c>
      <c r="AG157" s="76"/>
      <c r="AH157" s="76"/>
      <c r="AI157" s="76"/>
      <c r="AJ157" s="76"/>
      <c r="AK157" s="76"/>
      <c r="AL157" s="30"/>
      <c r="AM157" s="79"/>
      <c r="AN157" s="79"/>
      <c r="AO157" s="79"/>
    </row>
    <row r="158" hidden="1">
      <c r="A158" s="12" t="s">
        <v>74</v>
      </c>
      <c r="B158" s="64"/>
      <c r="C158" s="12" t="s">
        <v>248</v>
      </c>
      <c r="D158" s="12" t="str">
        <f>vlookup(C158,'List of Chargers'!$A$2:$B$5,2,FALSE)</f>
        <v>Roam Hub</v>
      </c>
      <c r="E158" s="12" t="s">
        <v>73</v>
      </c>
      <c r="F158" s="12" t="s">
        <v>75</v>
      </c>
      <c r="G158" s="12">
        <v>156.0</v>
      </c>
      <c r="H158" s="13" t="str">
        <f t="shared" si="1"/>
        <v>#RH-KE-A-156</v>
      </c>
      <c r="I158" s="13" t="str">
        <f t="shared" si="2"/>
        <v>FO-NBI-00#RH-KE-A-156</v>
      </c>
      <c r="J158" s="25"/>
      <c r="K158" s="66"/>
      <c r="L158" s="31"/>
      <c r="M158" s="31"/>
      <c r="N158" s="26" t="str">
        <f t="shared" si="3"/>
        <v>Roam Hub - </v>
      </c>
      <c r="O158" s="26" t="str">
        <f t="shared" si="4"/>
        <v>FO-NBI-00#RH-KE-A-156: Roam Hub - </v>
      </c>
      <c r="R158" s="53"/>
      <c r="S158" s="78" t="b">
        <v>0</v>
      </c>
      <c r="T158" s="78" t="b">
        <v>0</v>
      </c>
      <c r="U158" s="78" t="b">
        <v>0</v>
      </c>
      <c r="V158" s="30" t="b">
        <v>0</v>
      </c>
      <c r="W158" s="30" t="b">
        <v>0</v>
      </c>
      <c r="X158" s="30"/>
      <c r="Y158" s="30"/>
      <c r="Z158" s="30"/>
      <c r="AA158" s="30"/>
      <c r="AB158" s="30"/>
      <c r="AC158" s="50"/>
      <c r="AD158" s="30"/>
      <c r="AE158" s="12">
        <f t="shared" si="5"/>
        <v>0</v>
      </c>
      <c r="AF158" s="70">
        <f t="shared" si="6"/>
        <v>0</v>
      </c>
      <c r="AG158" s="76"/>
      <c r="AH158" s="76"/>
      <c r="AI158" s="76"/>
      <c r="AJ158" s="76"/>
      <c r="AK158" s="76"/>
      <c r="AL158" s="30"/>
      <c r="AM158" s="79"/>
      <c r="AN158" s="79"/>
      <c r="AO158" s="79"/>
    </row>
    <row r="159" hidden="1">
      <c r="A159" s="12" t="s">
        <v>74</v>
      </c>
      <c r="B159" s="64"/>
      <c r="C159" s="12" t="s">
        <v>248</v>
      </c>
      <c r="D159" s="12" t="str">
        <f>vlookup(C159,'List of Chargers'!$A$2:$B$5,2,FALSE)</f>
        <v>Roam Hub</v>
      </c>
      <c r="E159" s="12" t="s">
        <v>73</v>
      </c>
      <c r="F159" s="12" t="s">
        <v>75</v>
      </c>
      <c r="G159" s="12">
        <v>157.0</v>
      </c>
      <c r="H159" s="13" t="str">
        <f t="shared" si="1"/>
        <v>#RH-KE-A-157</v>
      </c>
      <c r="I159" s="13" t="str">
        <f t="shared" si="2"/>
        <v>FO-NBI-00#RH-KE-A-157</v>
      </c>
      <c r="J159" s="25"/>
      <c r="K159" s="66"/>
      <c r="L159" s="31"/>
      <c r="M159" s="31"/>
      <c r="N159" s="26" t="str">
        <f t="shared" si="3"/>
        <v>Roam Hub - </v>
      </c>
      <c r="O159" s="26" t="str">
        <f t="shared" si="4"/>
        <v>FO-NBI-00#RH-KE-A-157: Roam Hub - </v>
      </c>
      <c r="R159" s="53"/>
      <c r="S159" s="78" t="b">
        <v>0</v>
      </c>
      <c r="T159" s="78" t="b">
        <v>0</v>
      </c>
      <c r="U159" s="78" t="b">
        <v>0</v>
      </c>
      <c r="V159" s="30" t="b">
        <v>0</v>
      </c>
      <c r="W159" s="30" t="b">
        <v>0</v>
      </c>
      <c r="X159" s="30"/>
      <c r="Y159" s="30"/>
      <c r="Z159" s="30"/>
      <c r="AA159" s="30"/>
      <c r="AB159" s="30"/>
      <c r="AC159" s="50"/>
      <c r="AD159" s="30"/>
      <c r="AE159" s="12">
        <f t="shared" si="5"/>
        <v>0</v>
      </c>
      <c r="AF159" s="70">
        <f t="shared" si="6"/>
        <v>0</v>
      </c>
      <c r="AG159" s="76"/>
      <c r="AH159" s="76"/>
      <c r="AI159" s="76"/>
      <c r="AJ159" s="76"/>
      <c r="AK159" s="76"/>
      <c r="AL159" s="30"/>
      <c r="AM159" s="79"/>
      <c r="AN159" s="79"/>
      <c r="AO159" s="79"/>
    </row>
    <row r="160" hidden="1">
      <c r="A160" s="12" t="s">
        <v>74</v>
      </c>
      <c r="B160" s="64"/>
      <c r="C160" s="12" t="s">
        <v>248</v>
      </c>
      <c r="D160" s="12" t="str">
        <f>vlookup(C160,'List of Chargers'!$A$2:$B$5,2,FALSE)</f>
        <v>Roam Hub</v>
      </c>
      <c r="E160" s="12" t="s">
        <v>73</v>
      </c>
      <c r="F160" s="12" t="s">
        <v>75</v>
      </c>
      <c r="G160" s="12">
        <v>158.0</v>
      </c>
      <c r="H160" s="13" t="str">
        <f t="shared" si="1"/>
        <v>#RH-KE-A-158</v>
      </c>
      <c r="I160" s="13" t="str">
        <f t="shared" si="2"/>
        <v>FO-NBI-00#RH-KE-A-158</v>
      </c>
      <c r="J160" s="25"/>
      <c r="K160" s="66"/>
      <c r="L160" s="31"/>
      <c r="M160" s="31"/>
      <c r="N160" s="26" t="str">
        <f t="shared" si="3"/>
        <v>Roam Hub - </v>
      </c>
      <c r="O160" s="26" t="str">
        <f t="shared" si="4"/>
        <v>FO-NBI-00#RH-KE-A-158: Roam Hub - </v>
      </c>
      <c r="R160" s="53"/>
      <c r="S160" s="78" t="b">
        <v>0</v>
      </c>
      <c r="T160" s="78" t="b">
        <v>0</v>
      </c>
      <c r="U160" s="78" t="b">
        <v>0</v>
      </c>
      <c r="V160" s="30" t="b">
        <v>0</v>
      </c>
      <c r="W160" s="30" t="b">
        <v>0</v>
      </c>
      <c r="X160" s="30"/>
      <c r="Y160" s="30"/>
      <c r="Z160" s="30"/>
      <c r="AA160" s="30"/>
      <c r="AB160" s="30"/>
      <c r="AC160" s="50"/>
      <c r="AD160" s="30"/>
      <c r="AE160" s="12">
        <f t="shared" si="5"/>
        <v>0</v>
      </c>
      <c r="AF160" s="70">
        <f t="shared" si="6"/>
        <v>0</v>
      </c>
      <c r="AG160" s="76"/>
      <c r="AH160" s="76"/>
      <c r="AI160" s="76"/>
      <c r="AJ160" s="76"/>
      <c r="AK160" s="76"/>
      <c r="AL160" s="30"/>
      <c r="AM160" s="79"/>
      <c r="AN160" s="79"/>
      <c r="AO160" s="79"/>
    </row>
    <row r="161" hidden="1">
      <c r="A161" s="12" t="s">
        <v>74</v>
      </c>
      <c r="B161" s="64"/>
      <c r="C161" s="12" t="s">
        <v>248</v>
      </c>
      <c r="D161" s="12" t="str">
        <f>vlookup(C161,'List of Chargers'!$A$2:$B$5,2,FALSE)</f>
        <v>Roam Hub</v>
      </c>
      <c r="E161" s="12" t="s">
        <v>73</v>
      </c>
      <c r="F161" s="12" t="s">
        <v>75</v>
      </c>
      <c r="G161" s="12">
        <v>159.0</v>
      </c>
      <c r="H161" s="13" t="str">
        <f t="shared" si="1"/>
        <v>#RH-KE-A-159</v>
      </c>
      <c r="I161" s="13" t="str">
        <f t="shared" si="2"/>
        <v>FO-NBI-00#RH-KE-A-159</v>
      </c>
      <c r="J161" s="25"/>
      <c r="K161" s="66"/>
      <c r="L161" s="31"/>
      <c r="M161" s="31"/>
      <c r="N161" s="26" t="str">
        <f t="shared" si="3"/>
        <v>Roam Hub - </v>
      </c>
      <c r="O161" s="26" t="str">
        <f t="shared" si="4"/>
        <v>FO-NBI-00#RH-KE-A-159: Roam Hub - </v>
      </c>
      <c r="R161" s="53"/>
      <c r="S161" s="78" t="b">
        <v>0</v>
      </c>
      <c r="T161" s="78" t="b">
        <v>0</v>
      </c>
      <c r="U161" s="78" t="b">
        <v>0</v>
      </c>
      <c r="V161" s="30" t="b">
        <v>0</v>
      </c>
      <c r="W161" s="30" t="b">
        <v>0</v>
      </c>
      <c r="X161" s="30"/>
      <c r="Y161" s="30"/>
      <c r="Z161" s="30"/>
      <c r="AA161" s="30"/>
      <c r="AB161" s="30"/>
      <c r="AC161" s="50"/>
      <c r="AD161" s="30"/>
      <c r="AE161" s="12">
        <f t="shared" si="5"/>
        <v>0</v>
      </c>
      <c r="AF161" s="70">
        <f t="shared" si="6"/>
        <v>0</v>
      </c>
      <c r="AG161" s="76"/>
      <c r="AH161" s="76"/>
      <c r="AI161" s="76"/>
      <c r="AJ161" s="76"/>
      <c r="AK161" s="76"/>
      <c r="AL161" s="30"/>
      <c r="AM161" s="79"/>
      <c r="AN161" s="79"/>
      <c r="AO161" s="79"/>
    </row>
    <row r="162" hidden="1">
      <c r="A162" s="12" t="s">
        <v>74</v>
      </c>
      <c r="B162" s="64"/>
      <c r="C162" s="12" t="s">
        <v>248</v>
      </c>
      <c r="D162" s="12" t="str">
        <f>vlookup(C162,'List of Chargers'!$A$2:$B$5,2,FALSE)</f>
        <v>Roam Hub</v>
      </c>
      <c r="E162" s="12" t="s">
        <v>73</v>
      </c>
      <c r="F162" s="12" t="s">
        <v>75</v>
      </c>
      <c r="G162" s="12">
        <v>160.0</v>
      </c>
      <c r="H162" s="13" t="str">
        <f t="shared" si="1"/>
        <v>#RH-KE-A-160</v>
      </c>
      <c r="I162" s="13" t="str">
        <f t="shared" si="2"/>
        <v>FO-NBI-00#RH-KE-A-160</v>
      </c>
      <c r="J162" s="25"/>
      <c r="K162" s="66"/>
      <c r="L162" s="31"/>
      <c r="M162" s="31"/>
      <c r="N162" s="26" t="str">
        <f t="shared" si="3"/>
        <v>Roam Hub - </v>
      </c>
      <c r="O162" s="26" t="str">
        <f t="shared" si="4"/>
        <v>FO-NBI-00#RH-KE-A-160: Roam Hub - </v>
      </c>
      <c r="R162" s="53"/>
      <c r="S162" s="78" t="b">
        <v>0</v>
      </c>
      <c r="T162" s="78" t="b">
        <v>0</v>
      </c>
      <c r="U162" s="78" t="b">
        <v>0</v>
      </c>
      <c r="V162" s="30" t="b">
        <v>0</v>
      </c>
      <c r="W162" s="30" t="b">
        <v>0</v>
      </c>
      <c r="X162" s="30"/>
      <c r="Y162" s="30"/>
      <c r="Z162" s="30"/>
      <c r="AA162" s="30"/>
      <c r="AB162" s="30"/>
      <c r="AC162" s="50"/>
      <c r="AD162" s="30"/>
      <c r="AE162" s="12">
        <f t="shared" si="5"/>
        <v>0</v>
      </c>
      <c r="AF162" s="70">
        <f t="shared" si="6"/>
        <v>0</v>
      </c>
      <c r="AG162" s="76"/>
      <c r="AH162" s="76"/>
      <c r="AI162" s="76"/>
      <c r="AJ162" s="76"/>
      <c r="AK162" s="76"/>
      <c r="AL162" s="30"/>
      <c r="AM162" s="79"/>
      <c r="AN162" s="79"/>
      <c r="AO162" s="79"/>
    </row>
    <row r="163" hidden="1">
      <c r="A163" s="12" t="s">
        <v>74</v>
      </c>
      <c r="B163" s="64"/>
      <c r="C163" s="12" t="s">
        <v>248</v>
      </c>
      <c r="D163" s="12" t="str">
        <f>vlookup(C163,'List of Chargers'!$A$2:$B$5,2,FALSE)</f>
        <v>Roam Hub</v>
      </c>
      <c r="E163" s="12" t="s">
        <v>73</v>
      </c>
      <c r="F163" s="12" t="s">
        <v>75</v>
      </c>
      <c r="G163" s="12">
        <v>161.0</v>
      </c>
      <c r="H163" s="13" t="str">
        <f t="shared" si="1"/>
        <v>#RH-KE-A-161</v>
      </c>
      <c r="I163" s="13" t="str">
        <f t="shared" si="2"/>
        <v>FO-NBI-00#RH-KE-A-161</v>
      </c>
      <c r="J163" s="25"/>
      <c r="K163" s="66"/>
      <c r="L163" s="31"/>
      <c r="M163" s="31"/>
      <c r="N163" s="26" t="str">
        <f t="shared" si="3"/>
        <v>Roam Hub - </v>
      </c>
      <c r="O163" s="26" t="str">
        <f t="shared" si="4"/>
        <v>FO-NBI-00#RH-KE-A-161: Roam Hub - </v>
      </c>
      <c r="R163" s="53"/>
      <c r="S163" s="78" t="b">
        <v>0</v>
      </c>
      <c r="T163" s="78" t="b">
        <v>0</v>
      </c>
      <c r="U163" s="78" t="b">
        <v>0</v>
      </c>
      <c r="V163" s="30" t="b">
        <v>0</v>
      </c>
      <c r="W163" s="30" t="b">
        <v>0</v>
      </c>
      <c r="X163" s="30"/>
      <c r="Y163" s="30"/>
      <c r="Z163" s="30"/>
      <c r="AA163" s="30"/>
      <c r="AB163" s="30"/>
      <c r="AC163" s="50"/>
      <c r="AD163" s="30"/>
      <c r="AE163" s="12">
        <f t="shared" si="5"/>
        <v>0</v>
      </c>
      <c r="AF163" s="70">
        <f t="shared" si="6"/>
        <v>0</v>
      </c>
      <c r="AG163" s="76"/>
      <c r="AH163" s="76"/>
      <c r="AI163" s="76"/>
      <c r="AJ163" s="76"/>
      <c r="AK163" s="76"/>
      <c r="AL163" s="30"/>
      <c r="AM163" s="79"/>
      <c r="AN163" s="79"/>
      <c r="AO163" s="79"/>
    </row>
    <row r="164" hidden="1">
      <c r="A164" s="12" t="s">
        <v>74</v>
      </c>
      <c r="B164" s="64"/>
      <c r="C164" s="12" t="s">
        <v>248</v>
      </c>
      <c r="D164" s="12" t="str">
        <f>vlookup(C164,'List of Chargers'!$A$2:$B$5,2,FALSE)</f>
        <v>Roam Hub</v>
      </c>
      <c r="E164" s="12" t="s">
        <v>73</v>
      </c>
      <c r="F164" s="12" t="s">
        <v>75</v>
      </c>
      <c r="G164" s="12">
        <v>162.0</v>
      </c>
      <c r="H164" s="13" t="str">
        <f t="shared" si="1"/>
        <v>#RH-KE-A-162</v>
      </c>
      <c r="I164" s="13" t="str">
        <f t="shared" si="2"/>
        <v>FO-NBI-00#RH-KE-A-162</v>
      </c>
      <c r="J164" s="25"/>
      <c r="K164" s="66"/>
      <c r="L164" s="31"/>
      <c r="M164" s="31"/>
      <c r="N164" s="26" t="str">
        <f t="shared" si="3"/>
        <v>Roam Hub - </v>
      </c>
      <c r="O164" s="26" t="str">
        <f t="shared" si="4"/>
        <v>FO-NBI-00#RH-KE-A-162: Roam Hub - </v>
      </c>
      <c r="R164" s="53"/>
      <c r="S164" s="78" t="b">
        <v>0</v>
      </c>
      <c r="T164" s="78" t="b">
        <v>0</v>
      </c>
      <c r="U164" s="78" t="b">
        <v>0</v>
      </c>
      <c r="V164" s="30" t="b">
        <v>0</v>
      </c>
      <c r="W164" s="30" t="b">
        <v>0</v>
      </c>
      <c r="X164" s="30"/>
      <c r="Y164" s="30"/>
      <c r="Z164" s="30"/>
      <c r="AA164" s="30"/>
      <c r="AB164" s="30"/>
      <c r="AC164" s="50"/>
      <c r="AD164" s="30"/>
      <c r="AE164" s="12">
        <f t="shared" si="5"/>
        <v>0</v>
      </c>
      <c r="AF164" s="70">
        <f t="shared" si="6"/>
        <v>0</v>
      </c>
      <c r="AG164" s="76"/>
      <c r="AH164" s="76"/>
      <c r="AI164" s="76"/>
      <c r="AJ164" s="76"/>
      <c r="AK164" s="76"/>
      <c r="AL164" s="30"/>
      <c r="AM164" s="79"/>
      <c r="AN164" s="79"/>
      <c r="AO164" s="79"/>
    </row>
    <row r="165" hidden="1">
      <c r="A165" s="12" t="s">
        <v>74</v>
      </c>
      <c r="B165" s="64"/>
      <c r="C165" s="12" t="s">
        <v>248</v>
      </c>
      <c r="D165" s="12" t="str">
        <f>vlookup(C165,'List of Chargers'!$A$2:$B$5,2,FALSE)</f>
        <v>Roam Hub</v>
      </c>
      <c r="E165" s="12" t="s">
        <v>73</v>
      </c>
      <c r="F165" s="12" t="s">
        <v>75</v>
      </c>
      <c r="G165" s="12">
        <v>163.0</v>
      </c>
      <c r="H165" s="13" t="str">
        <f t="shared" si="1"/>
        <v>#RH-KE-A-163</v>
      </c>
      <c r="I165" s="13" t="str">
        <f t="shared" si="2"/>
        <v>FO-NBI-00#RH-KE-A-163</v>
      </c>
      <c r="J165" s="25"/>
      <c r="K165" s="66"/>
      <c r="L165" s="31"/>
      <c r="M165" s="31"/>
      <c r="N165" s="26" t="str">
        <f t="shared" si="3"/>
        <v>Roam Hub - </v>
      </c>
      <c r="O165" s="26" t="str">
        <f t="shared" si="4"/>
        <v>FO-NBI-00#RH-KE-A-163: Roam Hub - </v>
      </c>
      <c r="R165" s="53"/>
      <c r="S165" s="78" t="b">
        <v>0</v>
      </c>
      <c r="T165" s="78" t="b">
        <v>0</v>
      </c>
      <c r="U165" s="78" t="b">
        <v>0</v>
      </c>
      <c r="V165" s="30" t="b">
        <v>0</v>
      </c>
      <c r="W165" s="30" t="b">
        <v>0</v>
      </c>
      <c r="X165" s="30"/>
      <c r="Y165" s="30"/>
      <c r="Z165" s="30"/>
      <c r="AA165" s="30"/>
      <c r="AB165" s="30"/>
      <c r="AC165" s="50"/>
      <c r="AD165" s="30"/>
      <c r="AE165" s="12">
        <f t="shared" si="5"/>
        <v>0</v>
      </c>
      <c r="AF165" s="70">
        <f t="shared" si="6"/>
        <v>0</v>
      </c>
      <c r="AG165" s="76"/>
      <c r="AH165" s="76"/>
      <c r="AI165" s="76"/>
      <c r="AJ165" s="76"/>
      <c r="AK165" s="76"/>
      <c r="AL165" s="30"/>
      <c r="AM165" s="79"/>
      <c r="AN165" s="79"/>
      <c r="AO165" s="79"/>
    </row>
    <row r="166" hidden="1">
      <c r="A166" s="12" t="s">
        <v>74</v>
      </c>
      <c r="B166" s="64"/>
      <c r="C166" s="12" t="s">
        <v>248</v>
      </c>
      <c r="D166" s="12" t="str">
        <f>vlookup(C166,'List of Chargers'!$A$2:$B$5,2,FALSE)</f>
        <v>Roam Hub</v>
      </c>
      <c r="E166" s="12" t="s">
        <v>73</v>
      </c>
      <c r="F166" s="12" t="s">
        <v>75</v>
      </c>
      <c r="G166" s="12">
        <v>164.0</v>
      </c>
      <c r="H166" s="13" t="str">
        <f t="shared" si="1"/>
        <v>#RH-KE-A-164</v>
      </c>
      <c r="I166" s="13" t="str">
        <f t="shared" si="2"/>
        <v>FO-NBI-00#RH-KE-A-164</v>
      </c>
      <c r="J166" s="25"/>
      <c r="K166" s="66"/>
      <c r="L166" s="31"/>
      <c r="M166" s="31"/>
      <c r="N166" s="26" t="str">
        <f t="shared" si="3"/>
        <v>Roam Hub - </v>
      </c>
      <c r="O166" s="26" t="str">
        <f t="shared" si="4"/>
        <v>FO-NBI-00#RH-KE-A-164: Roam Hub - </v>
      </c>
      <c r="R166" s="53"/>
      <c r="S166" s="78" t="b">
        <v>0</v>
      </c>
      <c r="T166" s="78" t="b">
        <v>0</v>
      </c>
      <c r="U166" s="78" t="b">
        <v>0</v>
      </c>
      <c r="V166" s="30" t="b">
        <v>0</v>
      </c>
      <c r="W166" s="30" t="b">
        <v>0</v>
      </c>
      <c r="X166" s="30"/>
      <c r="Y166" s="30"/>
      <c r="Z166" s="30"/>
      <c r="AA166" s="30"/>
      <c r="AB166" s="30"/>
      <c r="AC166" s="50"/>
      <c r="AD166" s="30"/>
      <c r="AE166" s="12">
        <f t="shared" si="5"/>
        <v>0</v>
      </c>
      <c r="AF166" s="70">
        <f t="shared" si="6"/>
        <v>0</v>
      </c>
      <c r="AG166" s="76"/>
      <c r="AH166" s="76"/>
      <c r="AI166" s="76"/>
      <c r="AJ166" s="76"/>
      <c r="AK166" s="76"/>
      <c r="AL166" s="30"/>
      <c r="AM166" s="79"/>
      <c r="AN166" s="79"/>
      <c r="AO166" s="79"/>
    </row>
    <row r="167" hidden="1">
      <c r="A167" s="12" t="s">
        <v>74</v>
      </c>
      <c r="B167" s="64"/>
      <c r="C167" s="12" t="s">
        <v>248</v>
      </c>
      <c r="D167" s="12" t="str">
        <f>vlookup(C167,'List of Chargers'!$A$2:$B$5,2,FALSE)</f>
        <v>Roam Hub</v>
      </c>
      <c r="E167" s="12" t="s">
        <v>73</v>
      </c>
      <c r="F167" s="12" t="s">
        <v>75</v>
      </c>
      <c r="G167" s="12">
        <v>165.0</v>
      </c>
      <c r="H167" s="13" t="str">
        <f t="shared" si="1"/>
        <v>#RH-KE-A-165</v>
      </c>
      <c r="I167" s="13" t="str">
        <f t="shared" si="2"/>
        <v>FO-NBI-00#RH-KE-A-165</v>
      </c>
      <c r="J167" s="25"/>
      <c r="K167" s="66"/>
      <c r="L167" s="31"/>
      <c r="M167" s="31"/>
      <c r="N167" s="26" t="str">
        <f t="shared" si="3"/>
        <v>Roam Hub - </v>
      </c>
      <c r="O167" s="26" t="str">
        <f t="shared" si="4"/>
        <v>FO-NBI-00#RH-KE-A-165: Roam Hub - </v>
      </c>
      <c r="R167" s="53"/>
      <c r="S167" s="78" t="b">
        <v>0</v>
      </c>
      <c r="T167" s="78" t="b">
        <v>0</v>
      </c>
      <c r="U167" s="78" t="b">
        <v>0</v>
      </c>
      <c r="V167" s="30" t="b">
        <v>0</v>
      </c>
      <c r="W167" s="30" t="b">
        <v>0</v>
      </c>
      <c r="X167" s="30"/>
      <c r="Y167" s="30"/>
      <c r="Z167" s="30"/>
      <c r="AA167" s="30"/>
      <c r="AB167" s="30"/>
      <c r="AC167" s="50"/>
      <c r="AD167" s="30"/>
      <c r="AE167" s="12">
        <f t="shared" si="5"/>
        <v>0</v>
      </c>
      <c r="AF167" s="70">
        <f t="shared" si="6"/>
        <v>0</v>
      </c>
      <c r="AG167" s="76"/>
      <c r="AH167" s="76"/>
      <c r="AI167" s="76"/>
      <c r="AJ167" s="76"/>
      <c r="AK167" s="76"/>
      <c r="AL167" s="30"/>
      <c r="AM167" s="79"/>
      <c r="AN167" s="79"/>
      <c r="AO167" s="79"/>
    </row>
    <row r="168" hidden="1">
      <c r="A168" s="12" t="s">
        <v>74</v>
      </c>
      <c r="B168" s="64"/>
      <c r="C168" s="12" t="s">
        <v>248</v>
      </c>
      <c r="D168" s="12" t="str">
        <f>vlookup(C168,'List of Chargers'!$A$2:$B$5,2,FALSE)</f>
        <v>Roam Hub</v>
      </c>
      <c r="E168" s="12" t="s">
        <v>73</v>
      </c>
      <c r="F168" s="12" t="s">
        <v>75</v>
      </c>
      <c r="G168" s="12">
        <v>166.0</v>
      </c>
      <c r="H168" s="13" t="str">
        <f t="shared" si="1"/>
        <v>#RH-KE-A-166</v>
      </c>
      <c r="I168" s="13" t="str">
        <f t="shared" si="2"/>
        <v>FO-NBI-00#RH-KE-A-166</v>
      </c>
      <c r="J168" s="25"/>
      <c r="K168" s="66"/>
      <c r="L168" s="31"/>
      <c r="M168" s="31"/>
      <c r="N168" s="26" t="str">
        <f t="shared" si="3"/>
        <v>Roam Hub - </v>
      </c>
      <c r="O168" s="26" t="str">
        <f t="shared" si="4"/>
        <v>FO-NBI-00#RH-KE-A-166: Roam Hub - </v>
      </c>
      <c r="R168" s="53"/>
      <c r="S168" s="78" t="b">
        <v>0</v>
      </c>
      <c r="T168" s="78" t="b">
        <v>0</v>
      </c>
      <c r="U168" s="78" t="b">
        <v>0</v>
      </c>
      <c r="V168" s="30" t="b">
        <v>0</v>
      </c>
      <c r="W168" s="30" t="b">
        <v>0</v>
      </c>
      <c r="X168" s="30"/>
      <c r="Y168" s="30"/>
      <c r="Z168" s="30"/>
      <c r="AA168" s="30"/>
      <c r="AB168" s="30"/>
      <c r="AC168" s="50"/>
      <c r="AD168" s="30"/>
      <c r="AE168" s="12">
        <f t="shared" si="5"/>
        <v>0</v>
      </c>
      <c r="AF168" s="70">
        <f t="shared" si="6"/>
        <v>0</v>
      </c>
      <c r="AG168" s="76"/>
      <c r="AH168" s="76"/>
      <c r="AI168" s="76"/>
      <c r="AJ168" s="76"/>
      <c r="AK168" s="76"/>
      <c r="AL168" s="30"/>
      <c r="AM168" s="79"/>
      <c r="AN168" s="79"/>
      <c r="AO168" s="79"/>
    </row>
    <row r="169" hidden="1">
      <c r="A169" s="12" t="s">
        <v>74</v>
      </c>
      <c r="B169" s="64"/>
      <c r="C169" s="12" t="s">
        <v>248</v>
      </c>
      <c r="D169" s="12" t="str">
        <f>vlookup(C169,'List of Chargers'!$A$2:$B$5,2,FALSE)</f>
        <v>Roam Hub</v>
      </c>
      <c r="E169" s="12" t="s">
        <v>73</v>
      </c>
      <c r="F169" s="12" t="s">
        <v>75</v>
      </c>
      <c r="G169" s="12">
        <v>167.0</v>
      </c>
      <c r="H169" s="13" t="str">
        <f t="shared" si="1"/>
        <v>#RH-KE-A-167</v>
      </c>
      <c r="I169" s="13" t="str">
        <f t="shared" si="2"/>
        <v>FO-NBI-00#RH-KE-A-167</v>
      </c>
      <c r="J169" s="25"/>
      <c r="K169" s="66"/>
      <c r="L169" s="31"/>
      <c r="M169" s="31"/>
      <c r="N169" s="26" t="str">
        <f t="shared" si="3"/>
        <v>Roam Hub - </v>
      </c>
      <c r="O169" s="26" t="str">
        <f t="shared" si="4"/>
        <v>FO-NBI-00#RH-KE-A-167: Roam Hub - </v>
      </c>
      <c r="R169" s="53"/>
      <c r="S169" s="78" t="b">
        <v>0</v>
      </c>
      <c r="T169" s="78" t="b">
        <v>0</v>
      </c>
      <c r="U169" s="78" t="b">
        <v>0</v>
      </c>
      <c r="V169" s="30" t="b">
        <v>0</v>
      </c>
      <c r="W169" s="30" t="b">
        <v>0</v>
      </c>
      <c r="X169" s="30"/>
      <c r="Y169" s="30"/>
      <c r="Z169" s="30"/>
      <c r="AA169" s="30"/>
      <c r="AB169" s="30"/>
      <c r="AC169" s="50"/>
      <c r="AD169" s="30"/>
      <c r="AE169" s="12">
        <f t="shared" si="5"/>
        <v>0</v>
      </c>
      <c r="AF169" s="70">
        <f t="shared" si="6"/>
        <v>0</v>
      </c>
      <c r="AG169" s="76"/>
      <c r="AH169" s="76"/>
      <c r="AI169" s="76"/>
      <c r="AJ169" s="76"/>
      <c r="AK169" s="76"/>
      <c r="AL169" s="30"/>
      <c r="AM169" s="79"/>
      <c r="AN169" s="79"/>
      <c r="AO169" s="79"/>
    </row>
    <row r="170" hidden="1">
      <c r="A170" s="12" t="s">
        <v>74</v>
      </c>
      <c r="B170" s="64"/>
      <c r="C170" s="12" t="s">
        <v>248</v>
      </c>
      <c r="D170" s="12" t="str">
        <f>vlookup(C170,'List of Chargers'!$A$2:$B$5,2,FALSE)</f>
        <v>Roam Hub</v>
      </c>
      <c r="E170" s="12" t="s">
        <v>73</v>
      </c>
      <c r="F170" s="12" t="s">
        <v>75</v>
      </c>
      <c r="G170" s="12">
        <v>168.0</v>
      </c>
      <c r="H170" s="13" t="str">
        <f t="shared" si="1"/>
        <v>#RH-KE-A-168</v>
      </c>
      <c r="I170" s="13" t="str">
        <f t="shared" si="2"/>
        <v>FO-NBI-00#RH-KE-A-168</v>
      </c>
      <c r="J170" s="25"/>
      <c r="K170" s="66"/>
      <c r="L170" s="31"/>
      <c r="M170" s="31"/>
      <c r="N170" s="26" t="str">
        <f t="shared" si="3"/>
        <v>Roam Hub - </v>
      </c>
      <c r="O170" s="26" t="str">
        <f t="shared" si="4"/>
        <v>FO-NBI-00#RH-KE-A-168: Roam Hub - </v>
      </c>
      <c r="R170" s="53"/>
      <c r="S170" s="78" t="b">
        <v>0</v>
      </c>
      <c r="T170" s="78" t="b">
        <v>0</v>
      </c>
      <c r="U170" s="78" t="b">
        <v>0</v>
      </c>
      <c r="V170" s="30" t="b">
        <v>0</v>
      </c>
      <c r="W170" s="30" t="b">
        <v>0</v>
      </c>
      <c r="X170" s="30"/>
      <c r="Y170" s="30"/>
      <c r="Z170" s="30"/>
      <c r="AA170" s="30"/>
      <c r="AB170" s="30"/>
      <c r="AC170" s="50"/>
      <c r="AD170" s="30"/>
      <c r="AE170" s="12">
        <f t="shared" si="5"/>
        <v>0</v>
      </c>
      <c r="AF170" s="70">
        <f t="shared" si="6"/>
        <v>0</v>
      </c>
      <c r="AG170" s="76"/>
      <c r="AH170" s="76"/>
      <c r="AI170" s="76"/>
      <c r="AJ170" s="76"/>
      <c r="AK170" s="76"/>
      <c r="AL170" s="30"/>
      <c r="AM170" s="79"/>
      <c r="AN170" s="79"/>
      <c r="AO170" s="79"/>
    </row>
    <row r="171" hidden="1">
      <c r="A171" s="12" t="s">
        <v>74</v>
      </c>
      <c r="B171" s="64"/>
      <c r="C171" s="12" t="s">
        <v>248</v>
      </c>
      <c r="D171" s="12" t="str">
        <f>vlookup(C171,'List of Chargers'!$A$2:$B$5,2,FALSE)</f>
        <v>Roam Hub</v>
      </c>
      <c r="E171" s="12" t="s">
        <v>73</v>
      </c>
      <c r="F171" s="12" t="s">
        <v>75</v>
      </c>
      <c r="G171" s="12">
        <v>169.0</v>
      </c>
      <c r="H171" s="13" t="str">
        <f t="shared" si="1"/>
        <v>#RH-KE-A-169</v>
      </c>
      <c r="I171" s="13" t="str">
        <f t="shared" si="2"/>
        <v>FO-NBI-00#RH-KE-A-169</v>
      </c>
      <c r="J171" s="25"/>
      <c r="K171" s="66"/>
      <c r="L171" s="31"/>
      <c r="M171" s="31"/>
      <c r="N171" s="26" t="str">
        <f t="shared" si="3"/>
        <v>Roam Hub - </v>
      </c>
      <c r="O171" s="26" t="str">
        <f t="shared" si="4"/>
        <v>FO-NBI-00#RH-KE-A-169: Roam Hub - </v>
      </c>
      <c r="R171" s="53"/>
      <c r="S171" s="78" t="b">
        <v>0</v>
      </c>
      <c r="T171" s="78" t="b">
        <v>0</v>
      </c>
      <c r="U171" s="78" t="b">
        <v>0</v>
      </c>
      <c r="V171" s="30" t="b">
        <v>0</v>
      </c>
      <c r="W171" s="30" t="b">
        <v>0</v>
      </c>
      <c r="X171" s="30"/>
      <c r="Y171" s="30"/>
      <c r="Z171" s="30"/>
      <c r="AA171" s="30"/>
      <c r="AB171" s="30"/>
      <c r="AC171" s="50"/>
      <c r="AD171" s="30"/>
      <c r="AE171" s="12">
        <f t="shared" si="5"/>
        <v>0</v>
      </c>
      <c r="AF171" s="70">
        <f t="shared" si="6"/>
        <v>0</v>
      </c>
      <c r="AG171" s="76"/>
      <c r="AH171" s="76"/>
      <c r="AI171" s="76"/>
      <c r="AJ171" s="76"/>
      <c r="AK171" s="76"/>
      <c r="AL171" s="30"/>
      <c r="AM171" s="79"/>
      <c r="AN171" s="79"/>
      <c r="AO171" s="79"/>
    </row>
    <row r="172" hidden="1">
      <c r="A172" s="12" t="s">
        <v>74</v>
      </c>
      <c r="B172" s="64"/>
      <c r="C172" s="12" t="s">
        <v>248</v>
      </c>
      <c r="D172" s="12" t="str">
        <f>vlookup(C172,'List of Chargers'!$A$2:$B$5,2,FALSE)</f>
        <v>Roam Hub</v>
      </c>
      <c r="E172" s="12" t="s">
        <v>73</v>
      </c>
      <c r="F172" s="12" t="s">
        <v>75</v>
      </c>
      <c r="G172" s="12">
        <v>170.0</v>
      </c>
      <c r="H172" s="13" t="str">
        <f t="shared" si="1"/>
        <v>#RH-KE-A-170</v>
      </c>
      <c r="I172" s="13" t="str">
        <f t="shared" si="2"/>
        <v>FO-NBI-00#RH-KE-A-170</v>
      </c>
      <c r="J172" s="25"/>
      <c r="K172" s="66"/>
      <c r="L172" s="31"/>
      <c r="M172" s="31"/>
      <c r="N172" s="26" t="str">
        <f t="shared" si="3"/>
        <v>Roam Hub - </v>
      </c>
      <c r="O172" s="26" t="str">
        <f t="shared" si="4"/>
        <v>FO-NBI-00#RH-KE-A-170: Roam Hub - </v>
      </c>
      <c r="R172" s="53"/>
      <c r="S172" s="78" t="b">
        <v>0</v>
      </c>
      <c r="T172" s="78" t="b">
        <v>0</v>
      </c>
      <c r="U172" s="78" t="b">
        <v>0</v>
      </c>
      <c r="V172" s="30" t="b">
        <v>0</v>
      </c>
      <c r="W172" s="30" t="b">
        <v>0</v>
      </c>
      <c r="X172" s="30"/>
      <c r="Y172" s="30"/>
      <c r="Z172" s="30"/>
      <c r="AA172" s="30"/>
      <c r="AB172" s="30"/>
      <c r="AC172" s="50"/>
      <c r="AD172" s="30"/>
      <c r="AE172" s="12">
        <f t="shared" si="5"/>
        <v>0</v>
      </c>
      <c r="AF172" s="70">
        <f t="shared" si="6"/>
        <v>0</v>
      </c>
      <c r="AG172" s="76"/>
      <c r="AH172" s="76"/>
      <c r="AI172" s="76"/>
      <c r="AJ172" s="76"/>
      <c r="AK172" s="76"/>
      <c r="AL172" s="30"/>
      <c r="AM172" s="79"/>
      <c r="AN172" s="79"/>
      <c r="AO172" s="79"/>
    </row>
    <row r="173" hidden="1">
      <c r="A173" s="12" t="s">
        <v>74</v>
      </c>
      <c r="B173" s="64"/>
      <c r="C173" s="12" t="s">
        <v>248</v>
      </c>
      <c r="D173" s="12" t="str">
        <f>vlookup(C173,'List of Chargers'!$A$2:$B$5,2,FALSE)</f>
        <v>Roam Hub</v>
      </c>
      <c r="E173" s="12" t="s">
        <v>73</v>
      </c>
      <c r="F173" s="12" t="s">
        <v>75</v>
      </c>
      <c r="G173" s="12">
        <v>171.0</v>
      </c>
      <c r="H173" s="13" t="str">
        <f t="shared" si="1"/>
        <v>#RH-KE-A-171</v>
      </c>
      <c r="I173" s="13" t="str">
        <f t="shared" si="2"/>
        <v>FO-NBI-00#RH-KE-A-171</v>
      </c>
      <c r="J173" s="25"/>
      <c r="K173" s="66"/>
      <c r="L173" s="31"/>
      <c r="M173" s="31"/>
      <c r="N173" s="26" t="str">
        <f t="shared" si="3"/>
        <v>Roam Hub - </v>
      </c>
      <c r="O173" s="26" t="str">
        <f t="shared" si="4"/>
        <v>FO-NBI-00#RH-KE-A-171: Roam Hub - </v>
      </c>
      <c r="R173" s="53"/>
      <c r="S173" s="78" t="b">
        <v>0</v>
      </c>
      <c r="T173" s="78" t="b">
        <v>0</v>
      </c>
      <c r="U173" s="78" t="b">
        <v>0</v>
      </c>
      <c r="V173" s="30" t="b">
        <v>0</v>
      </c>
      <c r="W173" s="30" t="b">
        <v>0</v>
      </c>
      <c r="X173" s="30"/>
      <c r="Y173" s="30"/>
      <c r="Z173" s="30"/>
      <c r="AA173" s="30"/>
      <c r="AB173" s="30"/>
      <c r="AC173" s="50"/>
      <c r="AD173" s="30"/>
      <c r="AE173" s="12">
        <f t="shared" si="5"/>
        <v>0</v>
      </c>
      <c r="AF173" s="70">
        <f t="shared" si="6"/>
        <v>0</v>
      </c>
      <c r="AG173" s="76"/>
      <c r="AH173" s="76"/>
      <c r="AI173" s="76"/>
      <c r="AJ173" s="76"/>
      <c r="AK173" s="76"/>
      <c r="AL173" s="30"/>
      <c r="AM173" s="79"/>
      <c r="AN173" s="79"/>
      <c r="AO173" s="79"/>
    </row>
    <row r="174" hidden="1">
      <c r="A174" s="12" t="s">
        <v>74</v>
      </c>
      <c r="B174" s="64"/>
      <c r="C174" s="12" t="s">
        <v>248</v>
      </c>
      <c r="D174" s="12" t="str">
        <f>vlookup(C174,'List of Chargers'!$A$2:$B$5,2,FALSE)</f>
        <v>Roam Hub</v>
      </c>
      <c r="E174" s="12" t="s">
        <v>73</v>
      </c>
      <c r="F174" s="12" t="s">
        <v>75</v>
      </c>
      <c r="G174" s="12">
        <v>172.0</v>
      </c>
      <c r="H174" s="13" t="str">
        <f t="shared" si="1"/>
        <v>#RH-KE-A-172</v>
      </c>
      <c r="I174" s="13" t="str">
        <f t="shared" si="2"/>
        <v>FO-NBI-00#RH-KE-A-172</v>
      </c>
      <c r="J174" s="25"/>
      <c r="K174" s="66"/>
      <c r="L174" s="31"/>
      <c r="M174" s="31"/>
      <c r="N174" s="26" t="str">
        <f t="shared" si="3"/>
        <v>Roam Hub - </v>
      </c>
      <c r="O174" s="26" t="str">
        <f t="shared" si="4"/>
        <v>FO-NBI-00#RH-KE-A-172: Roam Hub - </v>
      </c>
      <c r="R174" s="53"/>
      <c r="S174" s="78" t="b">
        <v>0</v>
      </c>
      <c r="T174" s="78" t="b">
        <v>0</v>
      </c>
      <c r="U174" s="78" t="b">
        <v>0</v>
      </c>
      <c r="V174" s="30" t="b">
        <v>0</v>
      </c>
      <c r="W174" s="30" t="b">
        <v>0</v>
      </c>
      <c r="X174" s="30"/>
      <c r="Y174" s="30"/>
      <c r="Z174" s="30"/>
      <c r="AA174" s="30"/>
      <c r="AB174" s="30"/>
      <c r="AC174" s="50"/>
      <c r="AD174" s="30"/>
      <c r="AE174" s="12">
        <f t="shared" si="5"/>
        <v>0</v>
      </c>
      <c r="AF174" s="70">
        <f t="shared" si="6"/>
        <v>0</v>
      </c>
      <c r="AG174" s="76"/>
      <c r="AH174" s="76"/>
      <c r="AI174" s="76"/>
      <c r="AJ174" s="76"/>
      <c r="AK174" s="76"/>
      <c r="AL174" s="30"/>
      <c r="AM174" s="79"/>
      <c r="AN174" s="79"/>
      <c r="AO174" s="79"/>
    </row>
    <row r="175" hidden="1">
      <c r="A175" s="12" t="s">
        <v>74</v>
      </c>
      <c r="B175" s="64"/>
      <c r="C175" s="12" t="s">
        <v>248</v>
      </c>
      <c r="D175" s="12" t="str">
        <f>vlookup(C175,'List of Chargers'!$A$2:$B$5,2,FALSE)</f>
        <v>Roam Hub</v>
      </c>
      <c r="E175" s="12" t="s">
        <v>73</v>
      </c>
      <c r="F175" s="12" t="s">
        <v>75</v>
      </c>
      <c r="G175" s="12">
        <v>173.0</v>
      </c>
      <c r="H175" s="13" t="str">
        <f t="shared" si="1"/>
        <v>#RH-KE-A-173</v>
      </c>
      <c r="I175" s="13" t="str">
        <f t="shared" si="2"/>
        <v>FO-NBI-00#RH-KE-A-173</v>
      </c>
      <c r="J175" s="25"/>
      <c r="K175" s="66"/>
      <c r="L175" s="31"/>
      <c r="M175" s="31"/>
      <c r="N175" s="26" t="str">
        <f t="shared" si="3"/>
        <v>Roam Hub - </v>
      </c>
      <c r="O175" s="26" t="str">
        <f t="shared" si="4"/>
        <v>FO-NBI-00#RH-KE-A-173: Roam Hub - </v>
      </c>
      <c r="R175" s="53"/>
      <c r="S175" s="78" t="b">
        <v>0</v>
      </c>
      <c r="T175" s="78" t="b">
        <v>0</v>
      </c>
      <c r="U175" s="78" t="b">
        <v>0</v>
      </c>
      <c r="V175" s="30" t="b">
        <v>0</v>
      </c>
      <c r="W175" s="30" t="b">
        <v>0</v>
      </c>
      <c r="X175" s="30"/>
      <c r="Y175" s="30"/>
      <c r="Z175" s="30"/>
      <c r="AA175" s="30"/>
      <c r="AB175" s="30"/>
      <c r="AC175" s="50"/>
      <c r="AD175" s="30"/>
      <c r="AE175" s="12">
        <f t="shared" si="5"/>
        <v>0</v>
      </c>
      <c r="AF175" s="70">
        <f t="shared" si="6"/>
        <v>0</v>
      </c>
      <c r="AG175" s="76"/>
      <c r="AH175" s="76"/>
      <c r="AI175" s="76"/>
      <c r="AJ175" s="76"/>
      <c r="AK175" s="76"/>
      <c r="AL175" s="30"/>
      <c r="AM175" s="79"/>
      <c r="AN175" s="79"/>
      <c r="AO175" s="79"/>
    </row>
    <row r="176" hidden="1">
      <c r="A176" s="12" t="s">
        <v>74</v>
      </c>
      <c r="B176" s="64"/>
      <c r="C176" s="12" t="s">
        <v>248</v>
      </c>
      <c r="D176" s="12" t="str">
        <f>vlookup(C176,'List of Chargers'!$A$2:$B$5,2,FALSE)</f>
        <v>Roam Hub</v>
      </c>
      <c r="E176" s="12" t="s">
        <v>73</v>
      </c>
      <c r="F176" s="12" t="s">
        <v>75</v>
      </c>
      <c r="G176" s="12">
        <v>174.0</v>
      </c>
      <c r="H176" s="13" t="str">
        <f t="shared" si="1"/>
        <v>#RH-KE-A-174</v>
      </c>
      <c r="I176" s="13" t="str">
        <f t="shared" si="2"/>
        <v>FO-NBI-00#RH-KE-A-174</v>
      </c>
      <c r="J176" s="25"/>
      <c r="K176" s="66"/>
      <c r="L176" s="31"/>
      <c r="M176" s="31"/>
      <c r="N176" s="26" t="str">
        <f t="shared" si="3"/>
        <v>Roam Hub - </v>
      </c>
      <c r="O176" s="26" t="str">
        <f t="shared" si="4"/>
        <v>FO-NBI-00#RH-KE-A-174: Roam Hub - </v>
      </c>
      <c r="R176" s="53"/>
      <c r="S176" s="78" t="b">
        <v>0</v>
      </c>
      <c r="T176" s="78" t="b">
        <v>0</v>
      </c>
      <c r="U176" s="78" t="b">
        <v>0</v>
      </c>
      <c r="V176" s="30" t="b">
        <v>0</v>
      </c>
      <c r="W176" s="30" t="b">
        <v>0</v>
      </c>
      <c r="X176" s="30"/>
      <c r="Y176" s="30"/>
      <c r="Z176" s="30"/>
      <c r="AA176" s="30"/>
      <c r="AB176" s="30"/>
      <c r="AC176" s="50"/>
      <c r="AD176" s="30"/>
      <c r="AE176" s="12">
        <f t="shared" si="5"/>
        <v>0</v>
      </c>
      <c r="AF176" s="70">
        <f t="shared" si="6"/>
        <v>0</v>
      </c>
      <c r="AG176" s="76"/>
      <c r="AH176" s="76"/>
      <c r="AI176" s="76"/>
      <c r="AJ176" s="76"/>
      <c r="AK176" s="76"/>
      <c r="AL176" s="30"/>
      <c r="AM176" s="79"/>
      <c r="AN176" s="79"/>
      <c r="AO176" s="79"/>
    </row>
    <row r="177" hidden="1">
      <c r="A177" s="12" t="s">
        <v>74</v>
      </c>
      <c r="B177" s="64"/>
      <c r="C177" s="12" t="s">
        <v>248</v>
      </c>
      <c r="D177" s="12" t="str">
        <f>vlookup(C177,'List of Chargers'!$A$2:$B$5,2,FALSE)</f>
        <v>Roam Hub</v>
      </c>
      <c r="E177" s="12" t="s">
        <v>73</v>
      </c>
      <c r="F177" s="12" t="s">
        <v>75</v>
      </c>
      <c r="G177" s="12">
        <v>175.0</v>
      </c>
      <c r="H177" s="13" t="str">
        <f t="shared" si="1"/>
        <v>#RH-KE-A-175</v>
      </c>
      <c r="I177" s="13" t="str">
        <f t="shared" si="2"/>
        <v>FO-NBI-00#RH-KE-A-175</v>
      </c>
      <c r="J177" s="25"/>
      <c r="K177" s="66"/>
      <c r="L177" s="31"/>
      <c r="M177" s="31"/>
      <c r="N177" s="26" t="str">
        <f t="shared" si="3"/>
        <v>Roam Hub - </v>
      </c>
      <c r="O177" s="26" t="str">
        <f t="shared" si="4"/>
        <v>FO-NBI-00#RH-KE-A-175: Roam Hub - </v>
      </c>
      <c r="R177" s="53"/>
      <c r="S177" s="78" t="b">
        <v>0</v>
      </c>
      <c r="T177" s="78" t="b">
        <v>0</v>
      </c>
      <c r="U177" s="78" t="b">
        <v>0</v>
      </c>
      <c r="V177" s="30" t="b">
        <v>0</v>
      </c>
      <c r="W177" s="30" t="b">
        <v>0</v>
      </c>
      <c r="X177" s="30"/>
      <c r="Y177" s="30"/>
      <c r="Z177" s="30"/>
      <c r="AA177" s="30"/>
      <c r="AB177" s="30"/>
      <c r="AC177" s="50"/>
      <c r="AD177" s="30"/>
      <c r="AE177" s="12">
        <f t="shared" si="5"/>
        <v>0</v>
      </c>
      <c r="AF177" s="70">
        <f t="shared" si="6"/>
        <v>0</v>
      </c>
      <c r="AG177" s="76"/>
      <c r="AH177" s="76"/>
      <c r="AI177" s="76"/>
      <c r="AJ177" s="76"/>
      <c r="AK177" s="76"/>
      <c r="AL177" s="30"/>
      <c r="AM177" s="79"/>
      <c r="AN177" s="79"/>
      <c r="AO177" s="79"/>
    </row>
    <row r="178" hidden="1">
      <c r="A178" s="12" t="s">
        <v>74</v>
      </c>
      <c r="B178" s="64"/>
      <c r="C178" s="12" t="s">
        <v>248</v>
      </c>
      <c r="D178" s="12" t="str">
        <f>vlookup(C178,'List of Chargers'!$A$2:$B$5,2,FALSE)</f>
        <v>Roam Hub</v>
      </c>
      <c r="E178" s="12" t="s">
        <v>73</v>
      </c>
      <c r="F178" s="12" t="s">
        <v>75</v>
      </c>
      <c r="G178" s="12">
        <v>176.0</v>
      </c>
      <c r="H178" s="13" t="str">
        <f t="shared" si="1"/>
        <v>#RH-KE-A-176</v>
      </c>
      <c r="I178" s="13" t="str">
        <f t="shared" si="2"/>
        <v>FO-NBI-00#RH-KE-A-176</v>
      </c>
      <c r="J178" s="25"/>
      <c r="K178" s="66"/>
      <c r="L178" s="31"/>
      <c r="M178" s="31"/>
      <c r="N178" s="26" t="str">
        <f t="shared" si="3"/>
        <v>Roam Hub - </v>
      </c>
      <c r="O178" s="26" t="str">
        <f t="shared" si="4"/>
        <v>FO-NBI-00#RH-KE-A-176: Roam Hub - </v>
      </c>
      <c r="R178" s="53"/>
      <c r="S178" s="78" t="b">
        <v>0</v>
      </c>
      <c r="T178" s="78" t="b">
        <v>0</v>
      </c>
      <c r="U178" s="78" t="b">
        <v>0</v>
      </c>
      <c r="V178" s="30" t="b">
        <v>0</v>
      </c>
      <c r="W178" s="30" t="b">
        <v>0</v>
      </c>
      <c r="X178" s="30"/>
      <c r="Y178" s="30"/>
      <c r="Z178" s="30"/>
      <c r="AA178" s="30"/>
      <c r="AB178" s="30"/>
      <c r="AC178" s="50"/>
      <c r="AD178" s="30"/>
      <c r="AE178" s="12">
        <f t="shared" si="5"/>
        <v>0</v>
      </c>
      <c r="AF178" s="70">
        <f t="shared" si="6"/>
        <v>0</v>
      </c>
      <c r="AG178" s="76"/>
      <c r="AH178" s="76"/>
      <c r="AI178" s="76"/>
      <c r="AJ178" s="76"/>
      <c r="AK178" s="76"/>
      <c r="AL178" s="30"/>
      <c r="AM178" s="79"/>
      <c r="AN178" s="79"/>
      <c r="AO178" s="79"/>
    </row>
    <row r="179" hidden="1">
      <c r="A179" s="12" t="s">
        <v>74</v>
      </c>
      <c r="B179" s="64"/>
      <c r="C179" s="12" t="s">
        <v>248</v>
      </c>
      <c r="D179" s="12" t="str">
        <f>vlookup(C179,'List of Chargers'!$A$2:$B$5,2,FALSE)</f>
        <v>Roam Hub</v>
      </c>
      <c r="E179" s="12" t="s">
        <v>73</v>
      </c>
      <c r="F179" s="12" t="s">
        <v>75</v>
      </c>
      <c r="G179" s="12">
        <v>177.0</v>
      </c>
      <c r="H179" s="13" t="str">
        <f t="shared" si="1"/>
        <v>#RH-KE-A-177</v>
      </c>
      <c r="I179" s="13" t="str">
        <f t="shared" si="2"/>
        <v>FO-NBI-00#RH-KE-A-177</v>
      </c>
      <c r="J179" s="25"/>
      <c r="K179" s="66"/>
      <c r="L179" s="31"/>
      <c r="M179" s="31"/>
      <c r="N179" s="26" t="str">
        <f t="shared" si="3"/>
        <v>Roam Hub - </v>
      </c>
      <c r="O179" s="26" t="str">
        <f t="shared" si="4"/>
        <v>FO-NBI-00#RH-KE-A-177: Roam Hub - </v>
      </c>
      <c r="R179" s="53"/>
      <c r="S179" s="78" t="b">
        <v>0</v>
      </c>
      <c r="T179" s="78" t="b">
        <v>0</v>
      </c>
      <c r="U179" s="78" t="b">
        <v>0</v>
      </c>
      <c r="V179" s="30" t="b">
        <v>0</v>
      </c>
      <c r="W179" s="30" t="b">
        <v>0</v>
      </c>
      <c r="X179" s="30"/>
      <c r="Y179" s="30"/>
      <c r="Z179" s="30"/>
      <c r="AA179" s="30"/>
      <c r="AB179" s="30"/>
      <c r="AC179" s="50"/>
      <c r="AD179" s="30"/>
      <c r="AE179" s="12">
        <f t="shared" si="5"/>
        <v>0</v>
      </c>
      <c r="AF179" s="70">
        <f t="shared" si="6"/>
        <v>0</v>
      </c>
      <c r="AG179" s="76"/>
      <c r="AH179" s="76"/>
      <c r="AI179" s="76"/>
      <c r="AJ179" s="76"/>
      <c r="AK179" s="76"/>
      <c r="AL179" s="30"/>
      <c r="AM179" s="79"/>
      <c r="AN179" s="79"/>
      <c r="AO179" s="79"/>
    </row>
    <row r="180" hidden="1">
      <c r="A180" s="12" t="s">
        <v>74</v>
      </c>
      <c r="B180" s="64"/>
      <c r="C180" s="12" t="s">
        <v>248</v>
      </c>
      <c r="D180" s="12" t="str">
        <f>vlookup(C180,'List of Chargers'!$A$2:$B$5,2,FALSE)</f>
        <v>Roam Hub</v>
      </c>
      <c r="E180" s="12" t="s">
        <v>73</v>
      </c>
      <c r="F180" s="12" t="s">
        <v>75</v>
      </c>
      <c r="G180" s="12">
        <v>178.0</v>
      </c>
      <c r="H180" s="13" t="str">
        <f t="shared" si="1"/>
        <v>#RH-KE-A-178</v>
      </c>
      <c r="I180" s="13" t="str">
        <f t="shared" si="2"/>
        <v>FO-NBI-00#RH-KE-A-178</v>
      </c>
      <c r="J180" s="25"/>
      <c r="K180" s="66"/>
      <c r="L180" s="31"/>
      <c r="M180" s="31"/>
      <c r="N180" s="26" t="str">
        <f t="shared" si="3"/>
        <v>Roam Hub - </v>
      </c>
      <c r="O180" s="26" t="str">
        <f t="shared" si="4"/>
        <v>FO-NBI-00#RH-KE-A-178: Roam Hub - </v>
      </c>
      <c r="R180" s="53"/>
      <c r="S180" s="78" t="b">
        <v>0</v>
      </c>
      <c r="T180" s="78" t="b">
        <v>0</v>
      </c>
      <c r="U180" s="78" t="b">
        <v>0</v>
      </c>
      <c r="V180" s="30" t="b">
        <v>0</v>
      </c>
      <c r="W180" s="30" t="b">
        <v>0</v>
      </c>
      <c r="X180" s="30"/>
      <c r="Y180" s="30"/>
      <c r="Z180" s="30"/>
      <c r="AA180" s="30"/>
      <c r="AB180" s="30"/>
      <c r="AC180" s="50"/>
      <c r="AD180" s="30"/>
      <c r="AE180" s="12">
        <f t="shared" si="5"/>
        <v>0</v>
      </c>
      <c r="AF180" s="70">
        <f t="shared" si="6"/>
        <v>0</v>
      </c>
      <c r="AG180" s="76"/>
      <c r="AH180" s="76"/>
      <c r="AI180" s="76"/>
      <c r="AJ180" s="76"/>
      <c r="AK180" s="76"/>
      <c r="AL180" s="30"/>
      <c r="AM180" s="79"/>
      <c r="AN180" s="79"/>
      <c r="AO180" s="79"/>
    </row>
    <row r="181" hidden="1">
      <c r="A181" s="12" t="s">
        <v>74</v>
      </c>
      <c r="B181" s="64"/>
      <c r="C181" s="12" t="s">
        <v>248</v>
      </c>
      <c r="D181" s="12" t="str">
        <f>vlookup(C181,'List of Chargers'!$A$2:$B$5,2,FALSE)</f>
        <v>Roam Hub</v>
      </c>
      <c r="E181" s="12" t="s">
        <v>73</v>
      </c>
      <c r="F181" s="12" t="s">
        <v>75</v>
      </c>
      <c r="G181" s="12">
        <v>179.0</v>
      </c>
      <c r="H181" s="13" t="str">
        <f t="shared" si="1"/>
        <v>#RH-KE-A-179</v>
      </c>
      <c r="I181" s="13" t="str">
        <f t="shared" si="2"/>
        <v>FO-NBI-00#RH-KE-A-179</v>
      </c>
      <c r="J181" s="25"/>
      <c r="K181" s="66"/>
      <c r="L181" s="31"/>
      <c r="M181" s="31"/>
      <c r="N181" s="26" t="str">
        <f t="shared" si="3"/>
        <v>Roam Hub - </v>
      </c>
      <c r="O181" s="26" t="str">
        <f t="shared" si="4"/>
        <v>FO-NBI-00#RH-KE-A-179: Roam Hub - </v>
      </c>
      <c r="R181" s="53"/>
      <c r="S181" s="78" t="b">
        <v>0</v>
      </c>
      <c r="T181" s="78" t="b">
        <v>0</v>
      </c>
      <c r="U181" s="78" t="b">
        <v>0</v>
      </c>
      <c r="V181" s="30" t="b">
        <v>0</v>
      </c>
      <c r="W181" s="30" t="b">
        <v>0</v>
      </c>
      <c r="X181" s="30"/>
      <c r="Y181" s="30"/>
      <c r="Z181" s="30"/>
      <c r="AA181" s="30"/>
      <c r="AB181" s="30"/>
      <c r="AC181" s="50"/>
      <c r="AD181" s="30"/>
      <c r="AE181" s="12">
        <f t="shared" si="5"/>
        <v>0</v>
      </c>
      <c r="AF181" s="70">
        <f t="shared" si="6"/>
        <v>0</v>
      </c>
      <c r="AG181" s="76"/>
      <c r="AH181" s="76"/>
      <c r="AI181" s="76"/>
      <c r="AJ181" s="76"/>
      <c r="AK181" s="76"/>
      <c r="AL181" s="30"/>
      <c r="AM181" s="79"/>
      <c r="AN181" s="79"/>
      <c r="AO181" s="79"/>
    </row>
    <row r="182" hidden="1">
      <c r="A182" s="12" t="s">
        <v>74</v>
      </c>
      <c r="B182" s="64"/>
      <c r="C182" s="12" t="s">
        <v>248</v>
      </c>
      <c r="D182" s="12" t="str">
        <f>vlookup(C182,'List of Chargers'!$A$2:$B$5,2,FALSE)</f>
        <v>Roam Hub</v>
      </c>
      <c r="E182" s="12" t="s">
        <v>73</v>
      </c>
      <c r="F182" s="12" t="s">
        <v>75</v>
      </c>
      <c r="G182" s="12">
        <v>180.0</v>
      </c>
      <c r="H182" s="13" t="str">
        <f t="shared" si="1"/>
        <v>#RH-KE-A-180</v>
      </c>
      <c r="I182" s="13" t="str">
        <f t="shared" si="2"/>
        <v>FO-NBI-00#RH-KE-A-180</v>
      </c>
      <c r="J182" s="25"/>
      <c r="K182" s="66"/>
      <c r="L182" s="31"/>
      <c r="M182" s="31"/>
      <c r="N182" s="26" t="str">
        <f t="shared" si="3"/>
        <v>Roam Hub - </v>
      </c>
      <c r="O182" s="26" t="str">
        <f t="shared" si="4"/>
        <v>FO-NBI-00#RH-KE-A-180: Roam Hub - </v>
      </c>
      <c r="R182" s="53"/>
      <c r="S182" s="78" t="b">
        <v>0</v>
      </c>
      <c r="T182" s="78" t="b">
        <v>0</v>
      </c>
      <c r="U182" s="78" t="b">
        <v>0</v>
      </c>
      <c r="V182" s="30" t="b">
        <v>0</v>
      </c>
      <c r="W182" s="30" t="b">
        <v>0</v>
      </c>
      <c r="X182" s="30"/>
      <c r="Y182" s="30"/>
      <c r="Z182" s="30"/>
      <c r="AA182" s="30"/>
      <c r="AB182" s="30"/>
      <c r="AC182" s="50"/>
      <c r="AD182" s="30"/>
      <c r="AE182" s="12">
        <f t="shared" si="5"/>
        <v>0</v>
      </c>
      <c r="AF182" s="70">
        <f t="shared" si="6"/>
        <v>0</v>
      </c>
      <c r="AG182" s="76"/>
      <c r="AH182" s="76"/>
      <c r="AI182" s="76"/>
      <c r="AJ182" s="76"/>
      <c r="AK182" s="76"/>
      <c r="AL182" s="30"/>
      <c r="AM182" s="79"/>
      <c r="AN182" s="79"/>
      <c r="AO182" s="79"/>
    </row>
    <row r="183" hidden="1">
      <c r="A183" s="12" t="s">
        <v>74</v>
      </c>
      <c r="B183" s="64"/>
      <c r="C183" s="12" t="s">
        <v>248</v>
      </c>
      <c r="D183" s="12" t="str">
        <f>vlookup(C183,'List of Chargers'!$A$2:$B$5,2,FALSE)</f>
        <v>Roam Hub</v>
      </c>
      <c r="E183" s="12" t="s">
        <v>73</v>
      </c>
      <c r="F183" s="12" t="s">
        <v>75</v>
      </c>
      <c r="G183" s="12">
        <v>181.0</v>
      </c>
      <c r="H183" s="13" t="str">
        <f t="shared" si="1"/>
        <v>#RH-KE-A-181</v>
      </c>
      <c r="I183" s="13" t="str">
        <f t="shared" si="2"/>
        <v>FO-NBI-00#RH-KE-A-181</v>
      </c>
      <c r="J183" s="25"/>
      <c r="K183" s="66"/>
      <c r="L183" s="31"/>
      <c r="M183" s="31"/>
      <c r="N183" s="26" t="str">
        <f t="shared" si="3"/>
        <v>Roam Hub - </v>
      </c>
      <c r="O183" s="26" t="str">
        <f t="shared" si="4"/>
        <v>FO-NBI-00#RH-KE-A-181: Roam Hub - </v>
      </c>
      <c r="R183" s="53"/>
      <c r="S183" s="78" t="b">
        <v>0</v>
      </c>
      <c r="T183" s="78" t="b">
        <v>0</v>
      </c>
      <c r="U183" s="78" t="b">
        <v>0</v>
      </c>
      <c r="V183" s="30" t="b">
        <v>0</v>
      </c>
      <c r="W183" s="30" t="b">
        <v>0</v>
      </c>
      <c r="X183" s="30"/>
      <c r="Y183" s="30"/>
      <c r="Z183" s="30"/>
      <c r="AA183" s="30"/>
      <c r="AB183" s="30"/>
      <c r="AC183" s="50"/>
      <c r="AD183" s="30"/>
      <c r="AE183" s="12">
        <f t="shared" si="5"/>
        <v>0</v>
      </c>
      <c r="AF183" s="70">
        <f t="shared" si="6"/>
        <v>0</v>
      </c>
      <c r="AG183" s="76"/>
      <c r="AH183" s="76"/>
      <c r="AI183" s="76"/>
      <c r="AJ183" s="76"/>
      <c r="AK183" s="76"/>
      <c r="AL183" s="30"/>
      <c r="AM183" s="79"/>
      <c r="AN183" s="79"/>
      <c r="AO183" s="79"/>
    </row>
    <row r="184" hidden="1">
      <c r="A184" s="12" t="s">
        <v>74</v>
      </c>
      <c r="B184" s="64"/>
      <c r="C184" s="12" t="s">
        <v>248</v>
      </c>
      <c r="D184" s="12" t="str">
        <f>vlookup(C184,'List of Chargers'!$A$2:$B$5,2,FALSE)</f>
        <v>Roam Hub</v>
      </c>
      <c r="E184" s="12" t="s">
        <v>73</v>
      </c>
      <c r="F184" s="12" t="s">
        <v>75</v>
      </c>
      <c r="G184" s="12">
        <v>182.0</v>
      </c>
      <c r="H184" s="13" t="str">
        <f t="shared" si="1"/>
        <v>#RH-KE-A-182</v>
      </c>
      <c r="I184" s="13" t="str">
        <f t="shared" si="2"/>
        <v>FO-NBI-00#RH-KE-A-182</v>
      </c>
      <c r="J184" s="25"/>
      <c r="K184" s="66"/>
      <c r="L184" s="31"/>
      <c r="M184" s="31"/>
      <c r="N184" s="26" t="str">
        <f t="shared" si="3"/>
        <v>Roam Hub - </v>
      </c>
      <c r="O184" s="26" t="str">
        <f t="shared" si="4"/>
        <v>FO-NBI-00#RH-KE-A-182: Roam Hub - </v>
      </c>
      <c r="R184" s="53"/>
      <c r="S184" s="78" t="b">
        <v>0</v>
      </c>
      <c r="T184" s="78" t="b">
        <v>0</v>
      </c>
      <c r="U184" s="78" t="b">
        <v>0</v>
      </c>
      <c r="V184" s="30" t="b">
        <v>0</v>
      </c>
      <c r="W184" s="30" t="b">
        <v>0</v>
      </c>
      <c r="X184" s="30"/>
      <c r="Y184" s="30"/>
      <c r="Z184" s="30"/>
      <c r="AA184" s="30"/>
      <c r="AB184" s="30"/>
      <c r="AC184" s="50"/>
      <c r="AD184" s="30"/>
      <c r="AE184" s="12">
        <f t="shared" si="5"/>
        <v>0</v>
      </c>
      <c r="AF184" s="70">
        <f t="shared" si="6"/>
        <v>0</v>
      </c>
      <c r="AG184" s="76"/>
      <c r="AH184" s="76"/>
      <c r="AI184" s="76"/>
      <c r="AJ184" s="76"/>
      <c r="AK184" s="76"/>
      <c r="AL184" s="30"/>
      <c r="AM184" s="79"/>
      <c r="AN184" s="79"/>
      <c r="AO184" s="79"/>
    </row>
    <row r="185" hidden="1">
      <c r="A185" s="12" t="s">
        <v>74</v>
      </c>
      <c r="B185" s="64"/>
      <c r="C185" s="12" t="s">
        <v>248</v>
      </c>
      <c r="D185" s="12" t="str">
        <f>vlookup(C185,'List of Chargers'!$A$2:$B$5,2,FALSE)</f>
        <v>Roam Hub</v>
      </c>
      <c r="E185" s="12" t="s">
        <v>73</v>
      </c>
      <c r="F185" s="12" t="s">
        <v>75</v>
      </c>
      <c r="G185" s="12">
        <v>183.0</v>
      </c>
      <c r="H185" s="13" t="str">
        <f t="shared" si="1"/>
        <v>#RH-KE-A-183</v>
      </c>
      <c r="I185" s="13" t="str">
        <f t="shared" si="2"/>
        <v>FO-NBI-00#RH-KE-A-183</v>
      </c>
      <c r="J185" s="25"/>
      <c r="K185" s="66"/>
      <c r="L185" s="31"/>
      <c r="M185" s="31"/>
      <c r="N185" s="26" t="str">
        <f t="shared" si="3"/>
        <v>Roam Hub - </v>
      </c>
      <c r="O185" s="26" t="str">
        <f t="shared" si="4"/>
        <v>FO-NBI-00#RH-KE-A-183: Roam Hub - </v>
      </c>
      <c r="R185" s="53"/>
      <c r="S185" s="78" t="b">
        <v>0</v>
      </c>
      <c r="T185" s="78" t="b">
        <v>0</v>
      </c>
      <c r="U185" s="78" t="b">
        <v>0</v>
      </c>
      <c r="V185" s="30" t="b">
        <v>0</v>
      </c>
      <c r="W185" s="30" t="b">
        <v>0</v>
      </c>
      <c r="X185" s="30"/>
      <c r="Y185" s="30"/>
      <c r="Z185" s="30"/>
      <c r="AA185" s="30"/>
      <c r="AB185" s="30"/>
      <c r="AC185" s="50"/>
      <c r="AD185" s="30"/>
      <c r="AE185" s="12">
        <f t="shared" si="5"/>
        <v>0</v>
      </c>
      <c r="AF185" s="70">
        <f t="shared" si="6"/>
        <v>0</v>
      </c>
      <c r="AG185" s="76"/>
      <c r="AH185" s="76"/>
      <c r="AI185" s="76"/>
      <c r="AJ185" s="76"/>
      <c r="AK185" s="76"/>
      <c r="AL185" s="30"/>
      <c r="AM185" s="79"/>
      <c r="AN185" s="79"/>
      <c r="AO185" s="79"/>
    </row>
    <row r="186" hidden="1">
      <c r="A186" s="12" t="s">
        <v>74</v>
      </c>
      <c r="B186" s="64"/>
      <c r="C186" s="12" t="s">
        <v>248</v>
      </c>
      <c r="D186" s="12" t="str">
        <f>vlookup(C186,'List of Chargers'!$A$2:$B$5,2,FALSE)</f>
        <v>Roam Hub</v>
      </c>
      <c r="E186" s="12" t="s">
        <v>73</v>
      </c>
      <c r="F186" s="12" t="s">
        <v>75</v>
      </c>
      <c r="G186" s="12">
        <v>184.0</v>
      </c>
      <c r="H186" s="13" t="str">
        <f t="shared" si="1"/>
        <v>#RH-KE-A-184</v>
      </c>
      <c r="I186" s="13" t="str">
        <f t="shared" si="2"/>
        <v>FO-NBI-00#RH-KE-A-184</v>
      </c>
      <c r="J186" s="25"/>
      <c r="K186" s="66"/>
      <c r="L186" s="31"/>
      <c r="M186" s="31"/>
      <c r="N186" s="26" t="str">
        <f t="shared" si="3"/>
        <v>Roam Hub - </v>
      </c>
      <c r="O186" s="26" t="str">
        <f t="shared" si="4"/>
        <v>FO-NBI-00#RH-KE-A-184: Roam Hub - </v>
      </c>
      <c r="R186" s="53"/>
      <c r="S186" s="78" t="b">
        <v>0</v>
      </c>
      <c r="T186" s="78" t="b">
        <v>0</v>
      </c>
      <c r="U186" s="78" t="b">
        <v>0</v>
      </c>
      <c r="V186" s="30" t="b">
        <v>0</v>
      </c>
      <c r="W186" s="30" t="b">
        <v>0</v>
      </c>
      <c r="X186" s="30"/>
      <c r="Y186" s="30"/>
      <c r="Z186" s="30"/>
      <c r="AA186" s="30"/>
      <c r="AB186" s="30"/>
      <c r="AC186" s="50"/>
      <c r="AD186" s="30"/>
      <c r="AE186" s="12">
        <f t="shared" si="5"/>
        <v>0</v>
      </c>
      <c r="AF186" s="70">
        <f t="shared" si="6"/>
        <v>0</v>
      </c>
      <c r="AG186" s="76"/>
      <c r="AH186" s="76"/>
      <c r="AI186" s="76"/>
      <c r="AJ186" s="76"/>
      <c r="AK186" s="76"/>
      <c r="AL186" s="30"/>
      <c r="AM186" s="79"/>
      <c r="AN186" s="79"/>
      <c r="AO186" s="79"/>
    </row>
    <row r="187" hidden="1">
      <c r="A187" s="12" t="s">
        <v>74</v>
      </c>
      <c r="B187" s="64"/>
      <c r="C187" s="12" t="s">
        <v>248</v>
      </c>
      <c r="D187" s="12" t="str">
        <f>vlookup(C187,'List of Chargers'!$A$2:$B$5,2,FALSE)</f>
        <v>Roam Hub</v>
      </c>
      <c r="E187" s="12" t="s">
        <v>73</v>
      </c>
      <c r="F187" s="12" t="s">
        <v>75</v>
      </c>
      <c r="G187" s="12">
        <v>185.0</v>
      </c>
      <c r="H187" s="13" t="str">
        <f t="shared" si="1"/>
        <v>#RH-KE-A-185</v>
      </c>
      <c r="I187" s="13" t="str">
        <f t="shared" si="2"/>
        <v>FO-NBI-00#RH-KE-A-185</v>
      </c>
      <c r="J187" s="25"/>
      <c r="K187" s="66"/>
      <c r="L187" s="31"/>
      <c r="M187" s="31"/>
      <c r="N187" s="26" t="str">
        <f t="shared" si="3"/>
        <v>Roam Hub - </v>
      </c>
      <c r="O187" s="26" t="str">
        <f t="shared" si="4"/>
        <v>FO-NBI-00#RH-KE-A-185: Roam Hub - </v>
      </c>
      <c r="R187" s="53"/>
      <c r="S187" s="78" t="b">
        <v>0</v>
      </c>
      <c r="T187" s="78" t="b">
        <v>0</v>
      </c>
      <c r="U187" s="78" t="b">
        <v>0</v>
      </c>
      <c r="V187" s="30" t="b">
        <v>0</v>
      </c>
      <c r="W187" s="30" t="b">
        <v>0</v>
      </c>
      <c r="X187" s="30"/>
      <c r="Y187" s="30"/>
      <c r="Z187" s="30"/>
      <c r="AA187" s="30"/>
      <c r="AB187" s="30"/>
      <c r="AC187" s="50"/>
      <c r="AD187" s="30"/>
      <c r="AE187" s="12">
        <f t="shared" si="5"/>
        <v>0</v>
      </c>
      <c r="AF187" s="70">
        <f t="shared" si="6"/>
        <v>0</v>
      </c>
      <c r="AG187" s="76"/>
      <c r="AH187" s="76"/>
      <c r="AI187" s="76"/>
      <c r="AJ187" s="76"/>
      <c r="AK187" s="76"/>
      <c r="AL187" s="30"/>
      <c r="AM187" s="79"/>
      <c r="AN187" s="79"/>
      <c r="AO187" s="79"/>
    </row>
    <row r="188" hidden="1">
      <c r="A188" s="12" t="s">
        <v>74</v>
      </c>
      <c r="B188" s="64"/>
      <c r="C188" s="12" t="s">
        <v>248</v>
      </c>
      <c r="D188" s="12" t="str">
        <f>vlookup(C188,'List of Chargers'!$A$2:$B$5,2,FALSE)</f>
        <v>Roam Hub</v>
      </c>
      <c r="E188" s="12" t="s">
        <v>73</v>
      </c>
      <c r="F188" s="12" t="s">
        <v>75</v>
      </c>
      <c r="G188" s="12">
        <v>186.0</v>
      </c>
      <c r="H188" s="13" t="str">
        <f t="shared" si="1"/>
        <v>#RH-KE-A-186</v>
      </c>
      <c r="I188" s="13" t="str">
        <f t="shared" si="2"/>
        <v>FO-NBI-00#RH-KE-A-186</v>
      </c>
      <c r="J188" s="25"/>
      <c r="K188" s="66"/>
      <c r="L188" s="31"/>
      <c r="M188" s="31"/>
      <c r="N188" s="26" t="str">
        <f t="shared" si="3"/>
        <v>Roam Hub - </v>
      </c>
      <c r="O188" s="26" t="str">
        <f t="shared" si="4"/>
        <v>FO-NBI-00#RH-KE-A-186: Roam Hub - </v>
      </c>
      <c r="R188" s="53"/>
      <c r="S188" s="78" t="b">
        <v>0</v>
      </c>
      <c r="T188" s="78" t="b">
        <v>0</v>
      </c>
      <c r="U188" s="78" t="b">
        <v>0</v>
      </c>
      <c r="V188" s="30" t="b">
        <v>0</v>
      </c>
      <c r="W188" s="30" t="b">
        <v>0</v>
      </c>
      <c r="X188" s="30"/>
      <c r="Y188" s="30"/>
      <c r="Z188" s="30"/>
      <c r="AA188" s="30"/>
      <c r="AB188" s="30"/>
      <c r="AC188" s="50"/>
      <c r="AD188" s="30"/>
      <c r="AE188" s="12">
        <f t="shared" si="5"/>
        <v>0</v>
      </c>
      <c r="AF188" s="70">
        <f t="shared" si="6"/>
        <v>0</v>
      </c>
      <c r="AG188" s="76"/>
      <c r="AH188" s="76"/>
      <c r="AI188" s="76"/>
      <c r="AJ188" s="76"/>
      <c r="AK188" s="76"/>
      <c r="AL188" s="30"/>
      <c r="AM188" s="79"/>
      <c r="AN188" s="79"/>
      <c r="AO188" s="79"/>
    </row>
    <row r="189" hidden="1">
      <c r="A189" s="12" t="s">
        <v>74</v>
      </c>
      <c r="B189" s="64"/>
      <c r="C189" s="12" t="s">
        <v>248</v>
      </c>
      <c r="D189" s="12" t="str">
        <f>vlookup(C189,'List of Chargers'!$A$2:$B$5,2,FALSE)</f>
        <v>Roam Hub</v>
      </c>
      <c r="E189" s="12" t="s">
        <v>73</v>
      </c>
      <c r="F189" s="12" t="s">
        <v>75</v>
      </c>
      <c r="G189" s="12">
        <v>187.0</v>
      </c>
      <c r="H189" s="13" t="str">
        <f t="shared" si="1"/>
        <v>#RH-KE-A-187</v>
      </c>
      <c r="I189" s="13" t="str">
        <f t="shared" si="2"/>
        <v>FO-NBI-00#RH-KE-A-187</v>
      </c>
      <c r="J189" s="25"/>
      <c r="K189" s="66"/>
      <c r="L189" s="31"/>
      <c r="M189" s="31"/>
      <c r="N189" s="26" t="str">
        <f t="shared" si="3"/>
        <v>Roam Hub - </v>
      </c>
      <c r="O189" s="26" t="str">
        <f t="shared" si="4"/>
        <v>FO-NBI-00#RH-KE-A-187: Roam Hub - </v>
      </c>
      <c r="R189" s="53"/>
      <c r="S189" s="78" t="b">
        <v>0</v>
      </c>
      <c r="T189" s="78" t="b">
        <v>0</v>
      </c>
      <c r="U189" s="78" t="b">
        <v>0</v>
      </c>
      <c r="V189" s="30" t="b">
        <v>0</v>
      </c>
      <c r="W189" s="30" t="b">
        <v>0</v>
      </c>
      <c r="X189" s="30"/>
      <c r="Y189" s="30"/>
      <c r="Z189" s="30"/>
      <c r="AA189" s="30"/>
      <c r="AB189" s="30"/>
      <c r="AC189" s="50"/>
      <c r="AD189" s="30"/>
      <c r="AE189" s="12">
        <f t="shared" si="5"/>
        <v>0</v>
      </c>
      <c r="AF189" s="70">
        <f t="shared" si="6"/>
        <v>0</v>
      </c>
      <c r="AG189" s="76"/>
      <c r="AH189" s="76"/>
      <c r="AI189" s="76"/>
      <c r="AJ189" s="76"/>
      <c r="AK189" s="76"/>
      <c r="AL189" s="30"/>
      <c r="AM189" s="79"/>
      <c r="AN189" s="79"/>
      <c r="AO189" s="79"/>
    </row>
    <row r="190" hidden="1">
      <c r="A190" s="12" t="s">
        <v>74</v>
      </c>
      <c r="B190" s="64"/>
      <c r="C190" s="12" t="s">
        <v>248</v>
      </c>
      <c r="D190" s="12" t="str">
        <f>vlookup(C190,'List of Chargers'!$A$2:$B$5,2,FALSE)</f>
        <v>Roam Hub</v>
      </c>
      <c r="E190" s="12" t="s">
        <v>73</v>
      </c>
      <c r="F190" s="12" t="s">
        <v>75</v>
      </c>
      <c r="G190" s="12">
        <v>188.0</v>
      </c>
      <c r="H190" s="13" t="str">
        <f t="shared" si="1"/>
        <v>#RH-KE-A-188</v>
      </c>
      <c r="I190" s="13" t="str">
        <f t="shared" si="2"/>
        <v>FO-NBI-00#RH-KE-A-188</v>
      </c>
      <c r="J190" s="25"/>
      <c r="K190" s="66"/>
      <c r="L190" s="31"/>
      <c r="M190" s="31"/>
      <c r="N190" s="26" t="str">
        <f t="shared" si="3"/>
        <v>Roam Hub - </v>
      </c>
      <c r="O190" s="26" t="str">
        <f t="shared" si="4"/>
        <v>FO-NBI-00#RH-KE-A-188: Roam Hub - </v>
      </c>
      <c r="R190" s="53"/>
      <c r="S190" s="78" t="b">
        <v>0</v>
      </c>
      <c r="T190" s="78" t="b">
        <v>0</v>
      </c>
      <c r="U190" s="78" t="b">
        <v>0</v>
      </c>
      <c r="V190" s="30" t="b">
        <v>0</v>
      </c>
      <c r="W190" s="30" t="b">
        <v>0</v>
      </c>
      <c r="X190" s="30"/>
      <c r="Y190" s="30"/>
      <c r="Z190" s="30"/>
      <c r="AA190" s="30"/>
      <c r="AB190" s="30"/>
      <c r="AC190" s="50"/>
      <c r="AD190" s="30"/>
      <c r="AE190" s="12">
        <f t="shared" si="5"/>
        <v>0</v>
      </c>
      <c r="AF190" s="70">
        <f t="shared" si="6"/>
        <v>0</v>
      </c>
      <c r="AG190" s="76"/>
      <c r="AH190" s="76"/>
      <c r="AI190" s="76"/>
      <c r="AJ190" s="76"/>
      <c r="AK190" s="76"/>
      <c r="AL190" s="30"/>
      <c r="AM190" s="79"/>
      <c r="AN190" s="79"/>
      <c r="AO190" s="79"/>
    </row>
    <row r="191" hidden="1">
      <c r="A191" s="12" t="s">
        <v>74</v>
      </c>
      <c r="B191" s="64"/>
      <c r="C191" s="12" t="s">
        <v>248</v>
      </c>
      <c r="D191" s="12" t="str">
        <f>vlookup(C191,'List of Chargers'!$A$2:$B$5,2,FALSE)</f>
        <v>Roam Hub</v>
      </c>
      <c r="E191" s="12" t="s">
        <v>73</v>
      </c>
      <c r="F191" s="12" t="s">
        <v>75</v>
      </c>
      <c r="G191" s="12">
        <v>189.0</v>
      </c>
      <c r="H191" s="13" t="str">
        <f t="shared" si="1"/>
        <v>#RH-KE-A-189</v>
      </c>
      <c r="I191" s="13" t="str">
        <f t="shared" si="2"/>
        <v>FO-NBI-00#RH-KE-A-189</v>
      </c>
      <c r="J191" s="25"/>
      <c r="K191" s="66"/>
      <c r="L191" s="31"/>
      <c r="M191" s="31"/>
      <c r="N191" s="26" t="str">
        <f t="shared" si="3"/>
        <v>Roam Hub - </v>
      </c>
      <c r="O191" s="26" t="str">
        <f t="shared" si="4"/>
        <v>FO-NBI-00#RH-KE-A-189: Roam Hub - </v>
      </c>
      <c r="R191" s="53"/>
      <c r="S191" s="78" t="b">
        <v>0</v>
      </c>
      <c r="T191" s="78" t="b">
        <v>0</v>
      </c>
      <c r="U191" s="78" t="b">
        <v>0</v>
      </c>
      <c r="V191" s="30" t="b">
        <v>0</v>
      </c>
      <c r="W191" s="30" t="b">
        <v>0</v>
      </c>
      <c r="X191" s="30"/>
      <c r="Y191" s="30"/>
      <c r="Z191" s="30"/>
      <c r="AA191" s="30"/>
      <c r="AB191" s="30"/>
      <c r="AC191" s="50"/>
      <c r="AD191" s="30"/>
      <c r="AE191" s="12">
        <f t="shared" si="5"/>
        <v>0</v>
      </c>
      <c r="AF191" s="70">
        <f t="shared" si="6"/>
        <v>0</v>
      </c>
      <c r="AG191" s="76"/>
      <c r="AH191" s="76"/>
      <c r="AI191" s="76"/>
      <c r="AJ191" s="76"/>
      <c r="AK191" s="76"/>
      <c r="AL191" s="30"/>
      <c r="AM191" s="79"/>
      <c r="AN191" s="79"/>
      <c r="AO191" s="79"/>
    </row>
    <row r="192" hidden="1">
      <c r="A192" s="12" t="s">
        <v>74</v>
      </c>
      <c r="B192" s="64"/>
      <c r="C192" s="12" t="s">
        <v>248</v>
      </c>
      <c r="D192" s="12" t="str">
        <f>vlookup(C192,'List of Chargers'!$A$2:$B$5,2,FALSE)</f>
        <v>Roam Hub</v>
      </c>
      <c r="E192" s="12" t="s">
        <v>73</v>
      </c>
      <c r="F192" s="12" t="s">
        <v>75</v>
      </c>
      <c r="G192" s="12">
        <v>190.0</v>
      </c>
      <c r="H192" s="13" t="str">
        <f t="shared" si="1"/>
        <v>#RH-KE-A-190</v>
      </c>
      <c r="I192" s="13" t="str">
        <f t="shared" si="2"/>
        <v>FO-NBI-00#RH-KE-A-190</v>
      </c>
      <c r="J192" s="25"/>
      <c r="K192" s="66"/>
      <c r="L192" s="31"/>
      <c r="M192" s="31"/>
      <c r="N192" s="26" t="str">
        <f t="shared" si="3"/>
        <v>Roam Hub - </v>
      </c>
      <c r="O192" s="26" t="str">
        <f t="shared" si="4"/>
        <v>FO-NBI-00#RH-KE-A-190: Roam Hub - </v>
      </c>
      <c r="R192" s="53"/>
      <c r="S192" s="78" t="b">
        <v>0</v>
      </c>
      <c r="T192" s="78" t="b">
        <v>0</v>
      </c>
      <c r="U192" s="78" t="b">
        <v>0</v>
      </c>
      <c r="V192" s="30" t="b">
        <v>0</v>
      </c>
      <c r="W192" s="30" t="b">
        <v>0</v>
      </c>
      <c r="X192" s="30"/>
      <c r="Y192" s="30"/>
      <c r="Z192" s="30"/>
      <c r="AA192" s="30"/>
      <c r="AB192" s="30"/>
      <c r="AC192" s="50"/>
      <c r="AD192" s="30"/>
      <c r="AE192" s="12">
        <f t="shared" si="5"/>
        <v>0</v>
      </c>
      <c r="AF192" s="70">
        <f t="shared" si="6"/>
        <v>0</v>
      </c>
      <c r="AG192" s="76"/>
      <c r="AH192" s="76"/>
      <c r="AI192" s="76"/>
      <c r="AJ192" s="76"/>
      <c r="AK192" s="76"/>
      <c r="AL192" s="30"/>
      <c r="AM192" s="79"/>
      <c r="AN192" s="79"/>
      <c r="AO192" s="79"/>
    </row>
    <row r="193" hidden="1">
      <c r="A193" s="12" t="s">
        <v>74</v>
      </c>
      <c r="B193" s="64"/>
      <c r="C193" s="12" t="s">
        <v>248</v>
      </c>
      <c r="D193" s="12" t="str">
        <f>vlookup(C193,'List of Chargers'!$A$2:$B$5,2,FALSE)</f>
        <v>Roam Hub</v>
      </c>
      <c r="E193" s="12" t="s">
        <v>73</v>
      </c>
      <c r="F193" s="12" t="s">
        <v>75</v>
      </c>
      <c r="G193" s="12">
        <v>191.0</v>
      </c>
      <c r="H193" s="13" t="str">
        <f t="shared" si="1"/>
        <v>#RH-KE-A-191</v>
      </c>
      <c r="I193" s="13" t="str">
        <f t="shared" si="2"/>
        <v>FO-NBI-00#RH-KE-A-191</v>
      </c>
      <c r="J193" s="25"/>
      <c r="K193" s="66"/>
      <c r="L193" s="31"/>
      <c r="M193" s="31"/>
      <c r="N193" s="26" t="str">
        <f t="shared" si="3"/>
        <v>Roam Hub - </v>
      </c>
      <c r="O193" s="26" t="str">
        <f t="shared" si="4"/>
        <v>FO-NBI-00#RH-KE-A-191: Roam Hub - </v>
      </c>
      <c r="R193" s="53"/>
      <c r="S193" s="78" t="b">
        <v>0</v>
      </c>
      <c r="T193" s="78" t="b">
        <v>0</v>
      </c>
      <c r="U193" s="78" t="b">
        <v>0</v>
      </c>
      <c r="V193" s="30" t="b">
        <v>0</v>
      </c>
      <c r="W193" s="30" t="b">
        <v>0</v>
      </c>
      <c r="X193" s="30"/>
      <c r="Y193" s="30"/>
      <c r="Z193" s="30"/>
      <c r="AA193" s="30"/>
      <c r="AB193" s="30"/>
      <c r="AC193" s="50"/>
      <c r="AD193" s="30"/>
      <c r="AE193" s="12">
        <f t="shared" si="5"/>
        <v>0</v>
      </c>
      <c r="AF193" s="70">
        <f t="shared" si="6"/>
        <v>0</v>
      </c>
      <c r="AG193" s="76"/>
      <c r="AH193" s="76"/>
      <c r="AI193" s="76"/>
      <c r="AJ193" s="76"/>
      <c r="AK193" s="76"/>
      <c r="AL193" s="30"/>
      <c r="AM193" s="79"/>
      <c r="AN193" s="79"/>
      <c r="AO193" s="79"/>
    </row>
    <row r="194" hidden="1">
      <c r="A194" s="12" t="s">
        <v>74</v>
      </c>
      <c r="B194" s="64"/>
      <c r="C194" s="12" t="s">
        <v>248</v>
      </c>
      <c r="D194" s="12" t="str">
        <f>vlookup(C194,'List of Chargers'!$A$2:$B$5,2,FALSE)</f>
        <v>Roam Hub</v>
      </c>
      <c r="E194" s="12" t="s">
        <v>73</v>
      </c>
      <c r="F194" s="12" t="s">
        <v>75</v>
      </c>
      <c r="G194" s="12">
        <v>192.0</v>
      </c>
      <c r="H194" s="13" t="str">
        <f t="shared" si="1"/>
        <v>#RH-KE-A-192</v>
      </c>
      <c r="I194" s="13" t="str">
        <f t="shared" si="2"/>
        <v>FO-NBI-00#RH-KE-A-192</v>
      </c>
      <c r="J194" s="25"/>
      <c r="K194" s="66"/>
      <c r="L194" s="31"/>
      <c r="M194" s="31"/>
      <c r="N194" s="26" t="str">
        <f t="shared" si="3"/>
        <v>Roam Hub - </v>
      </c>
      <c r="O194" s="26" t="str">
        <f t="shared" si="4"/>
        <v>FO-NBI-00#RH-KE-A-192: Roam Hub - </v>
      </c>
      <c r="R194" s="53"/>
      <c r="S194" s="78" t="b">
        <v>0</v>
      </c>
      <c r="T194" s="78" t="b">
        <v>0</v>
      </c>
      <c r="U194" s="78" t="b">
        <v>0</v>
      </c>
      <c r="V194" s="30" t="b">
        <v>0</v>
      </c>
      <c r="W194" s="30" t="b">
        <v>0</v>
      </c>
      <c r="X194" s="30"/>
      <c r="Y194" s="30"/>
      <c r="Z194" s="30"/>
      <c r="AA194" s="30"/>
      <c r="AB194" s="30"/>
      <c r="AC194" s="50"/>
      <c r="AD194" s="30"/>
      <c r="AE194" s="12">
        <f t="shared" si="5"/>
        <v>0</v>
      </c>
      <c r="AF194" s="70">
        <f t="shared" si="6"/>
        <v>0</v>
      </c>
      <c r="AG194" s="76"/>
      <c r="AH194" s="76"/>
      <c r="AI194" s="76"/>
      <c r="AJ194" s="76"/>
      <c r="AK194" s="76"/>
      <c r="AL194" s="30"/>
      <c r="AM194" s="79"/>
      <c r="AN194" s="79"/>
      <c r="AO194" s="79"/>
    </row>
    <row r="195" hidden="1">
      <c r="A195" s="12" t="s">
        <v>74</v>
      </c>
      <c r="B195" s="64"/>
      <c r="C195" s="12" t="s">
        <v>248</v>
      </c>
      <c r="D195" s="12" t="str">
        <f>vlookup(C195,'List of Chargers'!$A$2:$B$5,2,FALSE)</f>
        <v>Roam Hub</v>
      </c>
      <c r="E195" s="12" t="s">
        <v>73</v>
      </c>
      <c r="F195" s="12" t="s">
        <v>75</v>
      </c>
      <c r="G195" s="12">
        <v>193.0</v>
      </c>
      <c r="H195" s="13" t="str">
        <f t="shared" si="1"/>
        <v>#RH-KE-A-193</v>
      </c>
      <c r="I195" s="13" t="str">
        <f t="shared" si="2"/>
        <v>FO-NBI-00#RH-KE-A-193</v>
      </c>
      <c r="J195" s="25"/>
      <c r="K195" s="66"/>
      <c r="L195" s="31"/>
      <c r="M195" s="31"/>
      <c r="N195" s="26" t="str">
        <f t="shared" si="3"/>
        <v>Roam Hub - </v>
      </c>
      <c r="O195" s="26" t="str">
        <f t="shared" si="4"/>
        <v>FO-NBI-00#RH-KE-A-193: Roam Hub - </v>
      </c>
      <c r="R195" s="53"/>
      <c r="S195" s="78" t="b">
        <v>0</v>
      </c>
      <c r="T195" s="78" t="b">
        <v>0</v>
      </c>
      <c r="U195" s="78" t="b">
        <v>0</v>
      </c>
      <c r="V195" s="30" t="b">
        <v>0</v>
      </c>
      <c r="W195" s="30" t="b">
        <v>0</v>
      </c>
      <c r="X195" s="30"/>
      <c r="Y195" s="30"/>
      <c r="Z195" s="30"/>
      <c r="AA195" s="30"/>
      <c r="AB195" s="30"/>
      <c r="AC195" s="50"/>
      <c r="AD195" s="30"/>
      <c r="AE195" s="12">
        <f t="shared" si="5"/>
        <v>0</v>
      </c>
      <c r="AF195" s="70">
        <f t="shared" si="6"/>
        <v>0</v>
      </c>
      <c r="AG195" s="76"/>
      <c r="AH195" s="76"/>
      <c r="AI195" s="76"/>
      <c r="AJ195" s="76"/>
      <c r="AK195" s="76"/>
      <c r="AL195" s="30"/>
      <c r="AM195" s="79"/>
      <c r="AN195" s="79"/>
      <c r="AO195" s="79"/>
    </row>
    <row r="196" hidden="1">
      <c r="A196" s="12" t="s">
        <v>74</v>
      </c>
      <c r="B196" s="64"/>
      <c r="C196" s="12" t="s">
        <v>248</v>
      </c>
      <c r="D196" s="12" t="str">
        <f>vlookup(C196,'List of Chargers'!$A$2:$B$5,2,FALSE)</f>
        <v>Roam Hub</v>
      </c>
      <c r="E196" s="12" t="s">
        <v>73</v>
      </c>
      <c r="F196" s="12" t="s">
        <v>75</v>
      </c>
      <c r="G196" s="12">
        <v>194.0</v>
      </c>
      <c r="H196" s="13" t="str">
        <f t="shared" si="1"/>
        <v>#RH-KE-A-194</v>
      </c>
      <c r="I196" s="13" t="str">
        <f t="shared" si="2"/>
        <v>FO-NBI-00#RH-KE-A-194</v>
      </c>
      <c r="J196" s="25"/>
      <c r="K196" s="66"/>
      <c r="L196" s="31"/>
      <c r="M196" s="31"/>
      <c r="N196" s="26" t="str">
        <f t="shared" si="3"/>
        <v>Roam Hub - </v>
      </c>
      <c r="O196" s="26" t="str">
        <f t="shared" si="4"/>
        <v>FO-NBI-00#RH-KE-A-194: Roam Hub - </v>
      </c>
      <c r="R196" s="53"/>
      <c r="S196" s="78" t="b">
        <v>0</v>
      </c>
      <c r="T196" s="78" t="b">
        <v>0</v>
      </c>
      <c r="U196" s="78" t="b">
        <v>0</v>
      </c>
      <c r="V196" s="30" t="b">
        <v>0</v>
      </c>
      <c r="W196" s="30" t="b">
        <v>0</v>
      </c>
      <c r="X196" s="30"/>
      <c r="Y196" s="30"/>
      <c r="Z196" s="30"/>
      <c r="AA196" s="30"/>
      <c r="AB196" s="30"/>
      <c r="AC196" s="50"/>
      <c r="AD196" s="30"/>
      <c r="AE196" s="12">
        <f t="shared" si="5"/>
        <v>0</v>
      </c>
      <c r="AF196" s="70">
        <f t="shared" si="6"/>
        <v>0</v>
      </c>
      <c r="AG196" s="76"/>
      <c r="AH196" s="76"/>
      <c r="AI196" s="76"/>
      <c r="AJ196" s="76"/>
      <c r="AK196" s="76"/>
      <c r="AL196" s="30"/>
      <c r="AM196" s="79"/>
      <c r="AN196" s="79"/>
      <c r="AO196" s="79"/>
    </row>
    <row r="197" hidden="1">
      <c r="A197" s="12" t="s">
        <v>74</v>
      </c>
      <c r="B197" s="64"/>
      <c r="C197" s="12" t="s">
        <v>248</v>
      </c>
      <c r="D197" s="12" t="str">
        <f>vlookup(C197,'List of Chargers'!$A$2:$B$5,2,FALSE)</f>
        <v>Roam Hub</v>
      </c>
      <c r="E197" s="12" t="s">
        <v>73</v>
      </c>
      <c r="F197" s="12" t="s">
        <v>75</v>
      </c>
      <c r="G197" s="12">
        <v>195.0</v>
      </c>
      <c r="H197" s="13" t="str">
        <f t="shared" si="1"/>
        <v>#RH-KE-A-195</v>
      </c>
      <c r="I197" s="13" t="str">
        <f t="shared" si="2"/>
        <v>FO-NBI-00#RH-KE-A-195</v>
      </c>
      <c r="J197" s="25"/>
      <c r="K197" s="66"/>
      <c r="L197" s="31"/>
      <c r="M197" s="31"/>
      <c r="N197" s="26" t="str">
        <f t="shared" si="3"/>
        <v>Roam Hub - </v>
      </c>
      <c r="O197" s="26" t="str">
        <f t="shared" si="4"/>
        <v>FO-NBI-00#RH-KE-A-195: Roam Hub - </v>
      </c>
      <c r="R197" s="53"/>
      <c r="S197" s="78" t="b">
        <v>0</v>
      </c>
      <c r="T197" s="78" t="b">
        <v>0</v>
      </c>
      <c r="U197" s="78" t="b">
        <v>0</v>
      </c>
      <c r="V197" s="30" t="b">
        <v>0</v>
      </c>
      <c r="W197" s="30" t="b">
        <v>0</v>
      </c>
      <c r="X197" s="30"/>
      <c r="Y197" s="30"/>
      <c r="Z197" s="30"/>
      <c r="AA197" s="30"/>
      <c r="AB197" s="30"/>
      <c r="AC197" s="50"/>
      <c r="AD197" s="30"/>
      <c r="AE197" s="12">
        <f t="shared" si="5"/>
        <v>0</v>
      </c>
      <c r="AF197" s="70">
        <f t="shared" si="6"/>
        <v>0</v>
      </c>
      <c r="AG197" s="76"/>
      <c r="AH197" s="76"/>
      <c r="AI197" s="76"/>
      <c r="AJ197" s="76"/>
      <c r="AK197" s="76"/>
      <c r="AL197" s="30"/>
      <c r="AM197" s="79"/>
      <c r="AN197" s="79"/>
      <c r="AO197" s="79"/>
    </row>
    <row r="198" hidden="1">
      <c r="A198" s="12" t="s">
        <v>74</v>
      </c>
      <c r="B198" s="64"/>
      <c r="C198" s="12" t="s">
        <v>248</v>
      </c>
      <c r="D198" s="12" t="str">
        <f>vlookup(C198,'List of Chargers'!$A$2:$B$5,2,FALSE)</f>
        <v>Roam Hub</v>
      </c>
      <c r="E198" s="12" t="s">
        <v>73</v>
      </c>
      <c r="F198" s="12" t="s">
        <v>75</v>
      </c>
      <c r="G198" s="12">
        <v>196.0</v>
      </c>
      <c r="H198" s="13" t="str">
        <f t="shared" si="1"/>
        <v>#RH-KE-A-196</v>
      </c>
      <c r="I198" s="13" t="str">
        <f t="shared" si="2"/>
        <v>FO-NBI-00#RH-KE-A-196</v>
      </c>
      <c r="J198" s="25"/>
      <c r="K198" s="66"/>
      <c r="L198" s="31"/>
      <c r="M198" s="31"/>
      <c r="N198" s="26" t="str">
        <f t="shared" si="3"/>
        <v>Roam Hub - </v>
      </c>
      <c r="O198" s="26" t="str">
        <f t="shared" si="4"/>
        <v>FO-NBI-00#RH-KE-A-196: Roam Hub - </v>
      </c>
      <c r="R198" s="53"/>
      <c r="S198" s="78" t="b">
        <v>0</v>
      </c>
      <c r="T198" s="78" t="b">
        <v>0</v>
      </c>
      <c r="U198" s="78" t="b">
        <v>0</v>
      </c>
      <c r="V198" s="30" t="b">
        <v>0</v>
      </c>
      <c r="W198" s="30" t="b">
        <v>0</v>
      </c>
      <c r="X198" s="30"/>
      <c r="Y198" s="30"/>
      <c r="Z198" s="30"/>
      <c r="AA198" s="30"/>
      <c r="AB198" s="30"/>
      <c r="AC198" s="50"/>
      <c r="AD198" s="30"/>
      <c r="AE198" s="12">
        <f t="shared" si="5"/>
        <v>0</v>
      </c>
      <c r="AF198" s="70">
        <f t="shared" si="6"/>
        <v>0</v>
      </c>
      <c r="AG198" s="76"/>
      <c r="AH198" s="76"/>
      <c r="AI198" s="76"/>
      <c r="AJ198" s="76"/>
      <c r="AK198" s="76"/>
      <c r="AL198" s="30"/>
      <c r="AM198" s="79"/>
      <c r="AN198" s="79"/>
      <c r="AO198" s="79"/>
    </row>
    <row r="199" hidden="1">
      <c r="A199" s="12" t="s">
        <v>74</v>
      </c>
      <c r="B199" s="64"/>
      <c r="C199" s="12" t="s">
        <v>248</v>
      </c>
      <c r="D199" s="12" t="str">
        <f>vlookup(C199,'List of Chargers'!$A$2:$B$5,2,FALSE)</f>
        <v>Roam Hub</v>
      </c>
      <c r="E199" s="12" t="s">
        <v>73</v>
      </c>
      <c r="F199" s="12" t="s">
        <v>75</v>
      </c>
      <c r="G199" s="12">
        <v>197.0</v>
      </c>
      <c r="H199" s="13" t="str">
        <f t="shared" si="1"/>
        <v>#RH-KE-A-197</v>
      </c>
      <c r="I199" s="13" t="str">
        <f t="shared" si="2"/>
        <v>FO-NBI-00#RH-KE-A-197</v>
      </c>
      <c r="J199" s="25"/>
      <c r="K199" s="66"/>
      <c r="L199" s="31"/>
      <c r="M199" s="31"/>
      <c r="N199" s="26" t="str">
        <f t="shared" si="3"/>
        <v>Roam Hub - </v>
      </c>
      <c r="O199" s="26" t="str">
        <f t="shared" si="4"/>
        <v>FO-NBI-00#RH-KE-A-197: Roam Hub - </v>
      </c>
      <c r="R199" s="53"/>
      <c r="S199" s="78" t="b">
        <v>0</v>
      </c>
      <c r="T199" s="78" t="b">
        <v>0</v>
      </c>
      <c r="U199" s="78" t="b">
        <v>0</v>
      </c>
      <c r="V199" s="30" t="b">
        <v>0</v>
      </c>
      <c r="W199" s="30" t="b">
        <v>0</v>
      </c>
      <c r="X199" s="30"/>
      <c r="Y199" s="30"/>
      <c r="Z199" s="30"/>
      <c r="AA199" s="30"/>
      <c r="AB199" s="30"/>
      <c r="AC199" s="50"/>
      <c r="AD199" s="30"/>
      <c r="AE199" s="12">
        <f t="shared" si="5"/>
        <v>0</v>
      </c>
      <c r="AF199" s="70">
        <f t="shared" si="6"/>
        <v>0</v>
      </c>
      <c r="AG199" s="76"/>
      <c r="AH199" s="76"/>
      <c r="AI199" s="76"/>
      <c r="AJ199" s="76"/>
      <c r="AK199" s="76"/>
      <c r="AL199" s="30"/>
      <c r="AM199" s="79"/>
      <c r="AN199" s="79"/>
      <c r="AO199" s="79"/>
    </row>
    <row r="200" hidden="1">
      <c r="A200" s="12" t="s">
        <v>74</v>
      </c>
      <c r="B200" s="64"/>
      <c r="C200" s="12" t="s">
        <v>248</v>
      </c>
      <c r="D200" s="12" t="str">
        <f>vlookup(C200,'List of Chargers'!$A$2:$B$5,2,FALSE)</f>
        <v>Roam Hub</v>
      </c>
      <c r="E200" s="12" t="s">
        <v>73</v>
      </c>
      <c r="F200" s="12" t="s">
        <v>75</v>
      </c>
      <c r="G200" s="12">
        <v>198.0</v>
      </c>
      <c r="H200" s="13" t="str">
        <f t="shared" si="1"/>
        <v>#RH-KE-A-198</v>
      </c>
      <c r="I200" s="13" t="str">
        <f t="shared" si="2"/>
        <v>FO-NBI-00#RH-KE-A-198</v>
      </c>
      <c r="J200" s="25"/>
      <c r="K200" s="66"/>
      <c r="L200" s="31"/>
      <c r="M200" s="31"/>
      <c r="N200" s="26" t="str">
        <f t="shared" si="3"/>
        <v>Roam Hub - </v>
      </c>
      <c r="O200" s="26" t="str">
        <f t="shared" si="4"/>
        <v>FO-NBI-00#RH-KE-A-198: Roam Hub - </v>
      </c>
      <c r="R200" s="53"/>
      <c r="S200" s="78" t="b">
        <v>0</v>
      </c>
      <c r="T200" s="78" t="b">
        <v>0</v>
      </c>
      <c r="U200" s="78" t="b">
        <v>0</v>
      </c>
      <c r="V200" s="30" t="b">
        <v>0</v>
      </c>
      <c r="W200" s="30" t="b">
        <v>0</v>
      </c>
      <c r="X200" s="30"/>
      <c r="Y200" s="30"/>
      <c r="Z200" s="30"/>
      <c r="AA200" s="30"/>
      <c r="AB200" s="30"/>
      <c r="AC200" s="50"/>
      <c r="AD200" s="30"/>
      <c r="AE200" s="12">
        <f t="shared" si="5"/>
        <v>0</v>
      </c>
      <c r="AF200" s="70">
        <f t="shared" si="6"/>
        <v>0</v>
      </c>
      <c r="AG200" s="76"/>
      <c r="AH200" s="76"/>
      <c r="AI200" s="76"/>
      <c r="AJ200" s="76"/>
      <c r="AK200" s="76"/>
      <c r="AL200" s="30"/>
      <c r="AM200" s="79"/>
      <c r="AN200" s="79"/>
      <c r="AO200" s="79"/>
    </row>
    <row r="201" hidden="1">
      <c r="A201" s="12" t="s">
        <v>74</v>
      </c>
      <c r="B201" s="64"/>
      <c r="C201" s="12" t="s">
        <v>248</v>
      </c>
      <c r="D201" s="12" t="str">
        <f>vlookup(C201,'List of Chargers'!$A$2:$B$5,2,FALSE)</f>
        <v>Roam Hub</v>
      </c>
      <c r="E201" s="12" t="s">
        <v>73</v>
      </c>
      <c r="F201" s="12" t="s">
        <v>75</v>
      </c>
      <c r="G201" s="12">
        <v>199.0</v>
      </c>
      <c r="H201" s="13" t="str">
        <f t="shared" si="1"/>
        <v>#RH-KE-A-199</v>
      </c>
      <c r="I201" s="13" t="str">
        <f t="shared" si="2"/>
        <v>FO-NBI-00#RH-KE-A-199</v>
      </c>
      <c r="J201" s="25"/>
      <c r="K201" s="66"/>
      <c r="L201" s="31"/>
      <c r="M201" s="31"/>
      <c r="N201" s="26" t="str">
        <f t="shared" si="3"/>
        <v>Roam Hub - </v>
      </c>
      <c r="O201" s="26" t="str">
        <f t="shared" si="4"/>
        <v>FO-NBI-00#RH-KE-A-199: Roam Hub - </v>
      </c>
      <c r="R201" s="53"/>
      <c r="S201" s="78" t="b">
        <v>0</v>
      </c>
      <c r="T201" s="78" t="b">
        <v>0</v>
      </c>
      <c r="U201" s="78" t="b">
        <v>0</v>
      </c>
      <c r="V201" s="30" t="b">
        <v>0</v>
      </c>
      <c r="W201" s="30" t="b">
        <v>0</v>
      </c>
      <c r="X201" s="30"/>
      <c r="Y201" s="30"/>
      <c r="Z201" s="30"/>
      <c r="AA201" s="30"/>
      <c r="AB201" s="30"/>
      <c r="AC201" s="50"/>
      <c r="AD201" s="30"/>
      <c r="AE201" s="12">
        <f t="shared" si="5"/>
        <v>0</v>
      </c>
      <c r="AF201" s="70">
        <f t="shared" si="6"/>
        <v>0</v>
      </c>
      <c r="AG201" s="76"/>
      <c r="AH201" s="76"/>
      <c r="AI201" s="76"/>
      <c r="AJ201" s="76"/>
      <c r="AK201" s="76"/>
      <c r="AL201" s="30"/>
      <c r="AM201" s="79"/>
      <c r="AN201" s="79"/>
      <c r="AO201" s="79"/>
    </row>
    <row r="202" hidden="1">
      <c r="A202" s="12" t="s">
        <v>74</v>
      </c>
      <c r="B202" s="64"/>
      <c r="C202" s="12" t="s">
        <v>248</v>
      </c>
      <c r="D202" s="12" t="str">
        <f>vlookup(C202,'List of Chargers'!$A$2:$B$5,2,FALSE)</f>
        <v>Roam Hub</v>
      </c>
      <c r="E202" s="12" t="s">
        <v>73</v>
      </c>
      <c r="F202" s="12" t="s">
        <v>75</v>
      </c>
      <c r="G202" s="12">
        <v>200.0</v>
      </c>
      <c r="H202" s="13" t="str">
        <f t="shared" si="1"/>
        <v>#RH-KE-A-200</v>
      </c>
      <c r="I202" s="13" t="str">
        <f t="shared" si="2"/>
        <v>FO-NBI-00#RH-KE-A-200</v>
      </c>
      <c r="J202" s="25"/>
      <c r="K202" s="66"/>
      <c r="L202" s="31"/>
      <c r="M202" s="31"/>
      <c r="N202" s="26" t="str">
        <f t="shared" si="3"/>
        <v>Roam Hub - </v>
      </c>
      <c r="O202" s="26" t="str">
        <f t="shared" si="4"/>
        <v>FO-NBI-00#RH-KE-A-200: Roam Hub - </v>
      </c>
      <c r="R202" s="53"/>
      <c r="S202" s="78" t="b">
        <v>0</v>
      </c>
      <c r="T202" s="78" t="b">
        <v>0</v>
      </c>
      <c r="U202" s="78" t="b">
        <v>0</v>
      </c>
      <c r="V202" s="30" t="b">
        <v>0</v>
      </c>
      <c r="W202" s="30" t="b">
        <v>0</v>
      </c>
      <c r="X202" s="30"/>
      <c r="Y202" s="30"/>
      <c r="Z202" s="30"/>
      <c r="AA202" s="30"/>
      <c r="AB202" s="30"/>
      <c r="AC202" s="50"/>
      <c r="AD202" s="30"/>
      <c r="AE202" s="12">
        <f t="shared" si="5"/>
        <v>0</v>
      </c>
      <c r="AF202" s="70">
        <f t="shared" si="6"/>
        <v>0</v>
      </c>
      <c r="AG202" s="76"/>
      <c r="AH202" s="76"/>
      <c r="AI202" s="76"/>
      <c r="AJ202" s="76"/>
      <c r="AK202" s="76"/>
      <c r="AL202" s="30"/>
      <c r="AM202" s="79"/>
      <c r="AN202" s="79"/>
      <c r="AO202" s="79"/>
    </row>
    <row r="203" hidden="1">
      <c r="A203" s="12" t="s">
        <v>74</v>
      </c>
      <c r="B203" s="64"/>
      <c r="C203" s="12" t="s">
        <v>248</v>
      </c>
      <c r="D203" s="12" t="str">
        <f>vlookup(C203,'List of Chargers'!$A$2:$B$5,2,FALSE)</f>
        <v>Roam Hub</v>
      </c>
      <c r="E203" s="12" t="s">
        <v>73</v>
      </c>
      <c r="F203" s="12" t="s">
        <v>75</v>
      </c>
      <c r="G203" s="12">
        <v>201.0</v>
      </c>
      <c r="H203" s="13" t="str">
        <f t="shared" si="1"/>
        <v>#RH-KE-A-201</v>
      </c>
      <c r="I203" s="13" t="str">
        <f t="shared" si="2"/>
        <v>FO-NBI-00#RH-KE-A-201</v>
      </c>
      <c r="J203" s="25"/>
      <c r="K203" s="66"/>
      <c r="L203" s="31"/>
      <c r="M203" s="31"/>
      <c r="N203" s="26" t="str">
        <f t="shared" si="3"/>
        <v>Roam Hub - </v>
      </c>
      <c r="O203" s="26" t="str">
        <f t="shared" si="4"/>
        <v>FO-NBI-00#RH-KE-A-201: Roam Hub - </v>
      </c>
      <c r="R203" s="53"/>
      <c r="S203" s="78" t="b">
        <v>0</v>
      </c>
      <c r="T203" s="78" t="b">
        <v>0</v>
      </c>
      <c r="U203" s="78" t="b">
        <v>0</v>
      </c>
      <c r="V203" s="30" t="b">
        <v>0</v>
      </c>
      <c r="W203" s="30" t="b">
        <v>0</v>
      </c>
      <c r="X203" s="30"/>
      <c r="Y203" s="30"/>
      <c r="Z203" s="30"/>
      <c r="AA203" s="30"/>
      <c r="AB203" s="30"/>
      <c r="AC203" s="50"/>
      <c r="AD203" s="30"/>
      <c r="AE203" s="12">
        <f t="shared" si="5"/>
        <v>0</v>
      </c>
      <c r="AF203" s="70">
        <f t="shared" si="6"/>
        <v>0</v>
      </c>
      <c r="AG203" s="76"/>
      <c r="AH203" s="76"/>
      <c r="AI203" s="76"/>
      <c r="AJ203" s="76"/>
      <c r="AK203" s="76"/>
      <c r="AL203" s="30"/>
      <c r="AM203" s="79"/>
      <c r="AN203" s="79"/>
      <c r="AO203" s="79"/>
    </row>
    <row r="204" hidden="1">
      <c r="A204" s="12" t="s">
        <v>74</v>
      </c>
      <c r="B204" s="64"/>
      <c r="C204" s="12" t="s">
        <v>248</v>
      </c>
      <c r="D204" s="12" t="str">
        <f>vlookup(C204,'List of Chargers'!$A$2:$B$5,2,FALSE)</f>
        <v>Roam Hub</v>
      </c>
      <c r="E204" s="12" t="s">
        <v>73</v>
      </c>
      <c r="F204" s="12" t="s">
        <v>75</v>
      </c>
      <c r="G204" s="12">
        <v>202.0</v>
      </c>
      <c r="H204" s="13" t="str">
        <f t="shared" si="1"/>
        <v>#RH-KE-A-202</v>
      </c>
      <c r="I204" s="13" t="str">
        <f t="shared" si="2"/>
        <v>FO-NBI-00#RH-KE-A-202</v>
      </c>
      <c r="J204" s="25"/>
      <c r="K204" s="66"/>
      <c r="L204" s="31"/>
      <c r="M204" s="31"/>
      <c r="N204" s="26" t="str">
        <f t="shared" si="3"/>
        <v>Roam Hub - </v>
      </c>
      <c r="O204" s="26" t="str">
        <f t="shared" si="4"/>
        <v>FO-NBI-00#RH-KE-A-202: Roam Hub - </v>
      </c>
      <c r="R204" s="53"/>
      <c r="S204" s="78" t="b">
        <v>0</v>
      </c>
      <c r="T204" s="78" t="b">
        <v>0</v>
      </c>
      <c r="U204" s="78" t="b">
        <v>0</v>
      </c>
      <c r="V204" s="30" t="b">
        <v>0</v>
      </c>
      <c r="W204" s="30" t="b">
        <v>0</v>
      </c>
      <c r="X204" s="30"/>
      <c r="Y204" s="30"/>
      <c r="Z204" s="30"/>
      <c r="AA204" s="30"/>
      <c r="AB204" s="30"/>
      <c r="AC204" s="50"/>
      <c r="AD204" s="30"/>
      <c r="AE204" s="12">
        <f t="shared" si="5"/>
        <v>0</v>
      </c>
      <c r="AF204" s="70">
        <f t="shared" si="6"/>
        <v>0</v>
      </c>
      <c r="AG204" s="76"/>
      <c r="AH204" s="76"/>
      <c r="AI204" s="76"/>
      <c r="AJ204" s="76"/>
      <c r="AK204" s="76"/>
      <c r="AL204" s="30"/>
      <c r="AM204" s="79"/>
      <c r="AN204" s="79"/>
      <c r="AO204" s="79"/>
    </row>
    <row r="205" hidden="1">
      <c r="A205" s="12" t="s">
        <v>74</v>
      </c>
      <c r="B205" s="64"/>
      <c r="C205" s="12" t="s">
        <v>248</v>
      </c>
      <c r="D205" s="12" t="str">
        <f>vlookup(C205,'List of Chargers'!$A$2:$B$5,2,FALSE)</f>
        <v>Roam Hub</v>
      </c>
      <c r="E205" s="12" t="s">
        <v>73</v>
      </c>
      <c r="F205" s="12" t="s">
        <v>75</v>
      </c>
      <c r="G205" s="12">
        <v>203.0</v>
      </c>
      <c r="H205" s="13" t="str">
        <f t="shared" si="1"/>
        <v>#RH-KE-A-203</v>
      </c>
      <c r="I205" s="13" t="str">
        <f t="shared" si="2"/>
        <v>FO-NBI-00#RH-KE-A-203</v>
      </c>
      <c r="J205" s="25"/>
      <c r="K205" s="66"/>
      <c r="L205" s="31"/>
      <c r="M205" s="31"/>
      <c r="N205" s="26" t="str">
        <f t="shared" si="3"/>
        <v>Roam Hub - </v>
      </c>
      <c r="O205" s="26" t="str">
        <f t="shared" si="4"/>
        <v>FO-NBI-00#RH-KE-A-203: Roam Hub - </v>
      </c>
      <c r="R205" s="53"/>
      <c r="S205" s="78" t="b">
        <v>0</v>
      </c>
      <c r="T205" s="78" t="b">
        <v>0</v>
      </c>
      <c r="U205" s="78" t="b">
        <v>0</v>
      </c>
      <c r="V205" s="30" t="b">
        <v>0</v>
      </c>
      <c r="W205" s="30" t="b">
        <v>0</v>
      </c>
      <c r="X205" s="30"/>
      <c r="Y205" s="30"/>
      <c r="Z205" s="30"/>
      <c r="AA205" s="30"/>
      <c r="AB205" s="30"/>
      <c r="AC205" s="50"/>
      <c r="AD205" s="30"/>
      <c r="AE205" s="12">
        <f t="shared" si="5"/>
        <v>0</v>
      </c>
      <c r="AF205" s="70">
        <f t="shared" si="6"/>
        <v>0</v>
      </c>
      <c r="AG205" s="76"/>
      <c r="AH205" s="76"/>
      <c r="AI205" s="76"/>
      <c r="AJ205" s="76"/>
      <c r="AK205" s="76"/>
      <c r="AL205" s="30"/>
      <c r="AM205" s="79"/>
      <c r="AN205" s="79"/>
      <c r="AO205" s="79"/>
    </row>
    <row r="206" hidden="1">
      <c r="A206" s="12" t="s">
        <v>74</v>
      </c>
      <c r="B206" s="64"/>
      <c r="C206" s="12" t="s">
        <v>248</v>
      </c>
      <c r="D206" s="12" t="str">
        <f>vlookup(C206,'List of Chargers'!$A$2:$B$5,2,FALSE)</f>
        <v>Roam Hub</v>
      </c>
      <c r="E206" s="12" t="s">
        <v>73</v>
      </c>
      <c r="F206" s="12" t="s">
        <v>75</v>
      </c>
      <c r="G206" s="12">
        <v>204.0</v>
      </c>
      <c r="H206" s="13" t="str">
        <f t="shared" si="1"/>
        <v>#RH-KE-A-204</v>
      </c>
      <c r="I206" s="13" t="str">
        <f t="shared" si="2"/>
        <v>FO-NBI-00#RH-KE-A-204</v>
      </c>
      <c r="J206" s="25"/>
      <c r="K206" s="66"/>
      <c r="L206" s="31"/>
      <c r="M206" s="31"/>
      <c r="N206" s="26" t="str">
        <f t="shared" si="3"/>
        <v>Roam Hub - </v>
      </c>
      <c r="O206" s="26" t="str">
        <f t="shared" si="4"/>
        <v>FO-NBI-00#RH-KE-A-204: Roam Hub - </v>
      </c>
      <c r="R206" s="53"/>
      <c r="S206" s="78" t="b">
        <v>0</v>
      </c>
      <c r="T206" s="78" t="b">
        <v>0</v>
      </c>
      <c r="U206" s="78" t="b">
        <v>0</v>
      </c>
      <c r="V206" s="30" t="b">
        <v>0</v>
      </c>
      <c r="W206" s="30" t="b">
        <v>0</v>
      </c>
      <c r="X206" s="30"/>
      <c r="Y206" s="30"/>
      <c r="Z206" s="30"/>
      <c r="AA206" s="30"/>
      <c r="AB206" s="30"/>
      <c r="AC206" s="50"/>
      <c r="AD206" s="30"/>
      <c r="AE206" s="12">
        <f t="shared" si="5"/>
        <v>0</v>
      </c>
      <c r="AF206" s="70">
        <f t="shared" si="6"/>
        <v>0</v>
      </c>
      <c r="AG206" s="76"/>
      <c r="AH206" s="76"/>
      <c r="AI206" s="76"/>
      <c r="AJ206" s="76"/>
      <c r="AK206" s="76"/>
      <c r="AL206" s="30"/>
      <c r="AM206" s="79"/>
      <c r="AN206" s="79"/>
      <c r="AO206" s="79"/>
    </row>
    <row r="207" hidden="1">
      <c r="A207" s="12" t="s">
        <v>74</v>
      </c>
      <c r="B207" s="64"/>
      <c r="C207" s="12" t="s">
        <v>248</v>
      </c>
      <c r="D207" s="12" t="str">
        <f>vlookup(C207,'List of Chargers'!$A$2:$B$5,2,FALSE)</f>
        <v>Roam Hub</v>
      </c>
      <c r="E207" s="12" t="s">
        <v>73</v>
      </c>
      <c r="F207" s="12" t="s">
        <v>75</v>
      </c>
      <c r="G207" s="12">
        <v>205.0</v>
      </c>
      <c r="H207" s="13" t="str">
        <f t="shared" si="1"/>
        <v>#RH-KE-A-205</v>
      </c>
      <c r="I207" s="13" t="str">
        <f t="shared" si="2"/>
        <v>FO-NBI-00#RH-KE-A-205</v>
      </c>
      <c r="J207" s="25"/>
      <c r="K207" s="66"/>
      <c r="L207" s="31"/>
      <c r="M207" s="31"/>
      <c r="N207" s="26" t="str">
        <f t="shared" si="3"/>
        <v>Roam Hub - </v>
      </c>
      <c r="O207" s="26" t="str">
        <f t="shared" si="4"/>
        <v>FO-NBI-00#RH-KE-A-205: Roam Hub - </v>
      </c>
      <c r="R207" s="53"/>
      <c r="S207" s="78" t="b">
        <v>0</v>
      </c>
      <c r="T207" s="78" t="b">
        <v>0</v>
      </c>
      <c r="U207" s="78" t="b">
        <v>0</v>
      </c>
      <c r="V207" s="30" t="b">
        <v>0</v>
      </c>
      <c r="W207" s="30" t="b">
        <v>0</v>
      </c>
      <c r="X207" s="30"/>
      <c r="Y207" s="30"/>
      <c r="Z207" s="30"/>
      <c r="AA207" s="30"/>
      <c r="AB207" s="30"/>
      <c r="AC207" s="50"/>
      <c r="AD207" s="30"/>
      <c r="AE207" s="12">
        <f t="shared" si="5"/>
        <v>0</v>
      </c>
      <c r="AF207" s="70">
        <f t="shared" si="6"/>
        <v>0</v>
      </c>
      <c r="AG207" s="76"/>
      <c r="AH207" s="76"/>
      <c r="AI207" s="76"/>
      <c r="AJ207" s="76"/>
      <c r="AK207" s="76"/>
      <c r="AL207" s="30"/>
      <c r="AM207" s="79"/>
      <c r="AN207" s="79"/>
      <c r="AO207" s="79"/>
    </row>
    <row r="208" hidden="1">
      <c r="A208" s="12" t="s">
        <v>74</v>
      </c>
      <c r="B208" s="64"/>
      <c r="C208" s="12" t="s">
        <v>248</v>
      </c>
      <c r="D208" s="12" t="str">
        <f>vlookup(C208,'List of Chargers'!$A$2:$B$5,2,FALSE)</f>
        <v>Roam Hub</v>
      </c>
      <c r="E208" s="12" t="s">
        <v>73</v>
      </c>
      <c r="F208" s="12" t="s">
        <v>75</v>
      </c>
      <c r="G208" s="12">
        <v>206.0</v>
      </c>
      <c r="H208" s="13" t="str">
        <f t="shared" si="1"/>
        <v>#RH-KE-A-206</v>
      </c>
      <c r="I208" s="13" t="str">
        <f t="shared" si="2"/>
        <v>FO-NBI-00#RH-KE-A-206</v>
      </c>
      <c r="J208" s="25"/>
      <c r="K208" s="66"/>
      <c r="L208" s="31"/>
      <c r="M208" s="31"/>
      <c r="N208" s="26" t="str">
        <f t="shared" si="3"/>
        <v>Roam Hub - </v>
      </c>
      <c r="O208" s="26" t="str">
        <f t="shared" si="4"/>
        <v>FO-NBI-00#RH-KE-A-206: Roam Hub - </v>
      </c>
      <c r="R208" s="53"/>
      <c r="S208" s="78" t="b">
        <v>0</v>
      </c>
      <c r="T208" s="78" t="b">
        <v>0</v>
      </c>
      <c r="U208" s="78" t="b">
        <v>0</v>
      </c>
      <c r="V208" s="30" t="b">
        <v>0</v>
      </c>
      <c r="W208" s="30" t="b">
        <v>0</v>
      </c>
      <c r="X208" s="30"/>
      <c r="Y208" s="30"/>
      <c r="Z208" s="30"/>
      <c r="AA208" s="30"/>
      <c r="AB208" s="30"/>
      <c r="AC208" s="50"/>
      <c r="AD208" s="30"/>
      <c r="AE208" s="12">
        <f t="shared" si="5"/>
        <v>0</v>
      </c>
      <c r="AF208" s="70">
        <f t="shared" si="6"/>
        <v>0</v>
      </c>
      <c r="AG208" s="76"/>
      <c r="AH208" s="76"/>
      <c r="AI208" s="76"/>
      <c r="AJ208" s="76"/>
      <c r="AK208" s="76"/>
      <c r="AL208" s="30"/>
      <c r="AM208" s="79"/>
      <c r="AN208" s="79"/>
      <c r="AO208" s="79"/>
    </row>
    <row r="209" hidden="1">
      <c r="A209" s="12" t="s">
        <v>74</v>
      </c>
      <c r="B209" s="64"/>
      <c r="C209" s="12" t="s">
        <v>248</v>
      </c>
      <c r="D209" s="12" t="str">
        <f>vlookup(C209,'List of Chargers'!$A$2:$B$5,2,FALSE)</f>
        <v>Roam Hub</v>
      </c>
      <c r="E209" s="12" t="s">
        <v>73</v>
      </c>
      <c r="F209" s="12" t="s">
        <v>75</v>
      </c>
      <c r="G209" s="12">
        <v>207.0</v>
      </c>
      <c r="H209" s="13" t="str">
        <f t="shared" si="1"/>
        <v>#RH-KE-A-207</v>
      </c>
      <c r="I209" s="13" t="str">
        <f t="shared" si="2"/>
        <v>FO-NBI-00#RH-KE-A-207</v>
      </c>
      <c r="J209" s="25"/>
      <c r="K209" s="66"/>
      <c r="L209" s="31"/>
      <c r="M209" s="31"/>
      <c r="N209" s="26" t="str">
        <f t="shared" si="3"/>
        <v>Roam Hub - </v>
      </c>
      <c r="O209" s="26" t="str">
        <f t="shared" si="4"/>
        <v>FO-NBI-00#RH-KE-A-207: Roam Hub - </v>
      </c>
      <c r="R209" s="53"/>
      <c r="S209" s="78" t="b">
        <v>0</v>
      </c>
      <c r="T209" s="78" t="b">
        <v>0</v>
      </c>
      <c r="U209" s="78" t="b">
        <v>0</v>
      </c>
      <c r="V209" s="30" t="b">
        <v>0</v>
      </c>
      <c r="W209" s="30" t="b">
        <v>0</v>
      </c>
      <c r="X209" s="30"/>
      <c r="Y209" s="30"/>
      <c r="Z209" s="30"/>
      <c r="AA209" s="30"/>
      <c r="AB209" s="30"/>
      <c r="AC209" s="50"/>
      <c r="AD209" s="30"/>
      <c r="AE209" s="12">
        <f t="shared" si="5"/>
        <v>0</v>
      </c>
      <c r="AF209" s="70">
        <f t="shared" si="6"/>
        <v>0</v>
      </c>
      <c r="AG209" s="76"/>
      <c r="AH209" s="76"/>
      <c r="AI209" s="76"/>
      <c r="AJ209" s="76"/>
      <c r="AK209" s="76"/>
      <c r="AL209" s="30"/>
      <c r="AM209" s="79"/>
      <c r="AN209" s="79"/>
      <c r="AO209" s="79"/>
    </row>
    <row r="210" hidden="1">
      <c r="A210" s="12" t="s">
        <v>74</v>
      </c>
      <c r="B210" s="64"/>
      <c r="C210" s="12" t="s">
        <v>248</v>
      </c>
      <c r="D210" s="12" t="str">
        <f>vlookup(C210,'List of Chargers'!$A$2:$B$5,2,FALSE)</f>
        <v>Roam Hub</v>
      </c>
      <c r="E210" s="12" t="s">
        <v>73</v>
      </c>
      <c r="F210" s="12" t="s">
        <v>75</v>
      </c>
      <c r="G210" s="12">
        <v>208.0</v>
      </c>
      <c r="H210" s="13" t="str">
        <f t="shared" si="1"/>
        <v>#RH-KE-A-208</v>
      </c>
      <c r="I210" s="13" t="str">
        <f t="shared" si="2"/>
        <v>FO-NBI-00#RH-KE-A-208</v>
      </c>
      <c r="J210" s="25"/>
      <c r="K210" s="66"/>
      <c r="L210" s="31"/>
      <c r="M210" s="31"/>
      <c r="N210" s="26" t="str">
        <f t="shared" si="3"/>
        <v>Roam Hub - </v>
      </c>
      <c r="O210" s="26" t="str">
        <f t="shared" si="4"/>
        <v>FO-NBI-00#RH-KE-A-208: Roam Hub - </v>
      </c>
      <c r="R210" s="53"/>
      <c r="S210" s="78" t="b">
        <v>0</v>
      </c>
      <c r="T210" s="78" t="b">
        <v>0</v>
      </c>
      <c r="U210" s="78" t="b">
        <v>0</v>
      </c>
      <c r="V210" s="30" t="b">
        <v>0</v>
      </c>
      <c r="W210" s="30" t="b">
        <v>0</v>
      </c>
      <c r="X210" s="30"/>
      <c r="Y210" s="30"/>
      <c r="Z210" s="30"/>
      <c r="AA210" s="30"/>
      <c r="AB210" s="30"/>
      <c r="AC210" s="50"/>
      <c r="AD210" s="30"/>
      <c r="AE210" s="12">
        <f t="shared" si="5"/>
        <v>0</v>
      </c>
      <c r="AF210" s="70">
        <f t="shared" si="6"/>
        <v>0</v>
      </c>
      <c r="AG210" s="76"/>
      <c r="AH210" s="76"/>
      <c r="AI210" s="76"/>
      <c r="AJ210" s="76"/>
      <c r="AK210" s="76"/>
      <c r="AL210" s="30"/>
      <c r="AM210" s="79"/>
      <c r="AN210" s="79"/>
      <c r="AO210" s="79"/>
    </row>
    <row r="211" hidden="1">
      <c r="A211" s="12" t="s">
        <v>74</v>
      </c>
      <c r="B211" s="64"/>
      <c r="C211" s="12" t="s">
        <v>248</v>
      </c>
      <c r="D211" s="12" t="str">
        <f>vlookup(C211,'List of Chargers'!$A$2:$B$5,2,FALSE)</f>
        <v>Roam Hub</v>
      </c>
      <c r="E211" s="12" t="s">
        <v>73</v>
      </c>
      <c r="F211" s="12" t="s">
        <v>75</v>
      </c>
      <c r="G211" s="12">
        <v>209.0</v>
      </c>
      <c r="H211" s="13" t="str">
        <f t="shared" si="1"/>
        <v>#RH-KE-A-209</v>
      </c>
      <c r="I211" s="13" t="str">
        <f t="shared" si="2"/>
        <v>FO-NBI-00#RH-KE-A-209</v>
      </c>
      <c r="J211" s="25"/>
      <c r="K211" s="66"/>
      <c r="L211" s="31"/>
      <c r="M211" s="31"/>
      <c r="N211" s="26" t="str">
        <f t="shared" si="3"/>
        <v>Roam Hub - </v>
      </c>
      <c r="O211" s="26" t="str">
        <f t="shared" si="4"/>
        <v>FO-NBI-00#RH-KE-A-209: Roam Hub - </v>
      </c>
      <c r="R211" s="53"/>
      <c r="S211" s="78" t="b">
        <v>0</v>
      </c>
      <c r="T211" s="78" t="b">
        <v>0</v>
      </c>
      <c r="U211" s="78" t="b">
        <v>0</v>
      </c>
      <c r="V211" s="30" t="b">
        <v>0</v>
      </c>
      <c r="W211" s="30" t="b">
        <v>0</v>
      </c>
      <c r="X211" s="30"/>
      <c r="Y211" s="30"/>
      <c r="Z211" s="30"/>
      <c r="AA211" s="30"/>
      <c r="AB211" s="30"/>
      <c r="AC211" s="50"/>
      <c r="AD211" s="30"/>
      <c r="AE211" s="12">
        <f t="shared" si="5"/>
        <v>0</v>
      </c>
      <c r="AF211" s="70">
        <f t="shared" si="6"/>
        <v>0</v>
      </c>
      <c r="AG211" s="76"/>
      <c r="AH211" s="76"/>
      <c r="AI211" s="76"/>
      <c r="AJ211" s="76"/>
      <c r="AK211" s="76"/>
      <c r="AL211" s="30"/>
      <c r="AM211" s="79"/>
      <c r="AN211" s="79"/>
      <c r="AO211" s="79"/>
    </row>
    <row r="212" hidden="1">
      <c r="A212" s="12" t="s">
        <v>74</v>
      </c>
      <c r="B212" s="64"/>
      <c r="C212" s="12" t="s">
        <v>248</v>
      </c>
      <c r="D212" s="12" t="str">
        <f>vlookup(C212,'List of Chargers'!$A$2:$B$5,2,FALSE)</f>
        <v>Roam Hub</v>
      </c>
      <c r="E212" s="12" t="s">
        <v>73</v>
      </c>
      <c r="F212" s="12" t="s">
        <v>75</v>
      </c>
      <c r="G212" s="12">
        <v>210.0</v>
      </c>
      <c r="H212" s="13" t="str">
        <f t="shared" si="1"/>
        <v>#RH-KE-A-210</v>
      </c>
      <c r="I212" s="13" t="str">
        <f t="shared" si="2"/>
        <v>FO-NBI-00#RH-KE-A-210</v>
      </c>
      <c r="J212" s="25"/>
      <c r="K212" s="66"/>
      <c r="L212" s="31"/>
      <c r="M212" s="31"/>
      <c r="N212" s="26" t="str">
        <f t="shared" si="3"/>
        <v>Roam Hub - </v>
      </c>
      <c r="O212" s="26" t="str">
        <f t="shared" si="4"/>
        <v>FO-NBI-00#RH-KE-A-210: Roam Hub - </v>
      </c>
      <c r="R212" s="53"/>
      <c r="S212" s="78" t="b">
        <v>0</v>
      </c>
      <c r="T212" s="78" t="b">
        <v>0</v>
      </c>
      <c r="U212" s="78" t="b">
        <v>0</v>
      </c>
      <c r="V212" s="30" t="b">
        <v>0</v>
      </c>
      <c r="W212" s="30" t="b">
        <v>0</v>
      </c>
      <c r="X212" s="30"/>
      <c r="Y212" s="30"/>
      <c r="Z212" s="30"/>
      <c r="AA212" s="30"/>
      <c r="AB212" s="30"/>
      <c r="AC212" s="50"/>
      <c r="AD212" s="30"/>
      <c r="AE212" s="12">
        <f t="shared" si="5"/>
        <v>0</v>
      </c>
      <c r="AF212" s="70">
        <f t="shared" si="6"/>
        <v>0</v>
      </c>
      <c r="AG212" s="76"/>
      <c r="AH212" s="76"/>
      <c r="AI212" s="76"/>
      <c r="AJ212" s="76"/>
      <c r="AK212" s="76"/>
      <c r="AL212" s="30"/>
      <c r="AM212" s="79"/>
      <c r="AN212" s="79"/>
      <c r="AO212" s="79"/>
    </row>
    <row r="213" hidden="1">
      <c r="A213" s="12" t="s">
        <v>74</v>
      </c>
      <c r="B213" s="64"/>
      <c r="C213" s="12" t="s">
        <v>248</v>
      </c>
      <c r="D213" s="12" t="str">
        <f>vlookup(C213,'List of Chargers'!$A$2:$B$5,2,FALSE)</f>
        <v>Roam Hub</v>
      </c>
      <c r="E213" s="12" t="s">
        <v>73</v>
      </c>
      <c r="F213" s="12" t="s">
        <v>75</v>
      </c>
      <c r="G213" s="12">
        <v>211.0</v>
      </c>
      <c r="H213" s="13" t="str">
        <f t="shared" si="1"/>
        <v>#RH-KE-A-211</v>
      </c>
      <c r="I213" s="13" t="str">
        <f t="shared" si="2"/>
        <v>FO-NBI-00#RH-KE-A-211</v>
      </c>
      <c r="J213" s="25"/>
      <c r="K213" s="66"/>
      <c r="L213" s="31"/>
      <c r="M213" s="31"/>
      <c r="N213" s="26" t="str">
        <f t="shared" si="3"/>
        <v>Roam Hub - </v>
      </c>
      <c r="O213" s="26" t="str">
        <f t="shared" si="4"/>
        <v>FO-NBI-00#RH-KE-A-211: Roam Hub - </v>
      </c>
      <c r="R213" s="53"/>
      <c r="S213" s="78" t="b">
        <v>0</v>
      </c>
      <c r="T213" s="78" t="b">
        <v>0</v>
      </c>
      <c r="U213" s="78" t="b">
        <v>0</v>
      </c>
      <c r="V213" s="30" t="b">
        <v>0</v>
      </c>
      <c r="W213" s="30" t="b">
        <v>0</v>
      </c>
      <c r="X213" s="30"/>
      <c r="Y213" s="30"/>
      <c r="Z213" s="30"/>
      <c r="AA213" s="30"/>
      <c r="AB213" s="30"/>
      <c r="AC213" s="50"/>
      <c r="AD213" s="30"/>
      <c r="AE213" s="12">
        <f t="shared" si="5"/>
        <v>0</v>
      </c>
      <c r="AF213" s="70">
        <f t="shared" si="6"/>
        <v>0</v>
      </c>
      <c r="AG213" s="76"/>
      <c r="AH213" s="76"/>
      <c r="AI213" s="76"/>
      <c r="AJ213" s="76"/>
      <c r="AK213" s="76"/>
      <c r="AL213" s="30"/>
      <c r="AM213" s="79"/>
      <c r="AN213" s="79"/>
      <c r="AO213" s="79"/>
    </row>
    <row r="214" hidden="1">
      <c r="A214" s="12" t="s">
        <v>74</v>
      </c>
      <c r="B214" s="64"/>
      <c r="C214" s="12" t="s">
        <v>248</v>
      </c>
      <c r="D214" s="12" t="str">
        <f>vlookup(C214,'List of Chargers'!$A$2:$B$5,2,FALSE)</f>
        <v>Roam Hub</v>
      </c>
      <c r="E214" s="12" t="s">
        <v>73</v>
      </c>
      <c r="F214" s="12" t="s">
        <v>75</v>
      </c>
      <c r="G214" s="12">
        <v>212.0</v>
      </c>
      <c r="H214" s="13" t="str">
        <f t="shared" si="1"/>
        <v>#RH-KE-A-212</v>
      </c>
      <c r="I214" s="13" t="str">
        <f t="shared" si="2"/>
        <v>FO-NBI-00#RH-KE-A-212</v>
      </c>
      <c r="J214" s="25"/>
      <c r="K214" s="66"/>
      <c r="L214" s="31"/>
      <c r="M214" s="31"/>
      <c r="N214" s="26" t="str">
        <f t="shared" si="3"/>
        <v>Roam Hub - </v>
      </c>
      <c r="O214" s="26" t="str">
        <f t="shared" si="4"/>
        <v>FO-NBI-00#RH-KE-A-212: Roam Hub - </v>
      </c>
      <c r="R214" s="53"/>
      <c r="S214" s="78" t="b">
        <v>0</v>
      </c>
      <c r="T214" s="78" t="b">
        <v>0</v>
      </c>
      <c r="U214" s="78" t="b">
        <v>0</v>
      </c>
      <c r="V214" s="30" t="b">
        <v>0</v>
      </c>
      <c r="W214" s="30" t="b">
        <v>0</v>
      </c>
      <c r="X214" s="30"/>
      <c r="Y214" s="30"/>
      <c r="Z214" s="30"/>
      <c r="AA214" s="30"/>
      <c r="AB214" s="30"/>
      <c r="AC214" s="50"/>
      <c r="AD214" s="30"/>
      <c r="AE214" s="12">
        <f t="shared" si="5"/>
        <v>0</v>
      </c>
      <c r="AF214" s="70">
        <f t="shared" si="6"/>
        <v>0</v>
      </c>
      <c r="AG214" s="76"/>
      <c r="AH214" s="76"/>
      <c r="AI214" s="76"/>
      <c r="AJ214" s="76"/>
      <c r="AK214" s="76"/>
      <c r="AL214" s="30"/>
      <c r="AM214" s="79"/>
      <c r="AN214" s="79"/>
      <c r="AO214" s="79"/>
    </row>
    <row r="215" hidden="1">
      <c r="A215" s="12" t="s">
        <v>74</v>
      </c>
      <c r="B215" s="64"/>
      <c r="C215" s="12" t="s">
        <v>248</v>
      </c>
      <c r="D215" s="12" t="str">
        <f>vlookup(C215,'List of Chargers'!$A$2:$B$5,2,FALSE)</f>
        <v>Roam Hub</v>
      </c>
      <c r="E215" s="12" t="s">
        <v>73</v>
      </c>
      <c r="F215" s="12" t="s">
        <v>75</v>
      </c>
      <c r="G215" s="12">
        <v>213.0</v>
      </c>
      <c r="H215" s="13" t="str">
        <f t="shared" si="1"/>
        <v>#RH-KE-A-213</v>
      </c>
      <c r="I215" s="13" t="str">
        <f t="shared" si="2"/>
        <v>FO-NBI-00#RH-KE-A-213</v>
      </c>
      <c r="J215" s="25"/>
      <c r="K215" s="66"/>
      <c r="L215" s="31"/>
      <c r="M215" s="31"/>
      <c r="N215" s="26" t="str">
        <f t="shared" si="3"/>
        <v>Roam Hub - </v>
      </c>
      <c r="O215" s="26" t="str">
        <f t="shared" si="4"/>
        <v>FO-NBI-00#RH-KE-A-213: Roam Hub - </v>
      </c>
      <c r="R215" s="53"/>
      <c r="S215" s="78" t="b">
        <v>0</v>
      </c>
      <c r="T215" s="78" t="b">
        <v>0</v>
      </c>
      <c r="U215" s="78" t="b">
        <v>0</v>
      </c>
      <c r="V215" s="30" t="b">
        <v>0</v>
      </c>
      <c r="W215" s="30" t="b">
        <v>0</v>
      </c>
      <c r="X215" s="30"/>
      <c r="Y215" s="30"/>
      <c r="Z215" s="30"/>
      <c r="AA215" s="30"/>
      <c r="AB215" s="30"/>
      <c r="AC215" s="50"/>
      <c r="AD215" s="30"/>
      <c r="AE215" s="12">
        <f t="shared" si="5"/>
        <v>0</v>
      </c>
      <c r="AF215" s="70">
        <f t="shared" si="6"/>
        <v>0</v>
      </c>
      <c r="AG215" s="76"/>
      <c r="AH215" s="76"/>
      <c r="AI215" s="76"/>
      <c r="AJ215" s="76"/>
      <c r="AK215" s="76"/>
      <c r="AL215" s="30"/>
      <c r="AM215" s="79"/>
      <c r="AN215" s="79"/>
      <c r="AO215" s="79"/>
    </row>
    <row r="216" hidden="1">
      <c r="A216" s="12" t="s">
        <v>74</v>
      </c>
      <c r="B216" s="64"/>
      <c r="C216" s="12" t="s">
        <v>248</v>
      </c>
      <c r="D216" s="12" t="str">
        <f>vlookup(C216,'List of Chargers'!$A$2:$B$5,2,FALSE)</f>
        <v>Roam Hub</v>
      </c>
      <c r="E216" s="12" t="s">
        <v>73</v>
      </c>
      <c r="F216" s="12" t="s">
        <v>75</v>
      </c>
      <c r="G216" s="12">
        <v>214.0</v>
      </c>
      <c r="H216" s="13" t="str">
        <f t="shared" si="1"/>
        <v>#RH-KE-A-214</v>
      </c>
      <c r="I216" s="13" t="str">
        <f t="shared" si="2"/>
        <v>FO-NBI-00#RH-KE-A-214</v>
      </c>
      <c r="J216" s="25"/>
      <c r="K216" s="66"/>
      <c r="L216" s="31"/>
      <c r="M216" s="31"/>
      <c r="N216" s="26" t="str">
        <f t="shared" si="3"/>
        <v>Roam Hub - </v>
      </c>
      <c r="O216" s="26" t="str">
        <f t="shared" si="4"/>
        <v>FO-NBI-00#RH-KE-A-214: Roam Hub - </v>
      </c>
      <c r="R216" s="53"/>
      <c r="S216" s="78" t="b">
        <v>0</v>
      </c>
      <c r="T216" s="78" t="b">
        <v>0</v>
      </c>
      <c r="U216" s="78" t="b">
        <v>0</v>
      </c>
      <c r="V216" s="30" t="b">
        <v>0</v>
      </c>
      <c r="W216" s="30" t="b">
        <v>0</v>
      </c>
      <c r="X216" s="30"/>
      <c r="Y216" s="30"/>
      <c r="Z216" s="30"/>
      <c r="AA216" s="30"/>
      <c r="AB216" s="30"/>
      <c r="AC216" s="50"/>
      <c r="AD216" s="30"/>
      <c r="AE216" s="12">
        <f t="shared" si="5"/>
        <v>0</v>
      </c>
      <c r="AF216" s="70">
        <f t="shared" si="6"/>
        <v>0</v>
      </c>
      <c r="AG216" s="76"/>
      <c r="AH216" s="76"/>
      <c r="AI216" s="76"/>
      <c r="AJ216" s="76"/>
      <c r="AK216" s="76"/>
      <c r="AL216" s="30"/>
      <c r="AM216" s="79"/>
      <c r="AN216" s="79"/>
      <c r="AO216" s="79"/>
    </row>
    <row r="217" hidden="1">
      <c r="A217" s="12" t="s">
        <v>74</v>
      </c>
      <c r="B217" s="64"/>
      <c r="C217" s="12" t="s">
        <v>248</v>
      </c>
      <c r="D217" s="12" t="str">
        <f>vlookup(C217,'List of Chargers'!$A$2:$B$5,2,FALSE)</f>
        <v>Roam Hub</v>
      </c>
      <c r="E217" s="12" t="s">
        <v>73</v>
      </c>
      <c r="F217" s="12" t="s">
        <v>75</v>
      </c>
      <c r="G217" s="12">
        <v>215.0</v>
      </c>
      <c r="H217" s="13" t="str">
        <f t="shared" si="1"/>
        <v>#RH-KE-A-215</v>
      </c>
      <c r="I217" s="13" t="str">
        <f t="shared" si="2"/>
        <v>FO-NBI-00#RH-KE-A-215</v>
      </c>
      <c r="J217" s="25"/>
      <c r="K217" s="66"/>
      <c r="L217" s="31"/>
      <c r="M217" s="31"/>
      <c r="N217" s="26" t="str">
        <f t="shared" si="3"/>
        <v>Roam Hub - </v>
      </c>
      <c r="O217" s="26" t="str">
        <f t="shared" si="4"/>
        <v>FO-NBI-00#RH-KE-A-215: Roam Hub - </v>
      </c>
      <c r="R217" s="53"/>
      <c r="S217" s="78" t="b">
        <v>0</v>
      </c>
      <c r="T217" s="78" t="b">
        <v>0</v>
      </c>
      <c r="U217" s="78" t="b">
        <v>0</v>
      </c>
      <c r="V217" s="30" t="b">
        <v>0</v>
      </c>
      <c r="W217" s="30" t="b">
        <v>0</v>
      </c>
      <c r="X217" s="30"/>
      <c r="Y217" s="30"/>
      <c r="Z217" s="30"/>
      <c r="AA217" s="30"/>
      <c r="AB217" s="30"/>
      <c r="AC217" s="50"/>
      <c r="AD217" s="30"/>
      <c r="AE217" s="12">
        <f t="shared" si="5"/>
        <v>0</v>
      </c>
      <c r="AF217" s="70">
        <f t="shared" si="6"/>
        <v>0</v>
      </c>
      <c r="AG217" s="76"/>
      <c r="AH217" s="76"/>
      <c r="AI217" s="76"/>
      <c r="AJ217" s="76"/>
      <c r="AK217" s="76"/>
      <c r="AL217" s="30"/>
      <c r="AM217" s="79"/>
      <c r="AN217" s="79"/>
      <c r="AO217" s="79"/>
    </row>
    <row r="218" hidden="1">
      <c r="A218" s="12" t="s">
        <v>74</v>
      </c>
      <c r="B218" s="64"/>
      <c r="C218" s="12" t="s">
        <v>248</v>
      </c>
      <c r="D218" s="12" t="str">
        <f>vlookup(C218,'List of Chargers'!$A$2:$B$5,2,FALSE)</f>
        <v>Roam Hub</v>
      </c>
      <c r="E218" s="12" t="s">
        <v>73</v>
      </c>
      <c r="F218" s="12" t="s">
        <v>75</v>
      </c>
      <c r="G218" s="12">
        <v>216.0</v>
      </c>
      <c r="H218" s="13" t="str">
        <f t="shared" si="1"/>
        <v>#RH-KE-A-216</v>
      </c>
      <c r="I218" s="13" t="str">
        <f t="shared" si="2"/>
        <v>FO-NBI-00#RH-KE-A-216</v>
      </c>
      <c r="J218" s="25"/>
      <c r="K218" s="66"/>
      <c r="L218" s="31"/>
      <c r="M218" s="31"/>
      <c r="N218" s="26" t="str">
        <f t="shared" si="3"/>
        <v>Roam Hub - </v>
      </c>
      <c r="O218" s="26" t="str">
        <f t="shared" si="4"/>
        <v>FO-NBI-00#RH-KE-A-216: Roam Hub - </v>
      </c>
      <c r="R218" s="53"/>
      <c r="S218" s="78" t="b">
        <v>0</v>
      </c>
      <c r="T218" s="78" t="b">
        <v>0</v>
      </c>
      <c r="U218" s="78" t="b">
        <v>0</v>
      </c>
      <c r="V218" s="30" t="b">
        <v>0</v>
      </c>
      <c r="W218" s="30" t="b">
        <v>0</v>
      </c>
      <c r="X218" s="30"/>
      <c r="Y218" s="30"/>
      <c r="Z218" s="30"/>
      <c r="AA218" s="30"/>
      <c r="AB218" s="30"/>
      <c r="AC218" s="50"/>
      <c r="AD218" s="30"/>
      <c r="AE218" s="12">
        <f t="shared" si="5"/>
        <v>0</v>
      </c>
      <c r="AF218" s="70">
        <f t="shared" si="6"/>
        <v>0</v>
      </c>
      <c r="AG218" s="76"/>
      <c r="AH218" s="76"/>
      <c r="AI218" s="76"/>
      <c r="AJ218" s="76"/>
      <c r="AK218" s="76"/>
      <c r="AL218" s="30"/>
      <c r="AM218" s="79"/>
      <c r="AN218" s="79"/>
      <c r="AO218" s="79"/>
    </row>
    <row r="219" hidden="1">
      <c r="A219" s="12" t="s">
        <v>74</v>
      </c>
      <c r="B219" s="64"/>
      <c r="C219" s="12" t="s">
        <v>248</v>
      </c>
      <c r="D219" s="12" t="str">
        <f>vlookup(C219,'List of Chargers'!$A$2:$B$5,2,FALSE)</f>
        <v>Roam Hub</v>
      </c>
      <c r="E219" s="12" t="s">
        <v>73</v>
      </c>
      <c r="F219" s="12" t="s">
        <v>75</v>
      </c>
      <c r="G219" s="12">
        <v>217.0</v>
      </c>
      <c r="H219" s="13" t="str">
        <f t="shared" si="1"/>
        <v>#RH-KE-A-217</v>
      </c>
      <c r="I219" s="13" t="str">
        <f t="shared" si="2"/>
        <v>FO-NBI-00#RH-KE-A-217</v>
      </c>
      <c r="J219" s="25"/>
      <c r="K219" s="66"/>
      <c r="L219" s="31"/>
      <c r="M219" s="31"/>
      <c r="N219" s="26" t="str">
        <f t="shared" si="3"/>
        <v>Roam Hub - </v>
      </c>
      <c r="O219" s="26" t="str">
        <f t="shared" si="4"/>
        <v>FO-NBI-00#RH-KE-A-217: Roam Hub - </v>
      </c>
      <c r="R219" s="53"/>
      <c r="S219" s="78" t="b">
        <v>0</v>
      </c>
      <c r="T219" s="78" t="b">
        <v>0</v>
      </c>
      <c r="U219" s="78" t="b">
        <v>0</v>
      </c>
      <c r="V219" s="30" t="b">
        <v>0</v>
      </c>
      <c r="W219" s="30" t="b">
        <v>0</v>
      </c>
      <c r="X219" s="30"/>
      <c r="Y219" s="30"/>
      <c r="Z219" s="30"/>
      <c r="AA219" s="30"/>
      <c r="AB219" s="30"/>
      <c r="AC219" s="50"/>
      <c r="AD219" s="30"/>
      <c r="AE219" s="12">
        <f t="shared" si="5"/>
        <v>0</v>
      </c>
      <c r="AF219" s="70">
        <f t="shared" si="6"/>
        <v>0</v>
      </c>
      <c r="AG219" s="76"/>
      <c r="AH219" s="76"/>
      <c r="AI219" s="76"/>
      <c r="AJ219" s="76"/>
      <c r="AK219" s="76"/>
      <c r="AL219" s="30"/>
      <c r="AM219" s="79"/>
      <c r="AN219" s="79"/>
      <c r="AO219" s="79"/>
    </row>
    <row r="220" hidden="1">
      <c r="A220" s="12" t="s">
        <v>74</v>
      </c>
      <c r="B220" s="64"/>
      <c r="C220" s="12" t="s">
        <v>248</v>
      </c>
      <c r="D220" s="12" t="str">
        <f>vlookup(C220,'List of Chargers'!$A$2:$B$5,2,FALSE)</f>
        <v>Roam Hub</v>
      </c>
      <c r="E220" s="12" t="s">
        <v>73</v>
      </c>
      <c r="F220" s="12" t="s">
        <v>75</v>
      </c>
      <c r="G220" s="12">
        <v>218.0</v>
      </c>
      <c r="H220" s="13" t="str">
        <f t="shared" si="1"/>
        <v>#RH-KE-A-218</v>
      </c>
      <c r="I220" s="13" t="str">
        <f t="shared" si="2"/>
        <v>FO-NBI-00#RH-KE-A-218</v>
      </c>
      <c r="J220" s="25"/>
      <c r="K220" s="66"/>
      <c r="L220" s="31"/>
      <c r="M220" s="31"/>
      <c r="N220" s="26" t="str">
        <f t="shared" si="3"/>
        <v>Roam Hub - </v>
      </c>
      <c r="O220" s="26" t="str">
        <f t="shared" si="4"/>
        <v>FO-NBI-00#RH-KE-A-218: Roam Hub - </v>
      </c>
      <c r="R220" s="53"/>
      <c r="S220" s="78" t="b">
        <v>0</v>
      </c>
      <c r="T220" s="78" t="b">
        <v>0</v>
      </c>
      <c r="U220" s="78" t="b">
        <v>0</v>
      </c>
      <c r="V220" s="30" t="b">
        <v>0</v>
      </c>
      <c r="W220" s="30" t="b">
        <v>0</v>
      </c>
      <c r="X220" s="30"/>
      <c r="Y220" s="30"/>
      <c r="Z220" s="30"/>
      <c r="AA220" s="30"/>
      <c r="AB220" s="30"/>
      <c r="AC220" s="50"/>
      <c r="AD220" s="30"/>
      <c r="AE220" s="12">
        <f t="shared" si="5"/>
        <v>0</v>
      </c>
      <c r="AF220" s="70">
        <f t="shared" si="6"/>
        <v>0</v>
      </c>
      <c r="AG220" s="76"/>
      <c r="AH220" s="76"/>
      <c r="AI220" s="76"/>
      <c r="AJ220" s="76"/>
      <c r="AK220" s="76"/>
      <c r="AL220" s="30"/>
      <c r="AM220" s="79"/>
      <c r="AN220" s="79"/>
      <c r="AO220" s="79"/>
    </row>
    <row r="221" hidden="1">
      <c r="A221" s="12" t="s">
        <v>74</v>
      </c>
      <c r="B221" s="64"/>
      <c r="C221" s="12" t="s">
        <v>248</v>
      </c>
      <c r="D221" s="12" t="str">
        <f>vlookup(C221,'List of Chargers'!$A$2:$B$5,2,FALSE)</f>
        <v>Roam Hub</v>
      </c>
      <c r="E221" s="12" t="s">
        <v>73</v>
      </c>
      <c r="F221" s="12" t="s">
        <v>75</v>
      </c>
      <c r="G221" s="12">
        <v>219.0</v>
      </c>
      <c r="H221" s="13" t="str">
        <f t="shared" si="1"/>
        <v>#RH-KE-A-219</v>
      </c>
      <c r="I221" s="13" t="str">
        <f t="shared" si="2"/>
        <v>FO-NBI-00#RH-KE-A-219</v>
      </c>
      <c r="J221" s="25"/>
      <c r="K221" s="66"/>
      <c r="L221" s="31"/>
      <c r="M221" s="31"/>
      <c r="N221" s="26" t="str">
        <f t="shared" si="3"/>
        <v>Roam Hub - </v>
      </c>
      <c r="O221" s="26" t="str">
        <f t="shared" si="4"/>
        <v>FO-NBI-00#RH-KE-A-219: Roam Hub - </v>
      </c>
      <c r="R221" s="53"/>
      <c r="S221" s="78" t="b">
        <v>0</v>
      </c>
      <c r="T221" s="78" t="b">
        <v>0</v>
      </c>
      <c r="U221" s="78" t="b">
        <v>0</v>
      </c>
      <c r="V221" s="30" t="b">
        <v>0</v>
      </c>
      <c r="W221" s="30" t="b">
        <v>0</v>
      </c>
      <c r="X221" s="30"/>
      <c r="Y221" s="30"/>
      <c r="Z221" s="30"/>
      <c r="AA221" s="30"/>
      <c r="AB221" s="30"/>
      <c r="AC221" s="50"/>
      <c r="AD221" s="30"/>
      <c r="AE221" s="12">
        <f t="shared" si="5"/>
        <v>0</v>
      </c>
      <c r="AF221" s="70">
        <f t="shared" si="6"/>
        <v>0</v>
      </c>
      <c r="AG221" s="76"/>
      <c r="AH221" s="76"/>
      <c r="AI221" s="76"/>
      <c r="AJ221" s="76"/>
      <c r="AK221" s="76"/>
      <c r="AL221" s="30"/>
      <c r="AM221" s="79"/>
      <c r="AN221" s="79"/>
      <c r="AO221" s="79"/>
    </row>
    <row r="222" hidden="1">
      <c r="A222" s="12" t="s">
        <v>74</v>
      </c>
      <c r="B222" s="64"/>
      <c r="C222" s="12" t="s">
        <v>248</v>
      </c>
      <c r="D222" s="12" t="str">
        <f>vlookup(C222,'List of Chargers'!$A$2:$B$5,2,FALSE)</f>
        <v>Roam Hub</v>
      </c>
      <c r="E222" s="12" t="s">
        <v>73</v>
      </c>
      <c r="F222" s="12" t="s">
        <v>75</v>
      </c>
      <c r="G222" s="12">
        <v>220.0</v>
      </c>
      <c r="H222" s="13" t="str">
        <f t="shared" si="1"/>
        <v>#RH-KE-A-220</v>
      </c>
      <c r="I222" s="13" t="str">
        <f t="shared" si="2"/>
        <v>FO-NBI-00#RH-KE-A-220</v>
      </c>
      <c r="J222" s="25"/>
      <c r="K222" s="66"/>
      <c r="L222" s="31"/>
      <c r="M222" s="31"/>
      <c r="N222" s="26" t="str">
        <f t="shared" si="3"/>
        <v>Roam Hub - </v>
      </c>
      <c r="O222" s="26" t="str">
        <f t="shared" si="4"/>
        <v>FO-NBI-00#RH-KE-A-220: Roam Hub - </v>
      </c>
      <c r="R222" s="53"/>
      <c r="S222" s="78" t="b">
        <v>0</v>
      </c>
      <c r="T222" s="78" t="b">
        <v>0</v>
      </c>
      <c r="U222" s="78" t="b">
        <v>0</v>
      </c>
      <c r="V222" s="30" t="b">
        <v>0</v>
      </c>
      <c r="W222" s="30" t="b">
        <v>0</v>
      </c>
      <c r="X222" s="30"/>
      <c r="Y222" s="30"/>
      <c r="Z222" s="30"/>
      <c r="AA222" s="30"/>
      <c r="AB222" s="30"/>
      <c r="AC222" s="50"/>
      <c r="AD222" s="30"/>
      <c r="AE222" s="12">
        <f t="shared" si="5"/>
        <v>0</v>
      </c>
      <c r="AF222" s="70">
        <f t="shared" si="6"/>
        <v>0</v>
      </c>
      <c r="AG222" s="76"/>
      <c r="AH222" s="76"/>
      <c r="AI222" s="76"/>
      <c r="AJ222" s="76"/>
      <c r="AK222" s="76"/>
      <c r="AL222" s="30"/>
      <c r="AM222" s="79"/>
      <c r="AN222" s="79"/>
      <c r="AO222" s="79"/>
    </row>
    <row r="223" hidden="1">
      <c r="A223" s="12" t="s">
        <v>74</v>
      </c>
      <c r="B223" s="64"/>
      <c r="C223" s="12" t="s">
        <v>248</v>
      </c>
      <c r="D223" s="12" t="str">
        <f>vlookup(C223,'List of Chargers'!$A$2:$B$5,2,FALSE)</f>
        <v>Roam Hub</v>
      </c>
      <c r="E223" s="12" t="s">
        <v>73</v>
      </c>
      <c r="F223" s="12" t="s">
        <v>75</v>
      </c>
      <c r="G223" s="12">
        <v>221.0</v>
      </c>
      <c r="H223" s="13" t="str">
        <f t="shared" si="1"/>
        <v>#RH-KE-A-221</v>
      </c>
      <c r="I223" s="13" t="str">
        <f t="shared" si="2"/>
        <v>FO-NBI-00#RH-KE-A-221</v>
      </c>
      <c r="J223" s="25"/>
      <c r="K223" s="66"/>
      <c r="L223" s="31"/>
      <c r="M223" s="31"/>
      <c r="N223" s="26" t="str">
        <f t="shared" si="3"/>
        <v>Roam Hub - </v>
      </c>
      <c r="O223" s="26" t="str">
        <f t="shared" si="4"/>
        <v>FO-NBI-00#RH-KE-A-221: Roam Hub - </v>
      </c>
      <c r="R223" s="53"/>
      <c r="S223" s="78" t="b">
        <v>0</v>
      </c>
      <c r="T223" s="78" t="b">
        <v>0</v>
      </c>
      <c r="U223" s="78" t="b">
        <v>0</v>
      </c>
      <c r="V223" s="30" t="b">
        <v>0</v>
      </c>
      <c r="W223" s="30" t="b">
        <v>0</v>
      </c>
      <c r="X223" s="30"/>
      <c r="Y223" s="30"/>
      <c r="Z223" s="30"/>
      <c r="AA223" s="30"/>
      <c r="AB223" s="30"/>
      <c r="AC223" s="50"/>
      <c r="AD223" s="30"/>
      <c r="AE223" s="12">
        <f t="shared" si="5"/>
        <v>0</v>
      </c>
      <c r="AF223" s="70">
        <f t="shared" si="6"/>
        <v>0</v>
      </c>
      <c r="AG223" s="76"/>
      <c r="AH223" s="76"/>
      <c r="AI223" s="76"/>
      <c r="AJ223" s="76"/>
      <c r="AK223" s="76"/>
      <c r="AL223" s="30"/>
      <c r="AM223" s="79"/>
      <c r="AN223" s="79"/>
      <c r="AO223" s="79"/>
    </row>
    <row r="224" hidden="1">
      <c r="A224" s="12" t="s">
        <v>74</v>
      </c>
      <c r="B224" s="64"/>
      <c r="C224" s="12" t="s">
        <v>248</v>
      </c>
      <c r="D224" s="12" t="str">
        <f>vlookup(C224,'List of Chargers'!$A$2:$B$5,2,FALSE)</f>
        <v>Roam Hub</v>
      </c>
      <c r="E224" s="12" t="s">
        <v>73</v>
      </c>
      <c r="F224" s="12" t="s">
        <v>75</v>
      </c>
      <c r="G224" s="12">
        <v>222.0</v>
      </c>
      <c r="H224" s="13" t="str">
        <f t="shared" si="1"/>
        <v>#RH-KE-A-222</v>
      </c>
      <c r="I224" s="13" t="str">
        <f t="shared" si="2"/>
        <v>FO-NBI-00#RH-KE-A-222</v>
      </c>
      <c r="J224" s="25"/>
      <c r="K224" s="66"/>
      <c r="L224" s="31"/>
      <c r="M224" s="31"/>
      <c r="N224" s="26" t="str">
        <f t="shared" si="3"/>
        <v>Roam Hub - </v>
      </c>
      <c r="O224" s="26" t="str">
        <f t="shared" si="4"/>
        <v>FO-NBI-00#RH-KE-A-222: Roam Hub - </v>
      </c>
      <c r="R224" s="53"/>
      <c r="S224" s="78" t="b">
        <v>0</v>
      </c>
      <c r="T224" s="78" t="b">
        <v>0</v>
      </c>
      <c r="U224" s="78" t="b">
        <v>0</v>
      </c>
      <c r="V224" s="30" t="b">
        <v>0</v>
      </c>
      <c r="W224" s="30" t="b">
        <v>0</v>
      </c>
      <c r="X224" s="30"/>
      <c r="Y224" s="30"/>
      <c r="Z224" s="30"/>
      <c r="AA224" s="30"/>
      <c r="AB224" s="30"/>
      <c r="AC224" s="50"/>
      <c r="AD224" s="30"/>
      <c r="AE224" s="12">
        <f t="shared" si="5"/>
        <v>0</v>
      </c>
      <c r="AF224" s="70">
        <f t="shared" si="6"/>
        <v>0</v>
      </c>
      <c r="AG224" s="76"/>
      <c r="AH224" s="76"/>
      <c r="AI224" s="76"/>
      <c r="AJ224" s="76"/>
      <c r="AK224" s="76"/>
      <c r="AL224" s="30"/>
      <c r="AM224" s="79"/>
      <c r="AN224" s="79"/>
      <c r="AO224" s="79"/>
    </row>
    <row r="225" hidden="1">
      <c r="A225" s="12" t="s">
        <v>74</v>
      </c>
      <c r="B225" s="64"/>
      <c r="C225" s="12" t="s">
        <v>248</v>
      </c>
      <c r="D225" s="12" t="str">
        <f>vlookup(C225,'List of Chargers'!$A$2:$B$5,2,FALSE)</f>
        <v>Roam Hub</v>
      </c>
      <c r="E225" s="12" t="s">
        <v>73</v>
      </c>
      <c r="F225" s="12" t="s">
        <v>75</v>
      </c>
      <c r="G225" s="12">
        <v>223.0</v>
      </c>
      <c r="H225" s="13" t="str">
        <f t="shared" si="1"/>
        <v>#RH-KE-A-223</v>
      </c>
      <c r="I225" s="13" t="str">
        <f t="shared" si="2"/>
        <v>FO-NBI-00#RH-KE-A-223</v>
      </c>
      <c r="J225" s="25"/>
      <c r="K225" s="66"/>
      <c r="L225" s="31"/>
      <c r="M225" s="31"/>
      <c r="N225" s="26" t="str">
        <f t="shared" si="3"/>
        <v>Roam Hub - </v>
      </c>
      <c r="O225" s="26" t="str">
        <f t="shared" si="4"/>
        <v>FO-NBI-00#RH-KE-A-223: Roam Hub - </v>
      </c>
      <c r="R225" s="53"/>
      <c r="S225" s="78" t="b">
        <v>0</v>
      </c>
      <c r="T225" s="78" t="b">
        <v>0</v>
      </c>
      <c r="U225" s="78" t="b">
        <v>0</v>
      </c>
      <c r="V225" s="30" t="b">
        <v>0</v>
      </c>
      <c r="W225" s="30" t="b">
        <v>0</v>
      </c>
      <c r="X225" s="30"/>
      <c r="Y225" s="30"/>
      <c r="Z225" s="30"/>
      <c r="AA225" s="30"/>
      <c r="AB225" s="30"/>
      <c r="AC225" s="50"/>
      <c r="AD225" s="30"/>
      <c r="AE225" s="12">
        <f t="shared" si="5"/>
        <v>0</v>
      </c>
      <c r="AF225" s="70">
        <f t="shared" si="6"/>
        <v>0</v>
      </c>
      <c r="AG225" s="76"/>
      <c r="AH225" s="76"/>
      <c r="AI225" s="76"/>
      <c r="AJ225" s="76"/>
      <c r="AK225" s="76"/>
      <c r="AL225" s="30"/>
      <c r="AM225" s="79"/>
      <c r="AN225" s="79"/>
      <c r="AO225" s="79"/>
    </row>
    <row r="226" hidden="1">
      <c r="A226" s="12" t="s">
        <v>74</v>
      </c>
      <c r="B226" s="64"/>
      <c r="C226" s="12" t="s">
        <v>248</v>
      </c>
      <c r="D226" s="12" t="str">
        <f>vlookup(C226,'List of Chargers'!$A$2:$B$5,2,FALSE)</f>
        <v>Roam Hub</v>
      </c>
      <c r="E226" s="12" t="s">
        <v>73</v>
      </c>
      <c r="F226" s="12" t="s">
        <v>75</v>
      </c>
      <c r="G226" s="12">
        <v>224.0</v>
      </c>
      <c r="H226" s="13" t="str">
        <f t="shared" si="1"/>
        <v>#RH-KE-A-224</v>
      </c>
      <c r="I226" s="13" t="str">
        <f t="shared" si="2"/>
        <v>FO-NBI-00#RH-KE-A-224</v>
      </c>
      <c r="J226" s="25"/>
      <c r="K226" s="66"/>
      <c r="L226" s="31"/>
      <c r="M226" s="31"/>
      <c r="N226" s="26" t="str">
        <f t="shared" si="3"/>
        <v>Roam Hub - </v>
      </c>
      <c r="O226" s="26" t="str">
        <f t="shared" si="4"/>
        <v>FO-NBI-00#RH-KE-A-224: Roam Hub - </v>
      </c>
      <c r="R226" s="53"/>
      <c r="S226" s="78" t="b">
        <v>0</v>
      </c>
      <c r="T226" s="78" t="b">
        <v>0</v>
      </c>
      <c r="U226" s="78" t="b">
        <v>0</v>
      </c>
      <c r="V226" s="30" t="b">
        <v>0</v>
      </c>
      <c r="W226" s="30" t="b">
        <v>0</v>
      </c>
      <c r="X226" s="30"/>
      <c r="Y226" s="30"/>
      <c r="Z226" s="30"/>
      <c r="AA226" s="30"/>
      <c r="AB226" s="30"/>
      <c r="AC226" s="50"/>
      <c r="AD226" s="30"/>
      <c r="AE226" s="12">
        <f t="shared" si="5"/>
        <v>0</v>
      </c>
      <c r="AF226" s="70">
        <f t="shared" si="6"/>
        <v>0</v>
      </c>
      <c r="AG226" s="76"/>
      <c r="AH226" s="76"/>
      <c r="AI226" s="76"/>
      <c r="AJ226" s="76"/>
      <c r="AK226" s="76"/>
      <c r="AL226" s="30"/>
      <c r="AM226" s="79"/>
      <c r="AN226" s="79"/>
      <c r="AO226" s="79"/>
    </row>
    <row r="227" hidden="1">
      <c r="A227" s="12" t="s">
        <v>74</v>
      </c>
      <c r="B227" s="64"/>
      <c r="C227" s="12" t="s">
        <v>248</v>
      </c>
      <c r="D227" s="12" t="str">
        <f>vlookup(C227,'List of Chargers'!$A$2:$B$5,2,FALSE)</f>
        <v>Roam Hub</v>
      </c>
      <c r="E227" s="12" t="s">
        <v>73</v>
      </c>
      <c r="F227" s="12" t="s">
        <v>75</v>
      </c>
      <c r="G227" s="12">
        <v>225.0</v>
      </c>
      <c r="H227" s="13" t="str">
        <f t="shared" si="1"/>
        <v>#RH-KE-A-225</v>
      </c>
      <c r="I227" s="13" t="str">
        <f t="shared" si="2"/>
        <v>FO-NBI-00#RH-KE-A-225</v>
      </c>
      <c r="J227" s="25"/>
      <c r="K227" s="66"/>
      <c r="L227" s="31"/>
      <c r="M227" s="31"/>
      <c r="N227" s="26" t="str">
        <f t="shared" si="3"/>
        <v>Roam Hub - </v>
      </c>
      <c r="O227" s="26" t="str">
        <f t="shared" si="4"/>
        <v>FO-NBI-00#RH-KE-A-225: Roam Hub - </v>
      </c>
      <c r="R227" s="53"/>
      <c r="S227" s="78" t="b">
        <v>0</v>
      </c>
      <c r="T227" s="78" t="b">
        <v>0</v>
      </c>
      <c r="U227" s="78" t="b">
        <v>0</v>
      </c>
      <c r="V227" s="30" t="b">
        <v>0</v>
      </c>
      <c r="W227" s="30" t="b">
        <v>0</v>
      </c>
      <c r="X227" s="30"/>
      <c r="Y227" s="30"/>
      <c r="Z227" s="30"/>
      <c r="AA227" s="30"/>
      <c r="AB227" s="30"/>
      <c r="AC227" s="50"/>
      <c r="AD227" s="30"/>
      <c r="AE227" s="12">
        <f t="shared" si="5"/>
        <v>0</v>
      </c>
      <c r="AF227" s="70">
        <f t="shared" si="6"/>
        <v>0</v>
      </c>
      <c r="AG227" s="76"/>
      <c r="AH227" s="76"/>
      <c r="AI227" s="76"/>
      <c r="AJ227" s="76"/>
      <c r="AK227" s="76"/>
      <c r="AL227" s="30"/>
      <c r="AM227" s="79"/>
      <c r="AN227" s="79"/>
      <c r="AO227" s="79"/>
    </row>
    <row r="228" hidden="1">
      <c r="A228" s="12" t="s">
        <v>74</v>
      </c>
      <c r="B228" s="64"/>
      <c r="C228" s="12" t="s">
        <v>248</v>
      </c>
      <c r="D228" s="12" t="str">
        <f>vlookup(C228,'List of Chargers'!$A$2:$B$5,2,FALSE)</f>
        <v>Roam Hub</v>
      </c>
      <c r="E228" s="12" t="s">
        <v>73</v>
      </c>
      <c r="F228" s="12" t="s">
        <v>75</v>
      </c>
      <c r="G228" s="12">
        <v>226.0</v>
      </c>
      <c r="H228" s="13" t="str">
        <f t="shared" si="1"/>
        <v>#RH-KE-A-226</v>
      </c>
      <c r="I228" s="13" t="str">
        <f t="shared" si="2"/>
        <v>FO-NBI-00#RH-KE-A-226</v>
      </c>
      <c r="J228" s="25"/>
      <c r="K228" s="66"/>
      <c r="L228" s="31"/>
      <c r="M228" s="31"/>
      <c r="N228" s="26" t="str">
        <f t="shared" si="3"/>
        <v>Roam Hub - </v>
      </c>
      <c r="O228" s="26" t="str">
        <f t="shared" si="4"/>
        <v>FO-NBI-00#RH-KE-A-226: Roam Hub - </v>
      </c>
      <c r="R228" s="53"/>
      <c r="S228" s="78" t="b">
        <v>0</v>
      </c>
      <c r="T228" s="78" t="b">
        <v>0</v>
      </c>
      <c r="U228" s="78" t="b">
        <v>0</v>
      </c>
      <c r="V228" s="30" t="b">
        <v>0</v>
      </c>
      <c r="W228" s="30" t="b">
        <v>0</v>
      </c>
      <c r="X228" s="30"/>
      <c r="Y228" s="30"/>
      <c r="Z228" s="30"/>
      <c r="AA228" s="30"/>
      <c r="AB228" s="30"/>
      <c r="AC228" s="50"/>
      <c r="AD228" s="30"/>
      <c r="AE228" s="12">
        <f t="shared" si="5"/>
        <v>0</v>
      </c>
      <c r="AF228" s="70">
        <f t="shared" si="6"/>
        <v>0</v>
      </c>
      <c r="AG228" s="76"/>
      <c r="AH228" s="76"/>
      <c r="AI228" s="76"/>
      <c r="AJ228" s="76"/>
      <c r="AK228" s="76"/>
      <c r="AL228" s="30"/>
      <c r="AM228" s="79"/>
      <c r="AN228" s="79"/>
      <c r="AO228" s="79"/>
    </row>
    <row r="229" hidden="1">
      <c r="A229" s="12" t="s">
        <v>74</v>
      </c>
      <c r="B229" s="64"/>
      <c r="C229" s="12" t="s">
        <v>248</v>
      </c>
      <c r="D229" s="12" t="str">
        <f>vlookup(C229,'List of Chargers'!$A$2:$B$5,2,FALSE)</f>
        <v>Roam Hub</v>
      </c>
      <c r="E229" s="12" t="s">
        <v>73</v>
      </c>
      <c r="F229" s="12" t="s">
        <v>75</v>
      </c>
      <c r="G229" s="12">
        <v>227.0</v>
      </c>
      <c r="H229" s="13" t="str">
        <f t="shared" si="1"/>
        <v>#RH-KE-A-227</v>
      </c>
      <c r="I229" s="13" t="str">
        <f t="shared" si="2"/>
        <v>FO-NBI-00#RH-KE-A-227</v>
      </c>
      <c r="J229" s="25"/>
      <c r="K229" s="66"/>
      <c r="L229" s="31"/>
      <c r="M229" s="31"/>
      <c r="N229" s="26" t="str">
        <f t="shared" si="3"/>
        <v>Roam Hub - </v>
      </c>
      <c r="O229" s="26" t="str">
        <f t="shared" si="4"/>
        <v>FO-NBI-00#RH-KE-A-227: Roam Hub - </v>
      </c>
      <c r="R229" s="53"/>
      <c r="S229" s="78" t="b">
        <v>0</v>
      </c>
      <c r="T229" s="78" t="b">
        <v>0</v>
      </c>
      <c r="U229" s="78" t="b">
        <v>0</v>
      </c>
      <c r="V229" s="30" t="b">
        <v>0</v>
      </c>
      <c r="W229" s="30" t="b">
        <v>0</v>
      </c>
      <c r="X229" s="30"/>
      <c r="Y229" s="30"/>
      <c r="Z229" s="30"/>
      <c r="AA229" s="30"/>
      <c r="AB229" s="30"/>
      <c r="AC229" s="50"/>
      <c r="AD229" s="30"/>
      <c r="AE229" s="12">
        <f t="shared" si="5"/>
        <v>0</v>
      </c>
      <c r="AF229" s="70">
        <f t="shared" si="6"/>
        <v>0</v>
      </c>
      <c r="AG229" s="76"/>
      <c r="AH229" s="76"/>
      <c r="AI229" s="76"/>
      <c r="AJ229" s="76"/>
      <c r="AK229" s="76"/>
      <c r="AL229" s="30"/>
      <c r="AM229" s="79"/>
      <c r="AN229" s="79"/>
      <c r="AO229" s="79"/>
    </row>
    <row r="230" hidden="1">
      <c r="A230" s="12" t="s">
        <v>74</v>
      </c>
      <c r="B230" s="64"/>
      <c r="C230" s="12" t="s">
        <v>248</v>
      </c>
      <c r="D230" s="12" t="str">
        <f>vlookup(C230,'List of Chargers'!$A$2:$B$5,2,FALSE)</f>
        <v>Roam Hub</v>
      </c>
      <c r="E230" s="12" t="s">
        <v>73</v>
      </c>
      <c r="F230" s="12" t="s">
        <v>75</v>
      </c>
      <c r="G230" s="12">
        <v>228.0</v>
      </c>
      <c r="H230" s="13" t="str">
        <f t="shared" si="1"/>
        <v>#RH-KE-A-228</v>
      </c>
      <c r="I230" s="13" t="str">
        <f t="shared" si="2"/>
        <v>FO-NBI-00#RH-KE-A-228</v>
      </c>
      <c r="J230" s="25"/>
      <c r="K230" s="66"/>
      <c r="L230" s="31"/>
      <c r="M230" s="31"/>
      <c r="N230" s="26" t="str">
        <f t="shared" si="3"/>
        <v>Roam Hub - </v>
      </c>
      <c r="O230" s="26" t="str">
        <f t="shared" si="4"/>
        <v>FO-NBI-00#RH-KE-A-228: Roam Hub - </v>
      </c>
      <c r="R230" s="53"/>
      <c r="S230" s="78" t="b">
        <v>0</v>
      </c>
      <c r="T230" s="78" t="b">
        <v>0</v>
      </c>
      <c r="U230" s="78" t="b">
        <v>0</v>
      </c>
      <c r="V230" s="30" t="b">
        <v>0</v>
      </c>
      <c r="W230" s="30" t="b">
        <v>0</v>
      </c>
      <c r="X230" s="30"/>
      <c r="Y230" s="30"/>
      <c r="Z230" s="30"/>
      <c r="AA230" s="30"/>
      <c r="AB230" s="30"/>
      <c r="AC230" s="50"/>
      <c r="AD230" s="30"/>
      <c r="AE230" s="12">
        <f t="shared" si="5"/>
        <v>0</v>
      </c>
      <c r="AF230" s="70">
        <f t="shared" si="6"/>
        <v>0</v>
      </c>
      <c r="AG230" s="76"/>
      <c r="AH230" s="76"/>
      <c r="AI230" s="76"/>
      <c r="AJ230" s="76"/>
      <c r="AK230" s="76"/>
      <c r="AL230" s="30"/>
      <c r="AM230" s="79"/>
      <c r="AN230" s="79"/>
      <c r="AO230" s="79"/>
    </row>
    <row r="231" hidden="1">
      <c r="A231" s="12" t="s">
        <v>74</v>
      </c>
      <c r="B231" s="64"/>
      <c r="C231" s="12" t="s">
        <v>248</v>
      </c>
      <c r="D231" s="12" t="str">
        <f>vlookup(C231,'List of Chargers'!$A$2:$B$5,2,FALSE)</f>
        <v>Roam Hub</v>
      </c>
      <c r="E231" s="12" t="s">
        <v>73</v>
      </c>
      <c r="F231" s="12" t="s">
        <v>75</v>
      </c>
      <c r="G231" s="12">
        <v>229.0</v>
      </c>
      <c r="H231" s="13" t="str">
        <f t="shared" si="1"/>
        <v>#RH-KE-A-229</v>
      </c>
      <c r="I231" s="13" t="str">
        <f t="shared" si="2"/>
        <v>FO-NBI-00#RH-KE-A-229</v>
      </c>
      <c r="J231" s="25"/>
      <c r="K231" s="66"/>
      <c r="L231" s="31"/>
      <c r="M231" s="31"/>
      <c r="N231" s="26" t="str">
        <f t="shared" si="3"/>
        <v>Roam Hub - </v>
      </c>
      <c r="O231" s="26" t="str">
        <f t="shared" si="4"/>
        <v>FO-NBI-00#RH-KE-A-229: Roam Hub - </v>
      </c>
      <c r="R231" s="53"/>
      <c r="S231" s="78" t="b">
        <v>0</v>
      </c>
      <c r="T231" s="78" t="b">
        <v>0</v>
      </c>
      <c r="U231" s="78" t="b">
        <v>0</v>
      </c>
      <c r="V231" s="30" t="b">
        <v>0</v>
      </c>
      <c r="W231" s="30" t="b">
        <v>0</v>
      </c>
      <c r="X231" s="30"/>
      <c r="Y231" s="30"/>
      <c r="Z231" s="30"/>
      <c r="AA231" s="30"/>
      <c r="AB231" s="30"/>
      <c r="AC231" s="50"/>
      <c r="AD231" s="30"/>
      <c r="AE231" s="12">
        <f t="shared" si="5"/>
        <v>0</v>
      </c>
      <c r="AF231" s="70">
        <f t="shared" si="6"/>
        <v>0</v>
      </c>
      <c r="AG231" s="76"/>
      <c r="AH231" s="76"/>
      <c r="AI231" s="76"/>
      <c r="AJ231" s="76"/>
      <c r="AK231" s="76"/>
      <c r="AL231" s="30"/>
      <c r="AM231" s="79"/>
      <c r="AN231" s="79"/>
      <c r="AO231" s="79"/>
    </row>
    <row r="232" hidden="1">
      <c r="A232" s="12" t="s">
        <v>74</v>
      </c>
      <c r="B232" s="64"/>
      <c r="C232" s="12" t="s">
        <v>248</v>
      </c>
      <c r="D232" s="12" t="str">
        <f>vlookup(C232,'List of Chargers'!$A$2:$B$5,2,FALSE)</f>
        <v>Roam Hub</v>
      </c>
      <c r="E232" s="12" t="s">
        <v>73</v>
      </c>
      <c r="F232" s="12" t="s">
        <v>75</v>
      </c>
      <c r="G232" s="12">
        <v>230.0</v>
      </c>
      <c r="H232" s="13" t="str">
        <f t="shared" si="1"/>
        <v>#RH-KE-A-230</v>
      </c>
      <c r="I232" s="13" t="str">
        <f t="shared" si="2"/>
        <v>FO-NBI-00#RH-KE-A-230</v>
      </c>
      <c r="J232" s="25"/>
      <c r="K232" s="66"/>
      <c r="L232" s="31"/>
      <c r="M232" s="31"/>
      <c r="N232" s="26" t="str">
        <f t="shared" si="3"/>
        <v>Roam Hub - </v>
      </c>
      <c r="O232" s="26" t="str">
        <f t="shared" si="4"/>
        <v>FO-NBI-00#RH-KE-A-230: Roam Hub - </v>
      </c>
      <c r="R232" s="53"/>
      <c r="S232" s="78" t="b">
        <v>0</v>
      </c>
      <c r="T232" s="78" t="b">
        <v>0</v>
      </c>
      <c r="U232" s="78" t="b">
        <v>0</v>
      </c>
      <c r="V232" s="30" t="b">
        <v>0</v>
      </c>
      <c r="W232" s="30" t="b">
        <v>0</v>
      </c>
      <c r="X232" s="30"/>
      <c r="Y232" s="30"/>
      <c r="Z232" s="30"/>
      <c r="AA232" s="30"/>
      <c r="AB232" s="30"/>
      <c r="AC232" s="50"/>
      <c r="AD232" s="30"/>
      <c r="AE232" s="12">
        <f t="shared" si="5"/>
        <v>0</v>
      </c>
      <c r="AF232" s="70">
        <f t="shared" si="6"/>
        <v>0</v>
      </c>
      <c r="AG232" s="76"/>
      <c r="AH232" s="76"/>
      <c r="AI232" s="76"/>
      <c r="AJ232" s="76"/>
      <c r="AK232" s="76"/>
      <c r="AL232" s="30"/>
      <c r="AM232" s="79"/>
      <c r="AN232" s="79"/>
      <c r="AO232" s="79"/>
    </row>
    <row r="233" hidden="1">
      <c r="A233" s="12" t="s">
        <v>74</v>
      </c>
      <c r="B233" s="64"/>
      <c r="C233" s="12" t="s">
        <v>248</v>
      </c>
      <c r="D233" s="12" t="str">
        <f>vlookup(C233,'List of Chargers'!$A$2:$B$5,2,FALSE)</f>
        <v>Roam Hub</v>
      </c>
      <c r="E233" s="12" t="s">
        <v>73</v>
      </c>
      <c r="F233" s="12" t="s">
        <v>75</v>
      </c>
      <c r="G233" s="12">
        <v>231.0</v>
      </c>
      <c r="H233" s="13" t="str">
        <f t="shared" si="1"/>
        <v>#RH-KE-A-231</v>
      </c>
      <c r="I233" s="13" t="str">
        <f t="shared" si="2"/>
        <v>FO-NBI-00#RH-KE-A-231</v>
      </c>
      <c r="J233" s="25"/>
      <c r="K233" s="66"/>
      <c r="L233" s="31"/>
      <c r="M233" s="31"/>
      <c r="N233" s="26" t="str">
        <f t="shared" si="3"/>
        <v>Roam Hub - </v>
      </c>
      <c r="O233" s="26" t="str">
        <f t="shared" si="4"/>
        <v>FO-NBI-00#RH-KE-A-231: Roam Hub - </v>
      </c>
      <c r="R233" s="53"/>
      <c r="S233" s="78" t="b">
        <v>0</v>
      </c>
      <c r="T233" s="78" t="b">
        <v>0</v>
      </c>
      <c r="U233" s="78" t="b">
        <v>0</v>
      </c>
      <c r="V233" s="30" t="b">
        <v>0</v>
      </c>
      <c r="W233" s="30" t="b">
        <v>0</v>
      </c>
      <c r="X233" s="30"/>
      <c r="Y233" s="30"/>
      <c r="Z233" s="30"/>
      <c r="AA233" s="30"/>
      <c r="AB233" s="30"/>
      <c r="AC233" s="50"/>
      <c r="AD233" s="30"/>
      <c r="AE233" s="12">
        <f t="shared" si="5"/>
        <v>0</v>
      </c>
      <c r="AF233" s="70">
        <f t="shared" si="6"/>
        <v>0</v>
      </c>
      <c r="AG233" s="76"/>
      <c r="AH233" s="76"/>
      <c r="AI233" s="76"/>
      <c r="AJ233" s="76"/>
      <c r="AK233" s="76"/>
      <c r="AL233" s="30"/>
      <c r="AM233" s="79"/>
      <c r="AN233" s="79"/>
      <c r="AO233" s="79"/>
    </row>
    <row r="234" hidden="1">
      <c r="A234" s="12" t="s">
        <v>74</v>
      </c>
      <c r="B234" s="64"/>
      <c r="C234" s="12" t="s">
        <v>248</v>
      </c>
      <c r="D234" s="12" t="str">
        <f>vlookup(C234,'List of Chargers'!$A$2:$B$5,2,FALSE)</f>
        <v>Roam Hub</v>
      </c>
      <c r="E234" s="12" t="s">
        <v>73</v>
      </c>
      <c r="F234" s="12" t="s">
        <v>75</v>
      </c>
      <c r="G234" s="12">
        <v>232.0</v>
      </c>
      <c r="H234" s="13" t="str">
        <f t="shared" si="1"/>
        <v>#RH-KE-A-232</v>
      </c>
      <c r="I234" s="13" t="str">
        <f t="shared" si="2"/>
        <v>FO-NBI-00#RH-KE-A-232</v>
      </c>
      <c r="J234" s="25"/>
      <c r="K234" s="66"/>
      <c r="L234" s="31"/>
      <c r="M234" s="31"/>
      <c r="N234" s="26" t="str">
        <f t="shared" si="3"/>
        <v>Roam Hub - </v>
      </c>
      <c r="O234" s="26" t="str">
        <f t="shared" si="4"/>
        <v>FO-NBI-00#RH-KE-A-232: Roam Hub - </v>
      </c>
      <c r="R234" s="53"/>
      <c r="S234" s="78" t="b">
        <v>0</v>
      </c>
      <c r="T234" s="78" t="b">
        <v>0</v>
      </c>
      <c r="U234" s="78" t="b">
        <v>0</v>
      </c>
      <c r="V234" s="30" t="b">
        <v>0</v>
      </c>
      <c r="W234" s="30" t="b">
        <v>0</v>
      </c>
      <c r="X234" s="30"/>
      <c r="Y234" s="30"/>
      <c r="Z234" s="30"/>
      <c r="AA234" s="30"/>
      <c r="AB234" s="30"/>
      <c r="AC234" s="50"/>
      <c r="AD234" s="30"/>
      <c r="AE234" s="12">
        <f t="shared" si="5"/>
        <v>0</v>
      </c>
      <c r="AF234" s="70">
        <f t="shared" si="6"/>
        <v>0</v>
      </c>
      <c r="AG234" s="76"/>
      <c r="AH234" s="76"/>
      <c r="AI234" s="76"/>
      <c r="AJ234" s="76"/>
      <c r="AK234" s="76"/>
      <c r="AL234" s="30"/>
      <c r="AM234" s="79"/>
      <c r="AN234" s="79"/>
      <c r="AO234" s="79"/>
    </row>
    <row r="235" hidden="1">
      <c r="A235" s="12" t="s">
        <v>74</v>
      </c>
      <c r="B235" s="64"/>
      <c r="C235" s="12" t="s">
        <v>248</v>
      </c>
      <c r="D235" s="12" t="str">
        <f>vlookup(C235,'List of Chargers'!$A$2:$B$5,2,FALSE)</f>
        <v>Roam Hub</v>
      </c>
      <c r="E235" s="12" t="s">
        <v>73</v>
      </c>
      <c r="F235" s="12" t="s">
        <v>75</v>
      </c>
      <c r="G235" s="12">
        <v>233.0</v>
      </c>
      <c r="H235" s="13" t="str">
        <f t="shared" si="1"/>
        <v>#RH-KE-A-233</v>
      </c>
      <c r="I235" s="13" t="str">
        <f t="shared" si="2"/>
        <v>FO-NBI-00#RH-KE-A-233</v>
      </c>
      <c r="J235" s="25"/>
      <c r="K235" s="66"/>
      <c r="L235" s="31"/>
      <c r="M235" s="31"/>
      <c r="N235" s="26" t="str">
        <f t="shared" si="3"/>
        <v>Roam Hub - </v>
      </c>
      <c r="O235" s="26" t="str">
        <f t="shared" si="4"/>
        <v>FO-NBI-00#RH-KE-A-233: Roam Hub - </v>
      </c>
      <c r="R235" s="53"/>
      <c r="S235" s="78" t="b">
        <v>0</v>
      </c>
      <c r="T235" s="78" t="b">
        <v>0</v>
      </c>
      <c r="U235" s="78" t="b">
        <v>0</v>
      </c>
      <c r="V235" s="30" t="b">
        <v>0</v>
      </c>
      <c r="W235" s="30" t="b">
        <v>0</v>
      </c>
      <c r="X235" s="30"/>
      <c r="Y235" s="30"/>
      <c r="Z235" s="30"/>
      <c r="AA235" s="30"/>
      <c r="AB235" s="30"/>
      <c r="AC235" s="50"/>
      <c r="AD235" s="30"/>
      <c r="AE235" s="12">
        <f t="shared" si="5"/>
        <v>0</v>
      </c>
      <c r="AF235" s="70">
        <f t="shared" si="6"/>
        <v>0</v>
      </c>
      <c r="AG235" s="76"/>
      <c r="AH235" s="76"/>
      <c r="AI235" s="76"/>
      <c r="AJ235" s="76"/>
      <c r="AK235" s="76"/>
      <c r="AL235" s="30"/>
      <c r="AM235" s="79"/>
      <c r="AN235" s="79"/>
      <c r="AO235" s="79"/>
    </row>
    <row r="236" hidden="1">
      <c r="A236" s="12" t="s">
        <v>74</v>
      </c>
      <c r="B236" s="64"/>
      <c r="C236" s="12" t="s">
        <v>248</v>
      </c>
      <c r="D236" s="12" t="str">
        <f>vlookup(C236,'List of Chargers'!$A$2:$B$5,2,FALSE)</f>
        <v>Roam Hub</v>
      </c>
      <c r="E236" s="12" t="s">
        <v>73</v>
      </c>
      <c r="F236" s="12" t="s">
        <v>75</v>
      </c>
      <c r="G236" s="12">
        <v>234.0</v>
      </c>
      <c r="H236" s="13" t="str">
        <f t="shared" si="1"/>
        <v>#RH-KE-A-234</v>
      </c>
      <c r="I236" s="13" t="str">
        <f t="shared" si="2"/>
        <v>FO-NBI-00#RH-KE-A-234</v>
      </c>
      <c r="J236" s="25"/>
      <c r="K236" s="66"/>
      <c r="L236" s="31"/>
      <c r="M236" s="31"/>
      <c r="N236" s="26" t="str">
        <f t="shared" si="3"/>
        <v>Roam Hub - </v>
      </c>
      <c r="O236" s="26" t="str">
        <f t="shared" si="4"/>
        <v>FO-NBI-00#RH-KE-A-234: Roam Hub - </v>
      </c>
      <c r="R236" s="53"/>
      <c r="S236" s="78" t="b">
        <v>0</v>
      </c>
      <c r="T236" s="78" t="b">
        <v>0</v>
      </c>
      <c r="U236" s="78" t="b">
        <v>0</v>
      </c>
      <c r="V236" s="30" t="b">
        <v>0</v>
      </c>
      <c r="W236" s="30" t="b">
        <v>0</v>
      </c>
      <c r="X236" s="30"/>
      <c r="Y236" s="30"/>
      <c r="Z236" s="30"/>
      <c r="AA236" s="30"/>
      <c r="AB236" s="30"/>
      <c r="AC236" s="50"/>
      <c r="AD236" s="30"/>
      <c r="AE236" s="12">
        <f t="shared" si="5"/>
        <v>0</v>
      </c>
      <c r="AF236" s="70">
        <f t="shared" si="6"/>
        <v>0</v>
      </c>
      <c r="AG236" s="76"/>
      <c r="AH236" s="76"/>
      <c r="AI236" s="76"/>
      <c r="AJ236" s="76"/>
      <c r="AK236" s="76"/>
      <c r="AL236" s="30"/>
      <c r="AM236" s="79"/>
      <c r="AN236" s="79"/>
      <c r="AO236" s="79"/>
    </row>
    <row r="237" hidden="1">
      <c r="A237" s="12" t="s">
        <v>74</v>
      </c>
      <c r="B237" s="64"/>
      <c r="C237" s="12" t="s">
        <v>248</v>
      </c>
      <c r="D237" s="12" t="str">
        <f>vlookup(C237,'List of Chargers'!$A$2:$B$5,2,FALSE)</f>
        <v>Roam Hub</v>
      </c>
      <c r="E237" s="12" t="s">
        <v>73</v>
      </c>
      <c r="F237" s="12" t="s">
        <v>75</v>
      </c>
      <c r="G237" s="12">
        <v>235.0</v>
      </c>
      <c r="H237" s="13" t="str">
        <f t="shared" si="1"/>
        <v>#RH-KE-A-235</v>
      </c>
      <c r="I237" s="13" t="str">
        <f t="shared" si="2"/>
        <v>FO-NBI-00#RH-KE-A-235</v>
      </c>
      <c r="J237" s="25"/>
      <c r="K237" s="66"/>
      <c r="L237" s="31"/>
      <c r="M237" s="31"/>
      <c r="N237" s="26" t="str">
        <f t="shared" si="3"/>
        <v>Roam Hub - </v>
      </c>
      <c r="O237" s="26" t="str">
        <f t="shared" si="4"/>
        <v>FO-NBI-00#RH-KE-A-235: Roam Hub - </v>
      </c>
      <c r="R237" s="53"/>
      <c r="S237" s="78" t="b">
        <v>0</v>
      </c>
      <c r="T237" s="78" t="b">
        <v>0</v>
      </c>
      <c r="U237" s="78" t="b">
        <v>0</v>
      </c>
      <c r="V237" s="30" t="b">
        <v>0</v>
      </c>
      <c r="W237" s="30" t="b">
        <v>0</v>
      </c>
      <c r="X237" s="30"/>
      <c r="Y237" s="30"/>
      <c r="Z237" s="30"/>
      <c r="AA237" s="30"/>
      <c r="AB237" s="30"/>
      <c r="AC237" s="50"/>
      <c r="AD237" s="30"/>
      <c r="AE237" s="12">
        <f t="shared" si="5"/>
        <v>0</v>
      </c>
      <c r="AF237" s="70">
        <f t="shared" si="6"/>
        <v>0</v>
      </c>
      <c r="AG237" s="76"/>
      <c r="AH237" s="76"/>
      <c r="AI237" s="76"/>
      <c r="AJ237" s="76"/>
      <c r="AK237" s="76"/>
      <c r="AL237" s="30"/>
      <c r="AM237" s="79"/>
      <c r="AN237" s="79"/>
      <c r="AO237" s="79"/>
    </row>
    <row r="238" hidden="1">
      <c r="A238" s="12" t="s">
        <v>74</v>
      </c>
      <c r="B238" s="64"/>
      <c r="C238" s="12" t="s">
        <v>248</v>
      </c>
      <c r="D238" s="12" t="str">
        <f>vlookup(C238,'List of Chargers'!$A$2:$B$5,2,FALSE)</f>
        <v>Roam Hub</v>
      </c>
      <c r="E238" s="12" t="s">
        <v>73</v>
      </c>
      <c r="F238" s="12" t="s">
        <v>75</v>
      </c>
      <c r="G238" s="12">
        <v>236.0</v>
      </c>
      <c r="H238" s="13" t="str">
        <f t="shared" si="1"/>
        <v>#RH-KE-A-236</v>
      </c>
      <c r="I238" s="13" t="str">
        <f t="shared" si="2"/>
        <v>FO-NBI-00#RH-KE-A-236</v>
      </c>
      <c r="J238" s="25"/>
      <c r="K238" s="66"/>
      <c r="L238" s="31"/>
      <c r="M238" s="31"/>
      <c r="N238" s="26" t="str">
        <f t="shared" si="3"/>
        <v>Roam Hub - </v>
      </c>
      <c r="O238" s="26" t="str">
        <f t="shared" si="4"/>
        <v>FO-NBI-00#RH-KE-A-236: Roam Hub - </v>
      </c>
      <c r="R238" s="53"/>
      <c r="S238" s="78" t="b">
        <v>0</v>
      </c>
      <c r="T238" s="78" t="b">
        <v>0</v>
      </c>
      <c r="U238" s="78" t="b">
        <v>0</v>
      </c>
      <c r="V238" s="30" t="b">
        <v>0</v>
      </c>
      <c r="W238" s="30" t="b">
        <v>0</v>
      </c>
      <c r="X238" s="30"/>
      <c r="Y238" s="30"/>
      <c r="Z238" s="30"/>
      <c r="AA238" s="30"/>
      <c r="AB238" s="30"/>
      <c r="AC238" s="50"/>
      <c r="AD238" s="30"/>
      <c r="AE238" s="12">
        <f t="shared" si="5"/>
        <v>0</v>
      </c>
      <c r="AF238" s="70">
        <f t="shared" si="6"/>
        <v>0</v>
      </c>
      <c r="AG238" s="76"/>
      <c r="AH238" s="76"/>
      <c r="AI238" s="76"/>
      <c r="AJ238" s="76"/>
      <c r="AK238" s="76"/>
      <c r="AL238" s="30"/>
      <c r="AM238" s="79"/>
      <c r="AN238" s="79"/>
      <c r="AO238" s="79"/>
    </row>
    <row r="239" hidden="1">
      <c r="A239" s="12" t="s">
        <v>74</v>
      </c>
      <c r="B239" s="64"/>
      <c r="C239" s="12" t="s">
        <v>248</v>
      </c>
      <c r="D239" s="12" t="str">
        <f>vlookup(C239,'List of Chargers'!$A$2:$B$5,2,FALSE)</f>
        <v>Roam Hub</v>
      </c>
      <c r="E239" s="12" t="s">
        <v>73</v>
      </c>
      <c r="F239" s="12" t="s">
        <v>75</v>
      </c>
      <c r="G239" s="12">
        <v>237.0</v>
      </c>
      <c r="H239" s="13" t="str">
        <f t="shared" si="1"/>
        <v>#RH-KE-A-237</v>
      </c>
      <c r="I239" s="13" t="str">
        <f t="shared" si="2"/>
        <v>FO-NBI-00#RH-KE-A-237</v>
      </c>
      <c r="J239" s="25"/>
      <c r="K239" s="66"/>
      <c r="L239" s="31"/>
      <c r="M239" s="31"/>
      <c r="N239" s="26" t="str">
        <f t="shared" si="3"/>
        <v>Roam Hub - </v>
      </c>
      <c r="O239" s="26" t="str">
        <f t="shared" si="4"/>
        <v>FO-NBI-00#RH-KE-A-237: Roam Hub - </v>
      </c>
      <c r="R239" s="53"/>
      <c r="S239" s="78" t="b">
        <v>0</v>
      </c>
      <c r="T239" s="78" t="b">
        <v>0</v>
      </c>
      <c r="U239" s="78" t="b">
        <v>0</v>
      </c>
      <c r="V239" s="30" t="b">
        <v>0</v>
      </c>
      <c r="W239" s="30" t="b">
        <v>0</v>
      </c>
      <c r="X239" s="30"/>
      <c r="Y239" s="30"/>
      <c r="Z239" s="30"/>
      <c r="AA239" s="30"/>
      <c r="AB239" s="30"/>
      <c r="AC239" s="50"/>
      <c r="AD239" s="30"/>
      <c r="AE239" s="12">
        <f t="shared" si="5"/>
        <v>0</v>
      </c>
      <c r="AF239" s="70">
        <f t="shared" si="6"/>
        <v>0</v>
      </c>
      <c r="AG239" s="76"/>
      <c r="AH239" s="76"/>
      <c r="AI239" s="76"/>
      <c r="AJ239" s="76"/>
      <c r="AK239" s="76"/>
      <c r="AL239" s="30"/>
      <c r="AM239" s="79"/>
      <c r="AN239" s="79"/>
      <c r="AO239" s="79"/>
    </row>
    <row r="240" hidden="1">
      <c r="A240" s="12" t="s">
        <v>74</v>
      </c>
      <c r="B240" s="64"/>
      <c r="C240" s="12" t="s">
        <v>248</v>
      </c>
      <c r="D240" s="12" t="str">
        <f>vlookup(C240,'List of Chargers'!$A$2:$B$5,2,FALSE)</f>
        <v>Roam Hub</v>
      </c>
      <c r="E240" s="12" t="s">
        <v>73</v>
      </c>
      <c r="F240" s="12" t="s">
        <v>75</v>
      </c>
      <c r="G240" s="12">
        <v>238.0</v>
      </c>
      <c r="H240" s="13" t="str">
        <f t="shared" si="1"/>
        <v>#RH-KE-A-238</v>
      </c>
      <c r="I240" s="13" t="str">
        <f t="shared" si="2"/>
        <v>FO-NBI-00#RH-KE-A-238</v>
      </c>
      <c r="J240" s="25"/>
      <c r="K240" s="66"/>
      <c r="L240" s="31"/>
      <c r="M240" s="31"/>
      <c r="N240" s="26" t="str">
        <f t="shared" si="3"/>
        <v>Roam Hub - </v>
      </c>
      <c r="O240" s="26" t="str">
        <f t="shared" si="4"/>
        <v>FO-NBI-00#RH-KE-A-238: Roam Hub - </v>
      </c>
      <c r="R240" s="53"/>
      <c r="S240" s="78" t="b">
        <v>0</v>
      </c>
      <c r="T240" s="78" t="b">
        <v>0</v>
      </c>
      <c r="U240" s="78" t="b">
        <v>0</v>
      </c>
      <c r="V240" s="30" t="b">
        <v>0</v>
      </c>
      <c r="W240" s="30" t="b">
        <v>0</v>
      </c>
      <c r="X240" s="30"/>
      <c r="Y240" s="30"/>
      <c r="Z240" s="30"/>
      <c r="AA240" s="30"/>
      <c r="AB240" s="30"/>
      <c r="AC240" s="50"/>
      <c r="AD240" s="30"/>
      <c r="AE240" s="12">
        <f t="shared" si="5"/>
        <v>0</v>
      </c>
      <c r="AF240" s="70">
        <f t="shared" si="6"/>
        <v>0</v>
      </c>
      <c r="AG240" s="76"/>
      <c r="AH240" s="76"/>
      <c r="AI240" s="76"/>
      <c r="AJ240" s="76"/>
      <c r="AK240" s="76"/>
      <c r="AL240" s="30"/>
      <c r="AM240" s="79"/>
      <c r="AN240" s="79"/>
      <c r="AO240" s="79"/>
    </row>
    <row r="241" hidden="1">
      <c r="A241" s="12" t="s">
        <v>74</v>
      </c>
      <c r="B241" s="64"/>
      <c r="C241" s="12" t="s">
        <v>248</v>
      </c>
      <c r="D241" s="12" t="str">
        <f>vlookup(C241,'List of Chargers'!$A$2:$B$5,2,FALSE)</f>
        <v>Roam Hub</v>
      </c>
      <c r="E241" s="12" t="s">
        <v>73</v>
      </c>
      <c r="F241" s="12" t="s">
        <v>75</v>
      </c>
      <c r="G241" s="12">
        <v>239.0</v>
      </c>
      <c r="H241" s="13" t="str">
        <f t="shared" si="1"/>
        <v>#RH-KE-A-239</v>
      </c>
      <c r="I241" s="13" t="str">
        <f t="shared" si="2"/>
        <v>FO-NBI-00#RH-KE-A-239</v>
      </c>
      <c r="J241" s="25"/>
      <c r="K241" s="66"/>
      <c r="L241" s="31"/>
      <c r="M241" s="31"/>
      <c r="N241" s="26" t="str">
        <f t="shared" si="3"/>
        <v>Roam Hub - </v>
      </c>
      <c r="O241" s="26" t="str">
        <f t="shared" si="4"/>
        <v>FO-NBI-00#RH-KE-A-239: Roam Hub - </v>
      </c>
      <c r="R241" s="53"/>
      <c r="S241" s="78" t="b">
        <v>0</v>
      </c>
      <c r="T241" s="78" t="b">
        <v>0</v>
      </c>
      <c r="U241" s="78" t="b">
        <v>0</v>
      </c>
      <c r="V241" s="30" t="b">
        <v>0</v>
      </c>
      <c r="W241" s="30" t="b">
        <v>0</v>
      </c>
      <c r="X241" s="30"/>
      <c r="Y241" s="30"/>
      <c r="Z241" s="30"/>
      <c r="AA241" s="30"/>
      <c r="AB241" s="30"/>
      <c r="AC241" s="50"/>
      <c r="AD241" s="30"/>
      <c r="AE241" s="12">
        <f t="shared" si="5"/>
        <v>0</v>
      </c>
      <c r="AF241" s="70">
        <f t="shared" si="6"/>
        <v>0</v>
      </c>
      <c r="AG241" s="76"/>
      <c r="AH241" s="76"/>
      <c r="AI241" s="76"/>
      <c r="AJ241" s="76"/>
      <c r="AK241" s="76"/>
      <c r="AL241" s="30"/>
      <c r="AM241" s="79"/>
      <c r="AN241" s="79"/>
      <c r="AO241" s="79"/>
    </row>
    <row r="242" hidden="1">
      <c r="A242" s="12" t="s">
        <v>74</v>
      </c>
      <c r="B242" s="64"/>
      <c r="C242" s="12" t="s">
        <v>248</v>
      </c>
      <c r="D242" s="12" t="str">
        <f>vlookup(C242,'List of Chargers'!$A$2:$B$5,2,FALSE)</f>
        <v>Roam Hub</v>
      </c>
      <c r="E242" s="12" t="s">
        <v>73</v>
      </c>
      <c r="F242" s="12" t="s">
        <v>75</v>
      </c>
      <c r="G242" s="12">
        <v>240.0</v>
      </c>
      <c r="H242" s="13" t="str">
        <f t="shared" si="1"/>
        <v>#RH-KE-A-240</v>
      </c>
      <c r="I242" s="13" t="str">
        <f t="shared" si="2"/>
        <v>FO-NBI-00#RH-KE-A-240</v>
      </c>
      <c r="J242" s="25"/>
      <c r="K242" s="66"/>
      <c r="L242" s="31"/>
      <c r="M242" s="31"/>
      <c r="N242" s="26" t="str">
        <f t="shared" si="3"/>
        <v>Roam Hub - </v>
      </c>
      <c r="O242" s="26" t="str">
        <f t="shared" si="4"/>
        <v>FO-NBI-00#RH-KE-A-240: Roam Hub - </v>
      </c>
      <c r="R242" s="53"/>
      <c r="S242" s="78" t="b">
        <v>0</v>
      </c>
      <c r="T242" s="78" t="b">
        <v>0</v>
      </c>
      <c r="U242" s="78" t="b">
        <v>0</v>
      </c>
      <c r="V242" s="30" t="b">
        <v>0</v>
      </c>
      <c r="W242" s="30" t="b">
        <v>0</v>
      </c>
      <c r="X242" s="30"/>
      <c r="Y242" s="30"/>
      <c r="Z242" s="30"/>
      <c r="AA242" s="30"/>
      <c r="AB242" s="30"/>
      <c r="AC242" s="50"/>
      <c r="AD242" s="30"/>
      <c r="AE242" s="12">
        <f t="shared" si="5"/>
        <v>0</v>
      </c>
      <c r="AF242" s="70">
        <f t="shared" si="6"/>
        <v>0</v>
      </c>
      <c r="AG242" s="76"/>
      <c r="AH242" s="76"/>
      <c r="AI242" s="76"/>
      <c r="AJ242" s="76"/>
      <c r="AK242" s="76"/>
      <c r="AL242" s="30"/>
      <c r="AM242" s="79"/>
      <c r="AN242" s="79"/>
      <c r="AO242" s="79"/>
    </row>
    <row r="243" hidden="1">
      <c r="A243" s="12" t="s">
        <v>74</v>
      </c>
      <c r="B243" s="64"/>
      <c r="C243" s="12" t="s">
        <v>248</v>
      </c>
      <c r="D243" s="12" t="str">
        <f>vlookup(C243,'List of Chargers'!$A$2:$B$5,2,FALSE)</f>
        <v>Roam Hub</v>
      </c>
      <c r="E243" s="12" t="s">
        <v>73</v>
      </c>
      <c r="F243" s="12" t="s">
        <v>75</v>
      </c>
      <c r="G243" s="12">
        <v>241.0</v>
      </c>
      <c r="H243" s="13" t="str">
        <f t="shared" si="1"/>
        <v>#RH-KE-A-241</v>
      </c>
      <c r="I243" s="13" t="str">
        <f t="shared" si="2"/>
        <v>FO-NBI-00#RH-KE-A-241</v>
      </c>
      <c r="J243" s="25"/>
      <c r="K243" s="66"/>
      <c r="L243" s="31"/>
      <c r="M243" s="31"/>
      <c r="N243" s="26" t="str">
        <f t="shared" si="3"/>
        <v>Roam Hub - </v>
      </c>
      <c r="O243" s="26" t="str">
        <f t="shared" si="4"/>
        <v>FO-NBI-00#RH-KE-A-241: Roam Hub - </v>
      </c>
      <c r="R243" s="53"/>
      <c r="S243" s="78" t="b">
        <v>0</v>
      </c>
      <c r="T243" s="78" t="b">
        <v>0</v>
      </c>
      <c r="U243" s="78" t="b">
        <v>0</v>
      </c>
      <c r="V243" s="30" t="b">
        <v>0</v>
      </c>
      <c r="W243" s="30" t="b">
        <v>0</v>
      </c>
      <c r="X243" s="30"/>
      <c r="Y243" s="30"/>
      <c r="Z243" s="30"/>
      <c r="AA243" s="30"/>
      <c r="AB243" s="30"/>
      <c r="AC243" s="50"/>
      <c r="AD243" s="30"/>
      <c r="AE243" s="12">
        <f t="shared" si="5"/>
        <v>0</v>
      </c>
      <c r="AF243" s="70">
        <f t="shared" si="6"/>
        <v>0</v>
      </c>
      <c r="AG243" s="76"/>
      <c r="AH243" s="76"/>
      <c r="AI243" s="76"/>
      <c r="AJ243" s="76"/>
      <c r="AK243" s="76"/>
      <c r="AL243" s="30"/>
      <c r="AM243" s="79"/>
      <c r="AN243" s="79"/>
      <c r="AO243" s="79"/>
    </row>
    <row r="244" hidden="1">
      <c r="A244" s="12" t="s">
        <v>74</v>
      </c>
      <c r="B244" s="64"/>
      <c r="C244" s="12" t="s">
        <v>248</v>
      </c>
      <c r="D244" s="12" t="str">
        <f>vlookup(C244,'List of Chargers'!$A$2:$B$5,2,FALSE)</f>
        <v>Roam Hub</v>
      </c>
      <c r="E244" s="12" t="s">
        <v>73</v>
      </c>
      <c r="F244" s="12" t="s">
        <v>75</v>
      </c>
      <c r="G244" s="12">
        <v>242.0</v>
      </c>
      <c r="H244" s="13" t="str">
        <f t="shared" si="1"/>
        <v>#RH-KE-A-242</v>
      </c>
      <c r="I244" s="13" t="str">
        <f t="shared" si="2"/>
        <v>FO-NBI-00#RH-KE-A-242</v>
      </c>
      <c r="J244" s="25"/>
      <c r="K244" s="66"/>
      <c r="L244" s="31"/>
      <c r="M244" s="31"/>
      <c r="N244" s="26" t="str">
        <f t="shared" si="3"/>
        <v>Roam Hub - </v>
      </c>
      <c r="O244" s="26" t="str">
        <f t="shared" si="4"/>
        <v>FO-NBI-00#RH-KE-A-242: Roam Hub - </v>
      </c>
      <c r="R244" s="53"/>
      <c r="S244" s="78" t="b">
        <v>0</v>
      </c>
      <c r="T244" s="78" t="b">
        <v>0</v>
      </c>
      <c r="U244" s="78" t="b">
        <v>0</v>
      </c>
      <c r="V244" s="30" t="b">
        <v>0</v>
      </c>
      <c r="W244" s="30" t="b">
        <v>0</v>
      </c>
      <c r="X244" s="30"/>
      <c r="Y244" s="30"/>
      <c r="Z244" s="30"/>
      <c r="AA244" s="30"/>
      <c r="AB244" s="30"/>
      <c r="AC244" s="50"/>
      <c r="AD244" s="30"/>
      <c r="AE244" s="12">
        <f t="shared" si="5"/>
        <v>0</v>
      </c>
      <c r="AF244" s="70">
        <f t="shared" si="6"/>
        <v>0</v>
      </c>
      <c r="AG244" s="76"/>
      <c r="AH244" s="76"/>
      <c r="AI244" s="76"/>
      <c r="AJ244" s="76"/>
      <c r="AK244" s="76"/>
      <c r="AL244" s="30"/>
      <c r="AM244" s="79"/>
      <c r="AN244" s="79"/>
      <c r="AO244" s="79"/>
    </row>
    <row r="245" hidden="1">
      <c r="A245" s="12" t="s">
        <v>74</v>
      </c>
      <c r="B245" s="64"/>
      <c r="C245" s="12" t="s">
        <v>248</v>
      </c>
      <c r="D245" s="12" t="str">
        <f>vlookup(C245,'List of Chargers'!$A$2:$B$5,2,FALSE)</f>
        <v>Roam Hub</v>
      </c>
      <c r="E245" s="12" t="s">
        <v>73</v>
      </c>
      <c r="F245" s="12" t="s">
        <v>75</v>
      </c>
      <c r="G245" s="12">
        <v>243.0</v>
      </c>
      <c r="H245" s="13" t="str">
        <f t="shared" si="1"/>
        <v>#RH-KE-A-243</v>
      </c>
      <c r="I245" s="13" t="str">
        <f t="shared" si="2"/>
        <v>FO-NBI-00#RH-KE-A-243</v>
      </c>
      <c r="J245" s="25"/>
      <c r="K245" s="66"/>
      <c r="L245" s="31"/>
      <c r="M245" s="31"/>
      <c r="N245" s="26" t="str">
        <f t="shared" si="3"/>
        <v>Roam Hub - </v>
      </c>
      <c r="O245" s="26" t="str">
        <f t="shared" si="4"/>
        <v>FO-NBI-00#RH-KE-A-243: Roam Hub - </v>
      </c>
      <c r="R245" s="53"/>
      <c r="S245" s="78" t="b">
        <v>0</v>
      </c>
      <c r="T245" s="78" t="b">
        <v>0</v>
      </c>
      <c r="U245" s="78" t="b">
        <v>0</v>
      </c>
      <c r="V245" s="30" t="b">
        <v>0</v>
      </c>
      <c r="W245" s="30" t="b">
        <v>0</v>
      </c>
      <c r="X245" s="30"/>
      <c r="Y245" s="30"/>
      <c r="Z245" s="30"/>
      <c r="AA245" s="30"/>
      <c r="AB245" s="30"/>
      <c r="AC245" s="50"/>
      <c r="AD245" s="30"/>
      <c r="AE245" s="12">
        <f t="shared" si="5"/>
        <v>0</v>
      </c>
      <c r="AF245" s="70">
        <f t="shared" si="6"/>
        <v>0</v>
      </c>
      <c r="AG245" s="76"/>
      <c r="AH245" s="76"/>
      <c r="AI245" s="76"/>
      <c r="AJ245" s="76"/>
      <c r="AK245" s="76"/>
      <c r="AL245" s="30"/>
      <c r="AM245" s="79"/>
      <c r="AN245" s="79"/>
      <c r="AO245" s="79"/>
    </row>
    <row r="246" hidden="1">
      <c r="A246" s="12" t="s">
        <v>74</v>
      </c>
      <c r="B246" s="64"/>
      <c r="C246" s="12" t="s">
        <v>248</v>
      </c>
      <c r="D246" s="12" t="str">
        <f>vlookup(C246,'List of Chargers'!$A$2:$B$5,2,FALSE)</f>
        <v>Roam Hub</v>
      </c>
      <c r="E246" s="12" t="s">
        <v>73</v>
      </c>
      <c r="F246" s="12" t="s">
        <v>75</v>
      </c>
      <c r="G246" s="12">
        <v>244.0</v>
      </c>
      <c r="H246" s="13" t="str">
        <f t="shared" si="1"/>
        <v>#RH-KE-A-244</v>
      </c>
      <c r="I246" s="13" t="str">
        <f t="shared" si="2"/>
        <v>FO-NBI-00#RH-KE-A-244</v>
      </c>
      <c r="J246" s="25"/>
      <c r="K246" s="66"/>
      <c r="L246" s="31"/>
      <c r="M246" s="31"/>
      <c r="N246" s="26" t="str">
        <f t="shared" si="3"/>
        <v>Roam Hub - </v>
      </c>
      <c r="O246" s="26" t="str">
        <f t="shared" si="4"/>
        <v>FO-NBI-00#RH-KE-A-244: Roam Hub - </v>
      </c>
      <c r="R246" s="53"/>
      <c r="S246" s="78" t="b">
        <v>0</v>
      </c>
      <c r="T246" s="78" t="b">
        <v>0</v>
      </c>
      <c r="U246" s="78" t="b">
        <v>0</v>
      </c>
      <c r="V246" s="30" t="b">
        <v>0</v>
      </c>
      <c r="W246" s="30" t="b">
        <v>0</v>
      </c>
      <c r="X246" s="30"/>
      <c r="Y246" s="30"/>
      <c r="Z246" s="30"/>
      <c r="AA246" s="30"/>
      <c r="AB246" s="30"/>
      <c r="AC246" s="50"/>
      <c r="AD246" s="30"/>
      <c r="AE246" s="12">
        <f t="shared" si="5"/>
        <v>0</v>
      </c>
      <c r="AF246" s="70">
        <f t="shared" si="6"/>
        <v>0</v>
      </c>
      <c r="AG246" s="76"/>
      <c r="AH246" s="76"/>
      <c r="AI246" s="76"/>
      <c r="AJ246" s="76"/>
      <c r="AK246" s="76"/>
      <c r="AL246" s="30"/>
      <c r="AM246" s="79"/>
      <c r="AN246" s="79"/>
      <c r="AO246" s="79"/>
    </row>
    <row r="247" hidden="1">
      <c r="A247" s="12" t="s">
        <v>74</v>
      </c>
      <c r="B247" s="64"/>
      <c r="C247" s="12" t="s">
        <v>248</v>
      </c>
      <c r="D247" s="12" t="str">
        <f>vlookup(C247,'List of Chargers'!$A$2:$B$5,2,FALSE)</f>
        <v>Roam Hub</v>
      </c>
      <c r="E247" s="12" t="s">
        <v>73</v>
      </c>
      <c r="F247" s="12" t="s">
        <v>75</v>
      </c>
      <c r="G247" s="12">
        <v>245.0</v>
      </c>
      <c r="H247" s="13" t="str">
        <f t="shared" si="1"/>
        <v>#RH-KE-A-245</v>
      </c>
      <c r="I247" s="13" t="str">
        <f t="shared" si="2"/>
        <v>FO-NBI-00#RH-KE-A-245</v>
      </c>
      <c r="J247" s="25"/>
      <c r="K247" s="66"/>
      <c r="L247" s="31"/>
      <c r="M247" s="31"/>
      <c r="N247" s="26" t="str">
        <f t="shared" si="3"/>
        <v>Roam Hub - </v>
      </c>
      <c r="O247" s="26" t="str">
        <f t="shared" si="4"/>
        <v>FO-NBI-00#RH-KE-A-245: Roam Hub - </v>
      </c>
      <c r="R247" s="53"/>
      <c r="S247" s="78" t="b">
        <v>0</v>
      </c>
      <c r="T247" s="78" t="b">
        <v>0</v>
      </c>
      <c r="U247" s="78" t="b">
        <v>0</v>
      </c>
      <c r="V247" s="30" t="b">
        <v>0</v>
      </c>
      <c r="W247" s="30" t="b">
        <v>0</v>
      </c>
      <c r="X247" s="30"/>
      <c r="Y247" s="30"/>
      <c r="Z247" s="30"/>
      <c r="AA247" s="30"/>
      <c r="AB247" s="30"/>
      <c r="AC247" s="50"/>
      <c r="AD247" s="30"/>
      <c r="AE247" s="12">
        <f t="shared" si="5"/>
        <v>0</v>
      </c>
      <c r="AF247" s="70">
        <f t="shared" si="6"/>
        <v>0</v>
      </c>
      <c r="AG247" s="76"/>
      <c r="AH247" s="76"/>
      <c r="AI247" s="76"/>
      <c r="AJ247" s="76"/>
      <c r="AK247" s="76"/>
      <c r="AL247" s="30"/>
      <c r="AM247" s="79"/>
      <c r="AN247" s="79"/>
      <c r="AO247" s="79"/>
    </row>
    <row r="248" hidden="1">
      <c r="A248" s="12" t="s">
        <v>74</v>
      </c>
      <c r="B248" s="64"/>
      <c r="C248" s="12" t="s">
        <v>248</v>
      </c>
      <c r="D248" s="12" t="str">
        <f>vlookup(C248,'List of Chargers'!$A$2:$B$5,2,FALSE)</f>
        <v>Roam Hub</v>
      </c>
      <c r="E248" s="12" t="s">
        <v>73</v>
      </c>
      <c r="F248" s="12" t="s">
        <v>75</v>
      </c>
      <c r="G248" s="12">
        <v>246.0</v>
      </c>
      <c r="H248" s="13" t="str">
        <f t="shared" si="1"/>
        <v>#RH-KE-A-246</v>
      </c>
      <c r="I248" s="13" t="str">
        <f t="shared" si="2"/>
        <v>FO-NBI-00#RH-KE-A-246</v>
      </c>
      <c r="J248" s="25"/>
      <c r="K248" s="66"/>
      <c r="L248" s="31"/>
      <c r="M248" s="31"/>
      <c r="N248" s="26" t="str">
        <f t="shared" si="3"/>
        <v>Roam Hub - </v>
      </c>
      <c r="O248" s="26" t="str">
        <f t="shared" si="4"/>
        <v>FO-NBI-00#RH-KE-A-246: Roam Hub - </v>
      </c>
      <c r="R248" s="53"/>
      <c r="S248" s="78" t="b">
        <v>0</v>
      </c>
      <c r="T248" s="78" t="b">
        <v>0</v>
      </c>
      <c r="U248" s="78" t="b">
        <v>0</v>
      </c>
      <c r="V248" s="30" t="b">
        <v>0</v>
      </c>
      <c r="W248" s="30" t="b">
        <v>0</v>
      </c>
      <c r="X248" s="30"/>
      <c r="Y248" s="30"/>
      <c r="Z248" s="30"/>
      <c r="AA248" s="30"/>
      <c r="AB248" s="30"/>
      <c r="AC248" s="50"/>
      <c r="AD248" s="30"/>
      <c r="AE248" s="12">
        <f t="shared" si="5"/>
        <v>0</v>
      </c>
      <c r="AF248" s="70">
        <f t="shared" si="6"/>
        <v>0</v>
      </c>
      <c r="AG248" s="76"/>
      <c r="AH248" s="76"/>
      <c r="AI248" s="76"/>
      <c r="AJ248" s="76"/>
      <c r="AK248" s="76"/>
      <c r="AL248" s="30"/>
      <c r="AM248" s="79"/>
      <c r="AN248" s="79"/>
      <c r="AO248" s="79"/>
    </row>
    <row r="249" hidden="1">
      <c r="A249" s="12" t="s">
        <v>74</v>
      </c>
      <c r="B249" s="64"/>
      <c r="C249" s="12" t="s">
        <v>248</v>
      </c>
      <c r="D249" s="12" t="str">
        <f>vlookup(C249,'List of Chargers'!$A$2:$B$5,2,FALSE)</f>
        <v>Roam Hub</v>
      </c>
      <c r="E249" s="12" t="s">
        <v>73</v>
      </c>
      <c r="F249" s="12" t="s">
        <v>75</v>
      </c>
      <c r="G249" s="12">
        <v>247.0</v>
      </c>
      <c r="H249" s="13" t="str">
        <f t="shared" si="1"/>
        <v>#RH-KE-A-247</v>
      </c>
      <c r="I249" s="13" t="str">
        <f t="shared" si="2"/>
        <v>FO-NBI-00#RH-KE-A-247</v>
      </c>
      <c r="J249" s="25"/>
      <c r="K249" s="66"/>
      <c r="L249" s="31"/>
      <c r="M249" s="31"/>
      <c r="N249" s="26" t="str">
        <f t="shared" si="3"/>
        <v>Roam Hub - </v>
      </c>
      <c r="O249" s="26" t="str">
        <f t="shared" si="4"/>
        <v>FO-NBI-00#RH-KE-A-247: Roam Hub - </v>
      </c>
      <c r="R249" s="53"/>
      <c r="S249" s="78" t="b">
        <v>0</v>
      </c>
      <c r="T249" s="78" t="b">
        <v>0</v>
      </c>
      <c r="U249" s="78" t="b">
        <v>0</v>
      </c>
      <c r="V249" s="30" t="b">
        <v>0</v>
      </c>
      <c r="W249" s="30" t="b">
        <v>0</v>
      </c>
      <c r="X249" s="30"/>
      <c r="Y249" s="30"/>
      <c r="Z249" s="30"/>
      <c r="AA249" s="30"/>
      <c r="AB249" s="30"/>
      <c r="AC249" s="50"/>
      <c r="AD249" s="30"/>
      <c r="AE249" s="12">
        <f t="shared" si="5"/>
        <v>0</v>
      </c>
      <c r="AF249" s="70">
        <f t="shared" si="6"/>
        <v>0</v>
      </c>
      <c r="AG249" s="76"/>
      <c r="AH249" s="76"/>
      <c r="AI249" s="76"/>
      <c r="AJ249" s="76"/>
      <c r="AK249" s="76"/>
      <c r="AL249" s="30"/>
      <c r="AM249" s="79"/>
      <c r="AN249" s="79"/>
      <c r="AO249" s="79"/>
    </row>
    <row r="250" hidden="1">
      <c r="A250" s="12" t="s">
        <v>74</v>
      </c>
      <c r="B250" s="64"/>
      <c r="C250" s="12" t="s">
        <v>248</v>
      </c>
      <c r="D250" s="12" t="str">
        <f>vlookup(C250,'List of Chargers'!$A$2:$B$5,2,FALSE)</f>
        <v>Roam Hub</v>
      </c>
      <c r="E250" s="12" t="s">
        <v>73</v>
      </c>
      <c r="F250" s="12" t="s">
        <v>75</v>
      </c>
      <c r="G250" s="12">
        <v>248.0</v>
      </c>
      <c r="H250" s="13" t="str">
        <f t="shared" si="1"/>
        <v>#RH-KE-A-248</v>
      </c>
      <c r="I250" s="13" t="str">
        <f t="shared" si="2"/>
        <v>FO-NBI-00#RH-KE-A-248</v>
      </c>
      <c r="J250" s="25"/>
      <c r="K250" s="66"/>
      <c r="L250" s="31"/>
      <c r="M250" s="31"/>
      <c r="N250" s="26" t="str">
        <f t="shared" si="3"/>
        <v>Roam Hub - </v>
      </c>
      <c r="O250" s="26" t="str">
        <f t="shared" si="4"/>
        <v>FO-NBI-00#RH-KE-A-248: Roam Hub - </v>
      </c>
      <c r="R250" s="53"/>
      <c r="S250" s="78" t="b">
        <v>0</v>
      </c>
      <c r="T250" s="78" t="b">
        <v>0</v>
      </c>
      <c r="U250" s="78" t="b">
        <v>0</v>
      </c>
      <c r="V250" s="30" t="b">
        <v>0</v>
      </c>
      <c r="W250" s="30" t="b">
        <v>0</v>
      </c>
      <c r="X250" s="30"/>
      <c r="Y250" s="30"/>
      <c r="Z250" s="30"/>
      <c r="AA250" s="30"/>
      <c r="AB250" s="30"/>
      <c r="AC250" s="50"/>
      <c r="AD250" s="30"/>
      <c r="AE250" s="12">
        <f t="shared" si="5"/>
        <v>0</v>
      </c>
      <c r="AF250" s="70">
        <f t="shared" si="6"/>
        <v>0</v>
      </c>
      <c r="AG250" s="76"/>
      <c r="AH250" s="76"/>
      <c r="AI250" s="76"/>
      <c r="AJ250" s="76"/>
      <c r="AK250" s="76"/>
      <c r="AL250" s="30"/>
      <c r="AM250" s="79"/>
      <c r="AN250" s="79"/>
      <c r="AO250" s="79"/>
    </row>
    <row r="251" hidden="1">
      <c r="A251" s="12" t="s">
        <v>74</v>
      </c>
      <c r="B251" s="64"/>
      <c r="C251" s="12" t="s">
        <v>248</v>
      </c>
      <c r="D251" s="12" t="str">
        <f>vlookup(C251,'List of Chargers'!$A$2:$B$5,2,FALSE)</f>
        <v>Roam Hub</v>
      </c>
      <c r="E251" s="12" t="s">
        <v>73</v>
      </c>
      <c r="F251" s="12" t="s">
        <v>75</v>
      </c>
      <c r="G251" s="12">
        <v>249.0</v>
      </c>
      <c r="H251" s="13" t="str">
        <f t="shared" si="1"/>
        <v>#RH-KE-A-249</v>
      </c>
      <c r="I251" s="13" t="str">
        <f t="shared" si="2"/>
        <v>FO-NBI-00#RH-KE-A-249</v>
      </c>
      <c r="J251" s="25"/>
      <c r="K251" s="66"/>
      <c r="L251" s="31"/>
      <c r="M251" s="31"/>
      <c r="N251" s="26" t="str">
        <f t="shared" si="3"/>
        <v>Roam Hub - </v>
      </c>
      <c r="O251" s="26" t="str">
        <f t="shared" si="4"/>
        <v>FO-NBI-00#RH-KE-A-249: Roam Hub - </v>
      </c>
      <c r="R251" s="53"/>
      <c r="S251" s="78" t="b">
        <v>0</v>
      </c>
      <c r="T251" s="78" t="b">
        <v>0</v>
      </c>
      <c r="U251" s="78" t="b">
        <v>0</v>
      </c>
      <c r="V251" s="30" t="b">
        <v>0</v>
      </c>
      <c r="W251" s="30" t="b">
        <v>0</v>
      </c>
      <c r="X251" s="30"/>
      <c r="Y251" s="30"/>
      <c r="Z251" s="30"/>
      <c r="AA251" s="30"/>
      <c r="AB251" s="30"/>
      <c r="AC251" s="50"/>
      <c r="AD251" s="30"/>
      <c r="AE251" s="12">
        <f t="shared" si="5"/>
        <v>0</v>
      </c>
      <c r="AF251" s="70">
        <f t="shared" si="6"/>
        <v>0</v>
      </c>
      <c r="AG251" s="76"/>
      <c r="AH251" s="76"/>
      <c r="AI251" s="76"/>
      <c r="AJ251" s="76"/>
      <c r="AK251" s="76"/>
      <c r="AL251" s="30"/>
      <c r="AM251" s="79"/>
      <c r="AN251" s="79"/>
      <c r="AO251" s="79"/>
    </row>
    <row r="252" hidden="1">
      <c r="A252" s="12" t="s">
        <v>74</v>
      </c>
      <c r="B252" s="64"/>
      <c r="C252" s="12" t="s">
        <v>248</v>
      </c>
      <c r="D252" s="12" t="str">
        <f>vlookup(C252,'List of Chargers'!$A$2:$B$5,2,FALSE)</f>
        <v>Roam Hub</v>
      </c>
      <c r="E252" s="12" t="s">
        <v>73</v>
      </c>
      <c r="F252" s="12" t="s">
        <v>75</v>
      </c>
      <c r="G252" s="12">
        <v>250.0</v>
      </c>
      <c r="H252" s="13" t="str">
        <f t="shared" si="1"/>
        <v>#RH-KE-A-250</v>
      </c>
      <c r="I252" s="13" t="str">
        <f t="shared" si="2"/>
        <v>FO-NBI-00#RH-KE-A-250</v>
      </c>
      <c r="J252" s="25"/>
      <c r="K252" s="66"/>
      <c r="L252" s="31"/>
      <c r="M252" s="31"/>
      <c r="N252" s="26" t="str">
        <f t="shared" si="3"/>
        <v>Roam Hub - </v>
      </c>
      <c r="O252" s="26" t="str">
        <f t="shared" si="4"/>
        <v>FO-NBI-00#RH-KE-A-250: Roam Hub - </v>
      </c>
      <c r="R252" s="53"/>
      <c r="S252" s="78" t="b">
        <v>0</v>
      </c>
      <c r="T252" s="78" t="b">
        <v>0</v>
      </c>
      <c r="U252" s="78" t="b">
        <v>0</v>
      </c>
      <c r="V252" s="30" t="b">
        <v>0</v>
      </c>
      <c r="W252" s="30" t="b">
        <v>0</v>
      </c>
      <c r="X252" s="30"/>
      <c r="Y252" s="30"/>
      <c r="Z252" s="30"/>
      <c r="AA252" s="30"/>
      <c r="AB252" s="30"/>
      <c r="AC252" s="50"/>
      <c r="AD252" s="30"/>
      <c r="AE252" s="12">
        <f t="shared" si="5"/>
        <v>0</v>
      </c>
      <c r="AF252" s="70">
        <f t="shared" si="6"/>
        <v>0</v>
      </c>
      <c r="AG252" s="76"/>
      <c r="AH252" s="76"/>
      <c r="AI252" s="76"/>
      <c r="AJ252" s="76"/>
      <c r="AK252" s="76"/>
      <c r="AL252" s="30"/>
      <c r="AM252" s="79"/>
      <c r="AN252" s="79"/>
      <c r="AO252" s="79"/>
    </row>
    <row r="253" hidden="1">
      <c r="A253" s="12" t="s">
        <v>74</v>
      </c>
      <c r="B253" s="64"/>
      <c r="C253" s="12" t="s">
        <v>248</v>
      </c>
      <c r="D253" s="12" t="str">
        <f>vlookup(C253,'List of Chargers'!$A$2:$B$5,2,FALSE)</f>
        <v>Roam Hub</v>
      </c>
      <c r="E253" s="12" t="s">
        <v>73</v>
      </c>
      <c r="F253" s="12" t="s">
        <v>75</v>
      </c>
      <c r="G253" s="12">
        <v>251.0</v>
      </c>
      <c r="H253" s="13" t="str">
        <f t="shared" si="1"/>
        <v>#RH-KE-A-251</v>
      </c>
      <c r="I253" s="13" t="str">
        <f t="shared" si="2"/>
        <v>FO-NBI-00#RH-KE-A-251</v>
      </c>
      <c r="J253" s="25"/>
      <c r="K253" s="66"/>
      <c r="L253" s="31"/>
      <c r="M253" s="31"/>
      <c r="N253" s="26" t="str">
        <f t="shared" si="3"/>
        <v>Roam Hub - </v>
      </c>
      <c r="O253" s="26" t="str">
        <f t="shared" si="4"/>
        <v>FO-NBI-00#RH-KE-A-251: Roam Hub - </v>
      </c>
      <c r="R253" s="53"/>
      <c r="S253" s="78" t="b">
        <v>0</v>
      </c>
      <c r="T253" s="78" t="b">
        <v>0</v>
      </c>
      <c r="U253" s="78" t="b">
        <v>0</v>
      </c>
      <c r="V253" s="30" t="b">
        <v>0</v>
      </c>
      <c r="W253" s="30" t="b">
        <v>0</v>
      </c>
      <c r="X253" s="30"/>
      <c r="Y253" s="30"/>
      <c r="Z253" s="30"/>
      <c r="AA253" s="30"/>
      <c r="AB253" s="30"/>
      <c r="AC253" s="50"/>
      <c r="AD253" s="30"/>
      <c r="AE253" s="12">
        <f t="shared" si="5"/>
        <v>0</v>
      </c>
      <c r="AF253" s="70">
        <f t="shared" si="6"/>
        <v>0</v>
      </c>
      <c r="AG253" s="76"/>
      <c r="AH253" s="76"/>
      <c r="AI253" s="76"/>
      <c r="AJ253" s="76"/>
      <c r="AK253" s="76"/>
      <c r="AL253" s="30"/>
      <c r="AM253" s="79"/>
      <c r="AN253" s="79"/>
      <c r="AO253" s="79"/>
    </row>
    <row r="254" hidden="1">
      <c r="A254" s="12" t="s">
        <v>74</v>
      </c>
      <c r="B254" s="64"/>
      <c r="C254" s="12" t="s">
        <v>248</v>
      </c>
      <c r="D254" s="12" t="str">
        <f>vlookup(C254,'List of Chargers'!$A$2:$B$5,2,FALSE)</f>
        <v>Roam Hub</v>
      </c>
      <c r="E254" s="12" t="s">
        <v>73</v>
      </c>
      <c r="F254" s="12" t="s">
        <v>75</v>
      </c>
      <c r="G254" s="12">
        <v>252.0</v>
      </c>
      <c r="H254" s="13" t="str">
        <f t="shared" si="1"/>
        <v>#RH-KE-A-252</v>
      </c>
      <c r="I254" s="13" t="str">
        <f t="shared" si="2"/>
        <v>FO-NBI-00#RH-KE-A-252</v>
      </c>
      <c r="J254" s="25"/>
      <c r="K254" s="66"/>
      <c r="L254" s="31"/>
      <c r="M254" s="31"/>
      <c r="N254" s="26" t="str">
        <f t="shared" si="3"/>
        <v>Roam Hub - </v>
      </c>
      <c r="O254" s="26" t="str">
        <f t="shared" si="4"/>
        <v>FO-NBI-00#RH-KE-A-252: Roam Hub - </v>
      </c>
      <c r="R254" s="53"/>
      <c r="S254" s="78" t="b">
        <v>0</v>
      </c>
      <c r="T254" s="78" t="b">
        <v>0</v>
      </c>
      <c r="U254" s="78" t="b">
        <v>0</v>
      </c>
      <c r="V254" s="30" t="b">
        <v>0</v>
      </c>
      <c r="W254" s="30" t="b">
        <v>0</v>
      </c>
      <c r="X254" s="30"/>
      <c r="Y254" s="30"/>
      <c r="Z254" s="30"/>
      <c r="AA254" s="30"/>
      <c r="AB254" s="30"/>
      <c r="AC254" s="50"/>
      <c r="AD254" s="30"/>
      <c r="AE254" s="12">
        <f t="shared" si="5"/>
        <v>0</v>
      </c>
      <c r="AF254" s="70">
        <f t="shared" si="6"/>
        <v>0</v>
      </c>
      <c r="AG254" s="76"/>
      <c r="AH254" s="76"/>
      <c r="AI254" s="76"/>
      <c r="AJ254" s="76"/>
      <c r="AK254" s="76"/>
      <c r="AL254" s="30"/>
      <c r="AM254" s="79"/>
      <c r="AN254" s="79"/>
      <c r="AO254" s="79"/>
    </row>
    <row r="255" hidden="1">
      <c r="A255" s="12" t="s">
        <v>74</v>
      </c>
      <c r="B255" s="64"/>
      <c r="C255" s="12" t="s">
        <v>248</v>
      </c>
      <c r="D255" s="12" t="str">
        <f>vlookup(C255,'List of Chargers'!$A$2:$B$5,2,FALSE)</f>
        <v>Roam Hub</v>
      </c>
      <c r="E255" s="12" t="s">
        <v>73</v>
      </c>
      <c r="F255" s="12" t="s">
        <v>75</v>
      </c>
      <c r="G255" s="12">
        <v>253.0</v>
      </c>
      <c r="H255" s="13" t="str">
        <f t="shared" si="1"/>
        <v>#RH-KE-A-253</v>
      </c>
      <c r="I255" s="13" t="str">
        <f t="shared" si="2"/>
        <v>FO-NBI-00#RH-KE-A-253</v>
      </c>
      <c r="J255" s="25"/>
      <c r="K255" s="66"/>
      <c r="L255" s="31"/>
      <c r="M255" s="31"/>
      <c r="N255" s="26" t="str">
        <f t="shared" si="3"/>
        <v>Roam Hub - </v>
      </c>
      <c r="O255" s="26" t="str">
        <f t="shared" si="4"/>
        <v>FO-NBI-00#RH-KE-A-253: Roam Hub - </v>
      </c>
      <c r="R255" s="53"/>
      <c r="S255" s="78" t="b">
        <v>0</v>
      </c>
      <c r="T255" s="78" t="b">
        <v>0</v>
      </c>
      <c r="U255" s="78" t="b">
        <v>0</v>
      </c>
      <c r="V255" s="30" t="b">
        <v>0</v>
      </c>
      <c r="W255" s="30" t="b">
        <v>0</v>
      </c>
      <c r="X255" s="30"/>
      <c r="Y255" s="30"/>
      <c r="Z255" s="30"/>
      <c r="AA255" s="30"/>
      <c r="AB255" s="30"/>
      <c r="AC255" s="50"/>
      <c r="AD255" s="30"/>
      <c r="AE255" s="12">
        <f t="shared" si="5"/>
        <v>0</v>
      </c>
      <c r="AF255" s="70">
        <f t="shared" si="6"/>
        <v>0</v>
      </c>
      <c r="AG255" s="76"/>
      <c r="AH255" s="76"/>
      <c r="AI255" s="76"/>
      <c r="AJ255" s="76"/>
      <c r="AK255" s="76"/>
      <c r="AL255" s="30"/>
      <c r="AM255" s="79"/>
      <c r="AN255" s="79"/>
      <c r="AO255" s="79"/>
    </row>
    <row r="256" hidden="1">
      <c r="A256" s="12" t="s">
        <v>74</v>
      </c>
      <c r="B256" s="64"/>
      <c r="C256" s="12" t="s">
        <v>248</v>
      </c>
      <c r="D256" s="12" t="str">
        <f>vlookup(C256,'List of Chargers'!$A$2:$B$5,2,FALSE)</f>
        <v>Roam Hub</v>
      </c>
      <c r="E256" s="12" t="s">
        <v>73</v>
      </c>
      <c r="F256" s="12" t="s">
        <v>75</v>
      </c>
      <c r="G256" s="12">
        <v>254.0</v>
      </c>
      <c r="H256" s="13" t="str">
        <f t="shared" si="1"/>
        <v>#RH-KE-A-254</v>
      </c>
      <c r="I256" s="13" t="str">
        <f t="shared" si="2"/>
        <v>FO-NBI-00#RH-KE-A-254</v>
      </c>
      <c r="J256" s="25"/>
      <c r="K256" s="66"/>
      <c r="L256" s="31"/>
      <c r="M256" s="31"/>
      <c r="N256" s="26" t="str">
        <f t="shared" si="3"/>
        <v>Roam Hub - </v>
      </c>
      <c r="O256" s="26" t="str">
        <f t="shared" si="4"/>
        <v>FO-NBI-00#RH-KE-A-254: Roam Hub - </v>
      </c>
      <c r="R256" s="53"/>
      <c r="S256" s="78" t="b">
        <v>0</v>
      </c>
      <c r="T256" s="78" t="b">
        <v>0</v>
      </c>
      <c r="U256" s="78" t="b">
        <v>0</v>
      </c>
      <c r="V256" s="30" t="b">
        <v>0</v>
      </c>
      <c r="W256" s="30" t="b">
        <v>0</v>
      </c>
      <c r="X256" s="30"/>
      <c r="Y256" s="30"/>
      <c r="Z256" s="30"/>
      <c r="AA256" s="30"/>
      <c r="AB256" s="30"/>
      <c r="AC256" s="50"/>
      <c r="AD256" s="30"/>
      <c r="AE256" s="12">
        <f t="shared" si="5"/>
        <v>0</v>
      </c>
      <c r="AF256" s="70">
        <f t="shared" si="6"/>
        <v>0</v>
      </c>
      <c r="AG256" s="76"/>
      <c r="AH256" s="76"/>
      <c r="AI256" s="76"/>
      <c r="AJ256" s="76"/>
      <c r="AK256" s="76"/>
      <c r="AL256" s="30"/>
      <c r="AM256" s="79"/>
      <c r="AN256" s="79"/>
      <c r="AO256" s="79"/>
    </row>
    <row r="257" hidden="1">
      <c r="A257" s="12" t="s">
        <v>74</v>
      </c>
      <c r="B257" s="64"/>
      <c r="C257" s="12" t="s">
        <v>248</v>
      </c>
      <c r="D257" s="12" t="str">
        <f>vlookup(C257,'List of Chargers'!$A$2:$B$5,2,FALSE)</f>
        <v>Roam Hub</v>
      </c>
      <c r="E257" s="12" t="s">
        <v>73</v>
      </c>
      <c r="F257" s="12" t="s">
        <v>75</v>
      </c>
      <c r="G257" s="12">
        <v>255.0</v>
      </c>
      <c r="H257" s="13" t="str">
        <f t="shared" si="1"/>
        <v>#RH-KE-A-255</v>
      </c>
      <c r="I257" s="13" t="str">
        <f t="shared" si="2"/>
        <v>FO-NBI-00#RH-KE-A-255</v>
      </c>
      <c r="J257" s="25"/>
      <c r="K257" s="66"/>
      <c r="L257" s="31"/>
      <c r="M257" s="31"/>
      <c r="N257" s="26" t="str">
        <f t="shared" si="3"/>
        <v>Roam Hub - </v>
      </c>
      <c r="O257" s="26" t="str">
        <f t="shared" si="4"/>
        <v>FO-NBI-00#RH-KE-A-255: Roam Hub - </v>
      </c>
      <c r="R257" s="53"/>
      <c r="S257" s="78" t="b">
        <v>0</v>
      </c>
      <c r="T257" s="78" t="b">
        <v>0</v>
      </c>
      <c r="U257" s="78" t="b">
        <v>0</v>
      </c>
      <c r="V257" s="30" t="b">
        <v>0</v>
      </c>
      <c r="W257" s="30" t="b">
        <v>0</v>
      </c>
      <c r="X257" s="30"/>
      <c r="Y257" s="30"/>
      <c r="Z257" s="30"/>
      <c r="AA257" s="30"/>
      <c r="AB257" s="30"/>
      <c r="AC257" s="50"/>
      <c r="AD257" s="30"/>
      <c r="AE257" s="12">
        <f t="shared" si="5"/>
        <v>0</v>
      </c>
      <c r="AF257" s="70">
        <f t="shared" si="6"/>
        <v>0</v>
      </c>
      <c r="AG257" s="76"/>
      <c r="AH257" s="76"/>
      <c r="AI257" s="76"/>
      <c r="AJ257" s="76"/>
      <c r="AK257" s="76"/>
      <c r="AL257" s="30"/>
      <c r="AM257" s="79"/>
      <c r="AN257" s="79"/>
      <c r="AO257" s="79"/>
    </row>
    <row r="258" hidden="1">
      <c r="A258" s="12" t="s">
        <v>74</v>
      </c>
      <c r="B258" s="64"/>
      <c r="C258" s="12" t="s">
        <v>248</v>
      </c>
      <c r="D258" s="12" t="str">
        <f>vlookup(C258,'List of Chargers'!$A$2:$B$5,2,FALSE)</f>
        <v>Roam Hub</v>
      </c>
      <c r="E258" s="12" t="s">
        <v>73</v>
      </c>
      <c r="F258" s="12" t="s">
        <v>75</v>
      </c>
      <c r="G258" s="12">
        <v>256.0</v>
      </c>
      <c r="H258" s="13" t="str">
        <f t="shared" si="1"/>
        <v>#RH-KE-A-256</v>
      </c>
      <c r="I258" s="13" t="str">
        <f t="shared" si="2"/>
        <v>FO-NBI-00#RH-KE-A-256</v>
      </c>
      <c r="J258" s="25"/>
      <c r="K258" s="66"/>
      <c r="L258" s="31"/>
      <c r="M258" s="31"/>
      <c r="N258" s="26" t="str">
        <f t="shared" si="3"/>
        <v>Roam Hub - </v>
      </c>
      <c r="O258" s="26" t="str">
        <f t="shared" si="4"/>
        <v>FO-NBI-00#RH-KE-A-256: Roam Hub - </v>
      </c>
      <c r="R258" s="53"/>
      <c r="S258" s="78" t="b">
        <v>0</v>
      </c>
      <c r="T258" s="78" t="b">
        <v>0</v>
      </c>
      <c r="U258" s="78" t="b">
        <v>0</v>
      </c>
      <c r="V258" s="30" t="b">
        <v>0</v>
      </c>
      <c r="W258" s="30" t="b">
        <v>0</v>
      </c>
      <c r="X258" s="30"/>
      <c r="Y258" s="30"/>
      <c r="Z258" s="30"/>
      <c r="AA258" s="30"/>
      <c r="AB258" s="30"/>
      <c r="AC258" s="50"/>
      <c r="AD258" s="30"/>
      <c r="AE258" s="12">
        <f t="shared" si="5"/>
        <v>0</v>
      </c>
      <c r="AF258" s="70">
        <f t="shared" si="6"/>
        <v>0</v>
      </c>
      <c r="AG258" s="76"/>
      <c r="AH258" s="76"/>
      <c r="AI258" s="76"/>
      <c r="AJ258" s="76"/>
      <c r="AK258" s="76"/>
      <c r="AL258" s="30"/>
      <c r="AM258" s="79"/>
      <c r="AN258" s="79"/>
      <c r="AO258" s="79"/>
    </row>
    <row r="259" hidden="1">
      <c r="A259" s="12" t="s">
        <v>74</v>
      </c>
      <c r="B259" s="64"/>
      <c r="C259" s="12" t="s">
        <v>248</v>
      </c>
      <c r="D259" s="12" t="str">
        <f>vlookup(C259,'List of Chargers'!$A$2:$B$5,2,FALSE)</f>
        <v>Roam Hub</v>
      </c>
      <c r="E259" s="12" t="s">
        <v>73</v>
      </c>
      <c r="F259" s="12" t="s">
        <v>75</v>
      </c>
      <c r="G259" s="12">
        <v>257.0</v>
      </c>
      <c r="H259" s="13" t="str">
        <f t="shared" si="1"/>
        <v>#RH-KE-A-257</v>
      </c>
      <c r="I259" s="13" t="str">
        <f t="shared" si="2"/>
        <v>FO-NBI-00#RH-KE-A-257</v>
      </c>
      <c r="J259" s="25"/>
      <c r="K259" s="66"/>
      <c r="L259" s="31"/>
      <c r="M259" s="31"/>
      <c r="N259" s="26" t="str">
        <f t="shared" si="3"/>
        <v>Roam Hub - </v>
      </c>
      <c r="O259" s="26" t="str">
        <f t="shared" si="4"/>
        <v>FO-NBI-00#RH-KE-A-257: Roam Hub - </v>
      </c>
      <c r="R259" s="53"/>
      <c r="S259" s="78" t="b">
        <v>0</v>
      </c>
      <c r="T259" s="78" t="b">
        <v>0</v>
      </c>
      <c r="U259" s="78" t="b">
        <v>0</v>
      </c>
      <c r="V259" s="30" t="b">
        <v>0</v>
      </c>
      <c r="W259" s="30" t="b">
        <v>0</v>
      </c>
      <c r="X259" s="30"/>
      <c r="Y259" s="30"/>
      <c r="Z259" s="30"/>
      <c r="AA259" s="30"/>
      <c r="AB259" s="30"/>
      <c r="AC259" s="50"/>
      <c r="AD259" s="30"/>
      <c r="AE259" s="12">
        <f t="shared" si="5"/>
        <v>0</v>
      </c>
      <c r="AF259" s="70">
        <f t="shared" si="6"/>
        <v>0</v>
      </c>
      <c r="AG259" s="76"/>
      <c r="AH259" s="76"/>
      <c r="AI259" s="76"/>
      <c r="AJ259" s="76"/>
      <c r="AK259" s="76"/>
      <c r="AL259" s="30"/>
      <c r="AM259" s="79"/>
      <c r="AN259" s="79"/>
      <c r="AO259" s="79"/>
    </row>
    <row r="260" hidden="1">
      <c r="A260" s="12" t="s">
        <v>74</v>
      </c>
      <c r="B260" s="64"/>
      <c r="C260" s="12" t="s">
        <v>248</v>
      </c>
      <c r="D260" s="12" t="str">
        <f>vlookup(C260,'List of Chargers'!$A$2:$B$5,2,FALSE)</f>
        <v>Roam Hub</v>
      </c>
      <c r="E260" s="12" t="s">
        <v>73</v>
      </c>
      <c r="F260" s="12" t="s">
        <v>75</v>
      </c>
      <c r="G260" s="12">
        <v>258.0</v>
      </c>
      <c r="H260" s="13" t="str">
        <f t="shared" si="1"/>
        <v>#RH-KE-A-258</v>
      </c>
      <c r="I260" s="13" t="str">
        <f t="shared" si="2"/>
        <v>FO-NBI-00#RH-KE-A-258</v>
      </c>
      <c r="J260" s="25"/>
      <c r="K260" s="66"/>
      <c r="L260" s="31"/>
      <c r="M260" s="31"/>
      <c r="N260" s="26" t="str">
        <f t="shared" si="3"/>
        <v>Roam Hub - </v>
      </c>
      <c r="O260" s="26" t="str">
        <f t="shared" si="4"/>
        <v>FO-NBI-00#RH-KE-A-258: Roam Hub - </v>
      </c>
      <c r="R260" s="53"/>
      <c r="S260" s="78" t="b">
        <v>0</v>
      </c>
      <c r="T260" s="78" t="b">
        <v>0</v>
      </c>
      <c r="U260" s="78" t="b">
        <v>0</v>
      </c>
      <c r="V260" s="30" t="b">
        <v>0</v>
      </c>
      <c r="W260" s="30" t="b">
        <v>0</v>
      </c>
      <c r="X260" s="30"/>
      <c r="Y260" s="30"/>
      <c r="Z260" s="30"/>
      <c r="AA260" s="30"/>
      <c r="AB260" s="30"/>
      <c r="AC260" s="50"/>
      <c r="AD260" s="30"/>
      <c r="AE260" s="12">
        <f t="shared" si="5"/>
        <v>0</v>
      </c>
      <c r="AF260" s="70">
        <f t="shared" si="6"/>
        <v>0</v>
      </c>
      <c r="AG260" s="76"/>
      <c r="AH260" s="76"/>
      <c r="AI260" s="76"/>
      <c r="AJ260" s="76"/>
      <c r="AK260" s="76"/>
      <c r="AL260" s="30"/>
      <c r="AM260" s="79"/>
      <c r="AN260" s="79"/>
      <c r="AO260" s="79"/>
    </row>
    <row r="261" hidden="1">
      <c r="A261" s="12" t="s">
        <v>74</v>
      </c>
      <c r="B261" s="64"/>
      <c r="C261" s="12" t="s">
        <v>248</v>
      </c>
      <c r="D261" s="12" t="str">
        <f>vlookup(C261,'List of Chargers'!$A$2:$B$5,2,FALSE)</f>
        <v>Roam Hub</v>
      </c>
      <c r="E261" s="12" t="s">
        <v>73</v>
      </c>
      <c r="F261" s="12" t="s">
        <v>75</v>
      </c>
      <c r="G261" s="12">
        <v>259.0</v>
      </c>
      <c r="H261" s="13" t="str">
        <f t="shared" si="1"/>
        <v>#RH-KE-A-259</v>
      </c>
      <c r="I261" s="13" t="str">
        <f t="shared" si="2"/>
        <v>FO-NBI-00#RH-KE-A-259</v>
      </c>
      <c r="J261" s="25"/>
      <c r="K261" s="66"/>
      <c r="L261" s="31"/>
      <c r="M261" s="31"/>
      <c r="N261" s="26" t="str">
        <f t="shared" si="3"/>
        <v>Roam Hub - </v>
      </c>
      <c r="O261" s="26" t="str">
        <f t="shared" si="4"/>
        <v>FO-NBI-00#RH-KE-A-259: Roam Hub - </v>
      </c>
      <c r="R261" s="53"/>
      <c r="S261" s="78" t="b">
        <v>0</v>
      </c>
      <c r="T261" s="78" t="b">
        <v>0</v>
      </c>
      <c r="U261" s="78" t="b">
        <v>0</v>
      </c>
      <c r="V261" s="30" t="b">
        <v>0</v>
      </c>
      <c r="W261" s="30" t="b">
        <v>0</v>
      </c>
      <c r="X261" s="30"/>
      <c r="Y261" s="30"/>
      <c r="Z261" s="30"/>
      <c r="AA261" s="30"/>
      <c r="AB261" s="30"/>
      <c r="AC261" s="50"/>
      <c r="AD261" s="30"/>
      <c r="AE261" s="12">
        <f t="shared" si="5"/>
        <v>0</v>
      </c>
      <c r="AF261" s="70">
        <f t="shared" si="6"/>
        <v>0</v>
      </c>
      <c r="AG261" s="76"/>
      <c r="AH261" s="76"/>
      <c r="AI261" s="76"/>
      <c r="AJ261" s="76"/>
      <c r="AK261" s="76"/>
      <c r="AL261" s="30"/>
      <c r="AM261" s="79"/>
      <c r="AN261" s="79"/>
      <c r="AO261" s="79"/>
    </row>
    <row r="262" hidden="1">
      <c r="A262" s="12" t="s">
        <v>74</v>
      </c>
      <c r="B262" s="64"/>
      <c r="C262" s="12" t="s">
        <v>248</v>
      </c>
      <c r="D262" s="12" t="str">
        <f>vlookup(C262,'List of Chargers'!$A$2:$B$5,2,FALSE)</f>
        <v>Roam Hub</v>
      </c>
      <c r="E262" s="12" t="s">
        <v>73</v>
      </c>
      <c r="F262" s="12" t="s">
        <v>75</v>
      </c>
      <c r="G262" s="12">
        <v>260.0</v>
      </c>
      <c r="H262" s="13" t="str">
        <f t="shared" si="1"/>
        <v>#RH-KE-A-260</v>
      </c>
      <c r="I262" s="13" t="str">
        <f t="shared" si="2"/>
        <v>FO-NBI-00#RH-KE-A-260</v>
      </c>
      <c r="J262" s="25"/>
      <c r="K262" s="66"/>
      <c r="L262" s="31"/>
      <c r="M262" s="31"/>
      <c r="N262" s="26" t="str">
        <f t="shared" si="3"/>
        <v>Roam Hub - </v>
      </c>
      <c r="O262" s="26" t="str">
        <f t="shared" si="4"/>
        <v>FO-NBI-00#RH-KE-A-260: Roam Hub - </v>
      </c>
      <c r="R262" s="53"/>
      <c r="S262" s="78" t="b">
        <v>0</v>
      </c>
      <c r="T262" s="78" t="b">
        <v>0</v>
      </c>
      <c r="U262" s="78" t="b">
        <v>0</v>
      </c>
      <c r="V262" s="30" t="b">
        <v>0</v>
      </c>
      <c r="W262" s="30" t="b">
        <v>0</v>
      </c>
      <c r="X262" s="30"/>
      <c r="Y262" s="30"/>
      <c r="Z262" s="30"/>
      <c r="AA262" s="30"/>
      <c r="AB262" s="30"/>
      <c r="AC262" s="50"/>
      <c r="AD262" s="30"/>
      <c r="AE262" s="12">
        <f t="shared" si="5"/>
        <v>0</v>
      </c>
      <c r="AF262" s="70">
        <f t="shared" si="6"/>
        <v>0</v>
      </c>
      <c r="AG262" s="76"/>
      <c r="AH262" s="76"/>
      <c r="AI262" s="76"/>
      <c r="AJ262" s="76"/>
      <c r="AK262" s="76"/>
      <c r="AL262" s="30"/>
      <c r="AM262" s="79"/>
      <c r="AN262" s="79"/>
      <c r="AO262" s="79"/>
    </row>
    <row r="263" hidden="1">
      <c r="A263" s="12" t="s">
        <v>74</v>
      </c>
      <c r="B263" s="64"/>
      <c r="C263" s="12" t="s">
        <v>248</v>
      </c>
      <c r="D263" s="12" t="str">
        <f>vlookup(C263,'List of Chargers'!$A$2:$B$5,2,FALSE)</f>
        <v>Roam Hub</v>
      </c>
      <c r="E263" s="12" t="s">
        <v>73</v>
      </c>
      <c r="F263" s="12" t="s">
        <v>75</v>
      </c>
      <c r="G263" s="12">
        <v>261.0</v>
      </c>
      <c r="H263" s="13" t="str">
        <f t="shared" si="1"/>
        <v>#RH-KE-A-261</v>
      </c>
      <c r="I263" s="13" t="str">
        <f t="shared" si="2"/>
        <v>FO-NBI-00#RH-KE-A-261</v>
      </c>
      <c r="J263" s="25"/>
      <c r="K263" s="66"/>
      <c r="L263" s="31"/>
      <c r="M263" s="31"/>
      <c r="N263" s="26" t="str">
        <f t="shared" si="3"/>
        <v>Roam Hub - </v>
      </c>
      <c r="O263" s="26" t="str">
        <f t="shared" si="4"/>
        <v>FO-NBI-00#RH-KE-A-261: Roam Hub - </v>
      </c>
      <c r="R263" s="53"/>
      <c r="S263" s="78" t="b">
        <v>0</v>
      </c>
      <c r="T263" s="78" t="b">
        <v>0</v>
      </c>
      <c r="U263" s="78" t="b">
        <v>0</v>
      </c>
      <c r="V263" s="30" t="b">
        <v>0</v>
      </c>
      <c r="W263" s="30" t="b">
        <v>0</v>
      </c>
      <c r="X263" s="30"/>
      <c r="Y263" s="30"/>
      <c r="Z263" s="30"/>
      <c r="AA263" s="30"/>
      <c r="AB263" s="30"/>
      <c r="AC263" s="50"/>
      <c r="AD263" s="30"/>
      <c r="AE263" s="12">
        <f t="shared" si="5"/>
        <v>0</v>
      </c>
      <c r="AF263" s="70">
        <f t="shared" si="6"/>
        <v>0</v>
      </c>
      <c r="AG263" s="76"/>
      <c r="AH263" s="76"/>
      <c r="AI263" s="76"/>
      <c r="AJ263" s="76"/>
      <c r="AK263" s="76"/>
      <c r="AL263" s="30"/>
      <c r="AM263" s="79"/>
      <c r="AN263" s="79"/>
      <c r="AO263" s="79"/>
    </row>
    <row r="264" hidden="1">
      <c r="A264" s="12" t="s">
        <v>74</v>
      </c>
      <c r="B264" s="64"/>
      <c r="C264" s="12" t="s">
        <v>248</v>
      </c>
      <c r="D264" s="12" t="str">
        <f>vlookup(C264,'List of Chargers'!$A$2:$B$5,2,FALSE)</f>
        <v>Roam Hub</v>
      </c>
      <c r="E264" s="12" t="s">
        <v>73</v>
      </c>
      <c r="F264" s="12" t="s">
        <v>75</v>
      </c>
      <c r="G264" s="12">
        <v>262.0</v>
      </c>
      <c r="H264" s="13" t="str">
        <f t="shared" si="1"/>
        <v>#RH-KE-A-262</v>
      </c>
      <c r="I264" s="13" t="str">
        <f t="shared" si="2"/>
        <v>FO-NBI-00#RH-KE-A-262</v>
      </c>
      <c r="J264" s="25"/>
      <c r="K264" s="66"/>
      <c r="L264" s="31"/>
      <c r="M264" s="31"/>
      <c r="N264" s="26" t="str">
        <f t="shared" si="3"/>
        <v>Roam Hub - </v>
      </c>
      <c r="O264" s="26" t="str">
        <f t="shared" si="4"/>
        <v>FO-NBI-00#RH-KE-A-262: Roam Hub - </v>
      </c>
      <c r="R264" s="53"/>
      <c r="S264" s="78" t="b">
        <v>0</v>
      </c>
      <c r="T264" s="78" t="b">
        <v>0</v>
      </c>
      <c r="U264" s="78" t="b">
        <v>0</v>
      </c>
      <c r="V264" s="30" t="b">
        <v>0</v>
      </c>
      <c r="W264" s="30" t="b">
        <v>0</v>
      </c>
      <c r="X264" s="30"/>
      <c r="Y264" s="30"/>
      <c r="Z264" s="30"/>
      <c r="AA264" s="30"/>
      <c r="AB264" s="30"/>
      <c r="AC264" s="50"/>
      <c r="AD264" s="30"/>
      <c r="AE264" s="12">
        <f t="shared" si="5"/>
        <v>0</v>
      </c>
      <c r="AF264" s="70">
        <f t="shared" si="6"/>
        <v>0</v>
      </c>
      <c r="AG264" s="76"/>
      <c r="AH264" s="76"/>
      <c r="AI264" s="76"/>
      <c r="AJ264" s="76"/>
      <c r="AK264" s="76"/>
      <c r="AL264" s="30"/>
      <c r="AM264" s="79"/>
      <c r="AN264" s="79"/>
      <c r="AO264" s="79"/>
    </row>
    <row r="265" hidden="1">
      <c r="A265" s="12" t="s">
        <v>74</v>
      </c>
      <c r="B265" s="64"/>
      <c r="C265" s="12" t="s">
        <v>248</v>
      </c>
      <c r="D265" s="12" t="str">
        <f>vlookup(C265,'List of Chargers'!$A$2:$B$5,2,FALSE)</f>
        <v>Roam Hub</v>
      </c>
      <c r="E265" s="12" t="s">
        <v>73</v>
      </c>
      <c r="F265" s="12" t="s">
        <v>75</v>
      </c>
      <c r="G265" s="12">
        <v>263.0</v>
      </c>
      <c r="H265" s="13" t="str">
        <f t="shared" si="1"/>
        <v>#RH-KE-A-263</v>
      </c>
      <c r="I265" s="13" t="str">
        <f t="shared" si="2"/>
        <v>FO-NBI-00#RH-KE-A-263</v>
      </c>
      <c r="J265" s="25"/>
      <c r="K265" s="66"/>
      <c r="L265" s="31"/>
      <c r="M265" s="31"/>
      <c r="N265" s="26" t="str">
        <f t="shared" si="3"/>
        <v>Roam Hub - </v>
      </c>
      <c r="O265" s="26" t="str">
        <f t="shared" si="4"/>
        <v>FO-NBI-00#RH-KE-A-263: Roam Hub - </v>
      </c>
      <c r="R265" s="53"/>
      <c r="S265" s="78" t="b">
        <v>0</v>
      </c>
      <c r="T265" s="78" t="b">
        <v>0</v>
      </c>
      <c r="U265" s="78" t="b">
        <v>0</v>
      </c>
      <c r="V265" s="30" t="b">
        <v>0</v>
      </c>
      <c r="W265" s="30" t="b">
        <v>0</v>
      </c>
      <c r="X265" s="30"/>
      <c r="Y265" s="30"/>
      <c r="Z265" s="30"/>
      <c r="AA265" s="30"/>
      <c r="AB265" s="30"/>
      <c r="AC265" s="50"/>
      <c r="AD265" s="30"/>
      <c r="AE265" s="12">
        <f t="shared" si="5"/>
        <v>0</v>
      </c>
      <c r="AF265" s="70">
        <f t="shared" si="6"/>
        <v>0</v>
      </c>
      <c r="AG265" s="76"/>
      <c r="AH265" s="76"/>
      <c r="AI265" s="76"/>
      <c r="AJ265" s="76"/>
      <c r="AK265" s="76"/>
      <c r="AL265" s="30"/>
      <c r="AM265" s="79"/>
      <c r="AN265" s="79"/>
      <c r="AO265" s="79"/>
    </row>
    <row r="266" hidden="1">
      <c r="A266" s="12" t="s">
        <v>74</v>
      </c>
      <c r="B266" s="64"/>
      <c r="C266" s="12" t="s">
        <v>248</v>
      </c>
      <c r="D266" s="12" t="str">
        <f>vlookup(C266,'List of Chargers'!$A$2:$B$5,2,FALSE)</f>
        <v>Roam Hub</v>
      </c>
      <c r="E266" s="12" t="s">
        <v>73</v>
      </c>
      <c r="F266" s="12" t="s">
        <v>75</v>
      </c>
      <c r="G266" s="12">
        <v>264.0</v>
      </c>
      <c r="H266" s="13" t="str">
        <f t="shared" si="1"/>
        <v>#RH-KE-A-264</v>
      </c>
      <c r="I266" s="13" t="str">
        <f t="shared" si="2"/>
        <v>FO-NBI-00#RH-KE-A-264</v>
      </c>
      <c r="J266" s="25"/>
      <c r="K266" s="66"/>
      <c r="L266" s="31"/>
      <c r="M266" s="31"/>
      <c r="N266" s="26" t="str">
        <f t="shared" si="3"/>
        <v>Roam Hub - </v>
      </c>
      <c r="O266" s="26" t="str">
        <f t="shared" si="4"/>
        <v>FO-NBI-00#RH-KE-A-264: Roam Hub - </v>
      </c>
      <c r="R266" s="53"/>
      <c r="S266" s="78" t="b">
        <v>0</v>
      </c>
      <c r="T266" s="78" t="b">
        <v>0</v>
      </c>
      <c r="U266" s="78" t="b">
        <v>0</v>
      </c>
      <c r="V266" s="30" t="b">
        <v>0</v>
      </c>
      <c r="W266" s="30" t="b">
        <v>0</v>
      </c>
      <c r="X266" s="30"/>
      <c r="Y266" s="30"/>
      <c r="Z266" s="30"/>
      <c r="AA266" s="30"/>
      <c r="AB266" s="30"/>
      <c r="AC266" s="50"/>
      <c r="AD266" s="30"/>
      <c r="AE266" s="12">
        <f t="shared" si="5"/>
        <v>0</v>
      </c>
      <c r="AF266" s="70">
        <f t="shared" si="6"/>
        <v>0</v>
      </c>
      <c r="AG266" s="76"/>
      <c r="AH266" s="76"/>
      <c r="AI266" s="76"/>
      <c r="AJ266" s="76"/>
      <c r="AK266" s="76"/>
      <c r="AL266" s="30"/>
      <c r="AM266" s="79"/>
      <c r="AN266" s="79"/>
      <c r="AO266" s="79"/>
    </row>
    <row r="267" hidden="1">
      <c r="A267" s="12" t="s">
        <v>74</v>
      </c>
      <c r="B267" s="64"/>
      <c r="C267" s="12" t="s">
        <v>248</v>
      </c>
      <c r="D267" s="12" t="str">
        <f>vlookup(C267,'List of Chargers'!$A$2:$B$5,2,FALSE)</f>
        <v>Roam Hub</v>
      </c>
      <c r="E267" s="12" t="s">
        <v>73</v>
      </c>
      <c r="F267" s="12" t="s">
        <v>75</v>
      </c>
      <c r="G267" s="12">
        <v>265.0</v>
      </c>
      <c r="H267" s="13" t="str">
        <f t="shared" si="1"/>
        <v>#RH-KE-A-265</v>
      </c>
      <c r="I267" s="13" t="str">
        <f t="shared" si="2"/>
        <v>FO-NBI-00#RH-KE-A-265</v>
      </c>
      <c r="J267" s="25"/>
      <c r="K267" s="66"/>
      <c r="L267" s="31"/>
      <c r="M267" s="31"/>
      <c r="N267" s="26" t="str">
        <f t="shared" si="3"/>
        <v>Roam Hub - </v>
      </c>
      <c r="O267" s="26" t="str">
        <f t="shared" si="4"/>
        <v>FO-NBI-00#RH-KE-A-265: Roam Hub - </v>
      </c>
      <c r="R267" s="53"/>
      <c r="S267" s="78" t="b">
        <v>0</v>
      </c>
      <c r="T267" s="78" t="b">
        <v>0</v>
      </c>
      <c r="U267" s="78" t="b">
        <v>0</v>
      </c>
      <c r="V267" s="30" t="b">
        <v>0</v>
      </c>
      <c r="W267" s="30" t="b">
        <v>0</v>
      </c>
      <c r="X267" s="30"/>
      <c r="Y267" s="30"/>
      <c r="Z267" s="30"/>
      <c r="AA267" s="30"/>
      <c r="AB267" s="30"/>
      <c r="AC267" s="50"/>
      <c r="AD267" s="30"/>
      <c r="AE267" s="12">
        <f t="shared" si="5"/>
        <v>0</v>
      </c>
      <c r="AF267" s="70">
        <f t="shared" si="6"/>
        <v>0</v>
      </c>
      <c r="AG267" s="76"/>
      <c r="AH267" s="76"/>
      <c r="AI267" s="76"/>
      <c r="AJ267" s="76"/>
      <c r="AK267" s="76"/>
      <c r="AL267" s="30"/>
      <c r="AM267" s="79"/>
      <c r="AN267" s="79"/>
      <c r="AO267" s="79"/>
    </row>
    <row r="268" hidden="1">
      <c r="A268" s="12" t="s">
        <v>74</v>
      </c>
      <c r="B268" s="64"/>
      <c r="C268" s="12" t="s">
        <v>248</v>
      </c>
      <c r="D268" s="12" t="str">
        <f>vlookup(C268,'List of Chargers'!$A$2:$B$5,2,FALSE)</f>
        <v>Roam Hub</v>
      </c>
      <c r="E268" s="12" t="s">
        <v>73</v>
      </c>
      <c r="F268" s="12" t="s">
        <v>75</v>
      </c>
      <c r="G268" s="12">
        <v>266.0</v>
      </c>
      <c r="H268" s="13" t="str">
        <f t="shared" si="1"/>
        <v>#RH-KE-A-266</v>
      </c>
      <c r="I268" s="13" t="str">
        <f t="shared" si="2"/>
        <v>FO-NBI-00#RH-KE-A-266</v>
      </c>
      <c r="J268" s="25"/>
      <c r="K268" s="66"/>
      <c r="L268" s="31"/>
      <c r="M268" s="31"/>
      <c r="N268" s="26" t="str">
        <f t="shared" si="3"/>
        <v>Roam Hub - </v>
      </c>
      <c r="O268" s="26" t="str">
        <f t="shared" si="4"/>
        <v>FO-NBI-00#RH-KE-A-266: Roam Hub - </v>
      </c>
      <c r="R268" s="53"/>
      <c r="S268" s="78" t="b">
        <v>0</v>
      </c>
      <c r="T268" s="78" t="b">
        <v>0</v>
      </c>
      <c r="U268" s="78" t="b">
        <v>0</v>
      </c>
      <c r="V268" s="30" t="b">
        <v>0</v>
      </c>
      <c r="W268" s="30" t="b">
        <v>0</v>
      </c>
      <c r="X268" s="30"/>
      <c r="Y268" s="30"/>
      <c r="Z268" s="30"/>
      <c r="AA268" s="30"/>
      <c r="AB268" s="30"/>
      <c r="AC268" s="50"/>
      <c r="AD268" s="30"/>
      <c r="AE268" s="12">
        <f t="shared" si="5"/>
        <v>0</v>
      </c>
      <c r="AF268" s="70">
        <f t="shared" si="6"/>
        <v>0</v>
      </c>
      <c r="AG268" s="76"/>
      <c r="AH268" s="76"/>
      <c r="AI268" s="76"/>
      <c r="AJ268" s="76"/>
      <c r="AK268" s="76"/>
      <c r="AL268" s="30"/>
      <c r="AM268" s="79"/>
      <c r="AN268" s="79"/>
      <c r="AO268" s="79"/>
    </row>
    <row r="269" hidden="1">
      <c r="A269" s="12" t="s">
        <v>74</v>
      </c>
      <c r="B269" s="64"/>
      <c r="C269" s="12" t="s">
        <v>248</v>
      </c>
      <c r="D269" s="12" t="str">
        <f>vlookup(C269,'List of Chargers'!$A$2:$B$5,2,FALSE)</f>
        <v>Roam Hub</v>
      </c>
      <c r="E269" s="12" t="s">
        <v>73</v>
      </c>
      <c r="F269" s="12" t="s">
        <v>75</v>
      </c>
      <c r="G269" s="12">
        <v>267.0</v>
      </c>
      <c r="H269" s="13" t="str">
        <f t="shared" si="1"/>
        <v>#RH-KE-A-267</v>
      </c>
      <c r="I269" s="13" t="str">
        <f t="shared" si="2"/>
        <v>FO-NBI-00#RH-KE-A-267</v>
      </c>
      <c r="J269" s="25"/>
      <c r="K269" s="66"/>
      <c r="L269" s="31"/>
      <c r="M269" s="31"/>
      <c r="N269" s="26" t="str">
        <f t="shared" si="3"/>
        <v>Roam Hub - </v>
      </c>
      <c r="O269" s="26" t="str">
        <f t="shared" si="4"/>
        <v>FO-NBI-00#RH-KE-A-267: Roam Hub - </v>
      </c>
      <c r="R269" s="53"/>
      <c r="S269" s="78" t="b">
        <v>0</v>
      </c>
      <c r="T269" s="78" t="b">
        <v>0</v>
      </c>
      <c r="U269" s="78" t="b">
        <v>0</v>
      </c>
      <c r="V269" s="30" t="b">
        <v>0</v>
      </c>
      <c r="W269" s="30" t="b">
        <v>0</v>
      </c>
      <c r="X269" s="30"/>
      <c r="Y269" s="30"/>
      <c r="Z269" s="30"/>
      <c r="AA269" s="30"/>
      <c r="AB269" s="30"/>
      <c r="AC269" s="50"/>
      <c r="AD269" s="30"/>
      <c r="AE269" s="12">
        <f t="shared" si="5"/>
        <v>0</v>
      </c>
      <c r="AF269" s="70">
        <f t="shared" si="6"/>
        <v>0</v>
      </c>
      <c r="AG269" s="76"/>
      <c r="AH269" s="76"/>
      <c r="AI269" s="76"/>
      <c r="AJ269" s="76"/>
      <c r="AK269" s="76"/>
      <c r="AL269" s="30"/>
      <c r="AM269" s="79"/>
      <c r="AN269" s="79"/>
      <c r="AO269" s="79"/>
    </row>
    <row r="270" hidden="1">
      <c r="A270" s="12" t="s">
        <v>74</v>
      </c>
      <c r="B270" s="64"/>
      <c r="C270" s="12" t="s">
        <v>248</v>
      </c>
      <c r="D270" s="12" t="str">
        <f>vlookup(C270,'List of Chargers'!$A$2:$B$5,2,FALSE)</f>
        <v>Roam Hub</v>
      </c>
      <c r="E270" s="12" t="s">
        <v>73</v>
      </c>
      <c r="F270" s="12" t="s">
        <v>75</v>
      </c>
      <c r="G270" s="12">
        <v>268.0</v>
      </c>
      <c r="H270" s="13" t="str">
        <f t="shared" si="1"/>
        <v>#RH-KE-A-268</v>
      </c>
      <c r="I270" s="13" t="str">
        <f t="shared" si="2"/>
        <v>FO-NBI-00#RH-KE-A-268</v>
      </c>
      <c r="J270" s="25"/>
      <c r="K270" s="66"/>
      <c r="L270" s="31"/>
      <c r="M270" s="31"/>
      <c r="N270" s="26" t="str">
        <f t="shared" si="3"/>
        <v>Roam Hub - </v>
      </c>
      <c r="O270" s="26" t="str">
        <f t="shared" si="4"/>
        <v>FO-NBI-00#RH-KE-A-268: Roam Hub - </v>
      </c>
      <c r="R270" s="53"/>
      <c r="S270" s="78" t="b">
        <v>0</v>
      </c>
      <c r="T270" s="78" t="b">
        <v>0</v>
      </c>
      <c r="U270" s="78" t="b">
        <v>0</v>
      </c>
      <c r="V270" s="30" t="b">
        <v>0</v>
      </c>
      <c r="W270" s="30" t="b">
        <v>0</v>
      </c>
      <c r="X270" s="30"/>
      <c r="Y270" s="30"/>
      <c r="Z270" s="30"/>
      <c r="AA270" s="30"/>
      <c r="AB270" s="30"/>
      <c r="AC270" s="50"/>
      <c r="AD270" s="30"/>
      <c r="AE270" s="12">
        <f t="shared" si="5"/>
        <v>0</v>
      </c>
      <c r="AF270" s="70">
        <f t="shared" si="6"/>
        <v>0</v>
      </c>
      <c r="AG270" s="76"/>
      <c r="AH270" s="76"/>
      <c r="AI270" s="76"/>
      <c r="AJ270" s="76"/>
      <c r="AK270" s="76"/>
      <c r="AL270" s="30"/>
      <c r="AM270" s="79"/>
      <c r="AN270" s="79"/>
      <c r="AO270" s="79"/>
    </row>
    <row r="271" hidden="1">
      <c r="A271" s="12" t="s">
        <v>74</v>
      </c>
      <c r="B271" s="64"/>
      <c r="C271" s="12" t="s">
        <v>248</v>
      </c>
      <c r="D271" s="12" t="str">
        <f>vlookup(C271,'List of Chargers'!$A$2:$B$5,2,FALSE)</f>
        <v>Roam Hub</v>
      </c>
      <c r="E271" s="12" t="s">
        <v>73</v>
      </c>
      <c r="F271" s="12" t="s">
        <v>75</v>
      </c>
      <c r="G271" s="12">
        <v>269.0</v>
      </c>
      <c r="H271" s="13" t="str">
        <f t="shared" si="1"/>
        <v>#RH-KE-A-269</v>
      </c>
      <c r="I271" s="13" t="str">
        <f t="shared" si="2"/>
        <v>FO-NBI-00#RH-KE-A-269</v>
      </c>
      <c r="J271" s="25"/>
      <c r="K271" s="66"/>
      <c r="L271" s="31"/>
      <c r="M271" s="31"/>
      <c r="N271" s="26" t="str">
        <f t="shared" si="3"/>
        <v>Roam Hub - </v>
      </c>
      <c r="O271" s="26" t="str">
        <f t="shared" si="4"/>
        <v>FO-NBI-00#RH-KE-A-269: Roam Hub - </v>
      </c>
      <c r="R271" s="53"/>
      <c r="S271" s="78" t="b">
        <v>0</v>
      </c>
      <c r="T271" s="78" t="b">
        <v>0</v>
      </c>
      <c r="U271" s="78" t="b">
        <v>0</v>
      </c>
      <c r="V271" s="30" t="b">
        <v>0</v>
      </c>
      <c r="W271" s="30" t="b">
        <v>0</v>
      </c>
      <c r="X271" s="30"/>
      <c r="Y271" s="30"/>
      <c r="Z271" s="30"/>
      <c r="AA271" s="30"/>
      <c r="AB271" s="30"/>
      <c r="AC271" s="50"/>
      <c r="AD271" s="30"/>
      <c r="AE271" s="12">
        <f t="shared" si="5"/>
        <v>0</v>
      </c>
      <c r="AF271" s="70">
        <f t="shared" si="6"/>
        <v>0</v>
      </c>
      <c r="AG271" s="76"/>
      <c r="AH271" s="76"/>
      <c r="AI271" s="76"/>
      <c r="AJ271" s="76"/>
      <c r="AK271" s="76"/>
      <c r="AL271" s="30"/>
      <c r="AM271" s="79"/>
      <c r="AN271" s="79"/>
      <c r="AO271" s="79"/>
    </row>
    <row r="272" hidden="1">
      <c r="A272" s="12" t="s">
        <v>74</v>
      </c>
      <c r="B272" s="64"/>
      <c r="C272" s="12" t="s">
        <v>248</v>
      </c>
      <c r="D272" s="12" t="str">
        <f>vlookup(C272,'List of Chargers'!$A$2:$B$5,2,FALSE)</f>
        <v>Roam Hub</v>
      </c>
      <c r="E272" s="12" t="s">
        <v>73</v>
      </c>
      <c r="F272" s="12" t="s">
        <v>75</v>
      </c>
      <c r="G272" s="12">
        <v>270.0</v>
      </c>
      <c r="H272" s="13" t="str">
        <f t="shared" si="1"/>
        <v>#RH-KE-A-270</v>
      </c>
      <c r="I272" s="13" t="str">
        <f t="shared" si="2"/>
        <v>FO-NBI-00#RH-KE-A-270</v>
      </c>
      <c r="J272" s="25"/>
      <c r="K272" s="66"/>
      <c r="L272" s="31"/>
      <c r="M272" s="31"/>
      <c r="N272" s="26" t="str">
        <f t="shared" si="3"/>
        <v>Roam Hub - </v>
      </c>
      <c r="O272" s="26" t="str">
        <f t="shared" si="4"/>
        <v>FO-NBI-00#RH-KE-A-270: Roam Hub - </v>
      </c>
      <c r="R272" s="53"/>
      <c r="S272" s="78" t="b">
        <v>0</v>
      </c>
      <c r="T272" s="78" t="b">
        <v>0</v>
      </c>
      <c r="U272" s="78" t="b">
        <v>0</v>
      </c>
      <c r="V272" s="30" t="b">
        <v>0</v>
      </c>
      <c r="W272" s="30" t="b">
        <v>0</v>
      </c>
      <c r="X272" s="30"/>
      <c r="Y272" s="30"/>
      <c r="Z272" s="30"/>
      <c r="AA272" s="30"/>
      <c r="AB272" s="30"/>
      <c r="AC272" s="50"/>
      <c r="AD272" s="30"/>
      <c r="AE272" s="12">
        <f t="shared" si="5"/>
        <v>0</v>
      </c>
      <c r="AF272" s="70">
        <f t="shared" si="6"/>
        <v>0</v>
      </c>
      <c r="AG272" s="76"/>
      <c r="AH272" s="76"/>
      <c r="AI272" s="76"/>
      <c r="AJ272" s="76"/>
      <c r="AK272" s="76"/>
      <c r="AL272" s="30"/>
      <c r="AM272" s="79"/>
      <c r="AN272" s="79"/>
      <c r="AO272" s="79"/>
    </row>
    <row r="273" hidden="1">
      <c r="A273" s="12" t="s">
        <v>74</v>
      </c>
      <c r="B273" s="64"/>
      <c r="C273" s="12" t="s">
        <v>248</v>
      </c>
      <c r="D273" s="12" t="str">
        <f>vlookup(C273,'List of Chargers'!$A$2:$B$5,2,FALSE)</f>
        <v>Roam Hub</v>
      </c>
      <c r="E273" s="12" t="s">
        <v>73</v>
      </c>
      <c r="F273" s="12" t="s">
        <v>75</v>
      </c>
      <c r="G273" s="12">
        <v>271.0</v>
      </c>
      <c r="H273" s="13" t="str">
        <f t="shared" si="1"/>
        <v>#RH-KE-A-271</v>
      </c>
      <c r="I273" s="13" t="str">
        <f t="shared" si="2"/>
        <v>FO-NBI-00#RH-KE-A-271</v>
      </c>
      <c r="J273" s="25"/>
      <c r="K273" s="66"/>
      <c r="L273" s="31"/>
      <c r="M273" s="31"/>
      <c r="N273" s="26" t="str">
        <f t="shared" si="3"/>
        <v>Roam Hub - </v>
      </c>
      <c r="O273" s="26" t="str">
        <f t="shared" si="4"/>
        <v>FO-NBI-00#RH-KE-A-271: Roam Hub - </v>
      </c>
      <c r="R273" s="53"/>
      <c r="S273" s="78" t="b">
        <v>0</v>
      </c>
      <c r="T273" s="78" t="b">
        <v>0</v>
      </c>
      <c r="U273" s="78" t="b">
        <v>0</v>
      </c>
      <c r="V273" s="30" t="b">
        <v>0</v>
      </c>
      <c r="W273" s="30" t="b">
        <v>0</v>
      </c>
      <c r="X273" s="30"/>
      <c r="Y273" s="30"/>
      <c r="Z273" s="30"/>
      <c r="AA273" s="30"/>
      <c r="AB273" s="30"/>
      <c r="AC273" s="50"/>
      <c r="AD273" s="30"/>
      <c r="AE273" s="12">
        <f t="shared" si="5"/>
        <v>0</v>
      </c>
      <c r="AF273" s="70">
        <f t="shared" si="6"/>
        <v>0</v>
      </c>
      <c r="AG273" s="76"/>
      <c r="AH273" s="76"/>
      <c r="AI273" s="76"/>
      <c r="AJ273" s="76"/>
      <c r="AK273" s="76"/>
      <c r="AL273" s="30"/>
      <c r="AM273" s="79"/>
      <c r="AN273" s="79"/>
      <c r="AO273" s="79"/>
    </row>
    <row r="274" hidden="1">
      <c r="A274" s="12" t="s">
        <v>74</v>
      </c>
      <c r="B274" s="64"/>
      <c r="C274" s="12" t="s">
        <v>248</v>
      </c>
      <c r="D274" s="12" t="str">
        <f>vlookup(C274,'List of Chargers'!$A$2:$B$5,2,FALSE)</f>
        <v>Roam Hub</v>
      </c>
      <c r="E274" s="12" t="s">
        <v>73</v>
      </c>
      <c r="F274" s="12" t="s">
        <v>75</v>
      </c>
      <c r="G274" s="12">
        <v>272.0</v>
      </c>
      <c r="H274" s="13" t="str">
        <f t="shared" si="1"/>
        <v>#RH-KE-A-272</v>
      </c>
      <c r="I274" s="13" t="str">
        <f t="shared" si="2"/>
        <v>FO-NBI-00#RH-KE-A-272</v>
      </c>
      <c r="J274" s="25"/>
      <c r="K274" s="66"/>
      <c r="L274" s="31"/>
      <c r="M274" s="31"/>
      <c r="N274" s="26" t="str">
        <f t="shared" si="3"/>
        <v>Roam Hub - </v>
      </c>
      <c r="O274" s="26" t="str">
        <f t="shared" si="4"/>
        <v>FO-NBI-00#RH-KE-A-272: Roam Hub - </v>
      </c>
      <c r="R274" s="53"/>
      <c r="S274" s="78" t="b">
        <v>0</v>
      </c>
      <c r="T274" s="78" t="b">
        <v>0</v>
      </c>
      <c r="U274" s="78" t="b">
        <v>0</v>
      </c>
      <c r="V274" s="30" t="b">
        <v>0</v>
      </c>
      <c r="W274" s="30" t="b">
        <v>0</v>
      </c>
      <c r="X274" s="30"/>
      <c r="Y274" s="30"/>
      <c r="Z274" s="30"/>
      <c r="AA274" s="30"/>
      <c r="AB274" s="30"/>
      <c r="AC274" s="50"/>
      <c r="AD274" s="30"/>
      <c r="AE274" s="12">
        <f t="shared" si="5"/>
        <v>0</v>
      </c>
      <c r="AF274" s="70">
        <f t="shared" si="6"/>
        <v>0</v>
      </c>
      <c r="AG274" s="76"/>
      <c r="AH274" s="76"/>
      <c r="AI274" s="76"/>
      <c r="AJ274" s="76"/>
      <c r="AK274" s="76"/>
      <c r="AL274" s="30"/>
      <c r="AM274" s="79"/>
      <c r="AN274" s="79"/>
      <c r="AO274" s="79"/>
    </row>
    <row r="275" hidden="1">
      <c r="A275" s="12" t="s">
        <v>74</v>
      </c>
      <c r="B275" s="64"/>
      <c r="C275" s="12" t="s">
        <v>248</v>
      </c>
      <c r="D275" s="12" t="str">
        <f>vlookup(C275,'List of Chargers'!$A$2:$B$5,2,FALSE)</f>
        <v>Roam Hub</v>
      </c>
      <c r="E275" s="12" t="s">
        <v>73</v>
      </c>
      <c r="F275" s="12" t="s">
        <v>75</v>
      </c>
      <c r="G275" s="12">
        <v>273.0</v>
      </c>
      <c r="H275" s="13" t="str">
        <f t="shared" si="1"/>
        <v>#RH-KE-A-273</v>
      </c>
      <c r="I275" s="13" t="str">
        <f t="shared" si="2"/>
        <v>FO-NBI-00#RH-KE-A-273</v>
      </c>
      <c r="J275" s="25"/>
      <c r="K275" s="66"/>
      <c r="L275" s="31"/>
      <c r="M275" s="31"/>
      <c r="N275" s="26" t="str">
        <f t="shared" si="3"/>
        <v>Roam Hub - </v>
      </c>
      <c r="O275" s="26" t="str">
        <f t="shared" si="4"/>
        <v>FO-NBI-00#RH-KE-A-273: Roam Hub - </v>
      </c>
      <c r="R275" s="53"/>
      <c r="S275" s="78" t="b">
        <v>0</v>
      </c>
      <c r="T275" s="78" t="b">
        <v>0</v>
      </c>
      <c r="U275" s="78" t="b">
        <v>0</v>
      </c>
      <c r="V275" s="30" t="b">
        <v>0</v>
      </c>
      <c r="W275" s="30" t="b">
        <v>0</v>
      </c>
      <c r="X275" s="30"/>
      <c r="Y275" s="30"/>
      <c r="Z275" s="30"/>
      <c r="AA275" s="30"/>
      <c r="AB275" s="30"/>
      <c r="AC275" s="50"/>
      <c r="AD275" s="30"/>
      <c r="AE275" s="12">
        <f t="shared" si="5"/>
        <v>0</v>
      </c>
      <c r="AF275" s="70">
        <f t="shared" si="6"/>
        <v>0</v>
      </c>
      <c r="AG275" s="76"/>
      <c r="AH275" s="76"/>
      <c r="AI275" s="76"/>
      <c r="AJ275" s="76"/>
      <c r="AK275" s="76"/>
      <c r="AL275" s="30"/>
      <c r="AM275" s="79"/>
      <c r="AN275" s="79"/>
      <c r="AO275" s="79"/>
    </row>
    <row r="276" hidden="1">
      <c r="A276" s="12" t="s">
        <v>74</v>
      </c>
      <c r="B276" s="64"/>
      <c r="C276" s="12" t="s">
        <v>248</v>
      </c>
      <c r="D276" s="12" t="str">
        <f>vlookup(C276,'List of Chargers'!$A$2:$B$5,2,FALSE)</f>
        <v>Roam Hub</v>
      </c>
      <c r="E276" s="12" t="s">
        <v>73</v>
      </c>
      <c r="F276" s="12" t="s">
        <v>75</v>
      </c>
      <c r="G276" s="12">
        <v>274.0</v>
      </c>
      <c r="H276" s="13" t="str">
        <f t="shared" si="1"/>
        <v>#RH-KE-A-274</v>
      </c>
      <c r="I276" s="13" t="str">
        <f t="shared" si="2"/>
        <v>FO-NBI-00#RH-KE-A-274</v>
      </c>
      <c r="J276" s="25"/>
      <c r="K276" s="66"/>
      <c r="L276" s="31"/>
      <c r="M276" s="31"/>
      <c r="N276" s="26" t="str">
        <f t="shared" si="3"/>
        <v>Roam Hub - </v>
      </c>
      <c r="O276" s="26" t="str">
        <f t="shared" si="4"/>
        <v>FO-NBI-00#RH-KE-A-274: Roam Hub - </v>
      </c>
      <c r="R276" s="53"/>
      <c r="S276" s="78" t="b">
        <v>0</v>
      </c>
      <c r="T276" s="78" t="b">
        <v>0</v>
      </c>
      <c r="U276" s="78" t="b">
        <v>0</v>
      </c>
      <c r="V276" s="30" t="b">
        <v>0</v>
      </c>
      <c r="W276" s="30" t="b">
        <v>0</v>
      </c>
      <c r="X276" s="30"/>
      <c r="Y276" s="30"/>
      <c r="Z276" s="30"/>
      <c r="AA276" s="30"/>
      <c r="AB276" s="30"/>
      <c r="AC276" s="50"/>
      <c r="AD276" s="30"/>
      <c r="AE276" s="12">
        <f t="shared" si="5"/>
        <v>0</v>
      </c>
      <c r="AF276" s="70">
        <f t="shared" si="6"/>
        <v>0</v>
      </c>
      <c r="AG276" s="76"/>
      <c r="AH276" s="76"/>
      <c r="AI276" s="76"/>
      <c r="AJ276" s="76"/>
      <c r="AK276" s="76"/>
      <c r="AL276" s="30"/>
      <c r="AM276" s="79"/>
      <c r="AN276" s="79"/>
      <c r="AO276" s="79"/>
    </row>
    <row r="277" hidden="1">
      <c r="A277" s="12" t="s">
        <v>74</v>
      </c>
      <c r="B277" s="64"/>
      <c r="C277" s="12" t="s">
        <v>248</v>
      </c>
      <c r="D277" s="12" t="str">
        <f>vlookup(C277,'List of Chargers'!$A$2:$B$5,2,FALSE)</f>
        <v>Roam Hub</v>
      </c>
      <c r="E277" s="12" t="s">
        <v>73</v>
      </c>
      <c r="F277" s="12" t="s">
        <v>75</v>
      </c>
      <c r="G277" s="12">
        <v>275.0</v>
      </c>
      <c r="H277" s="13" t="str">
        <f t="shared" si="1"/>
        <v>#RH-KE-A-275</v>
      </c>
      <c r="I277" s="13" t="str">
        <f t="shared" si="2"/>
        <v>FO-NBI-00#RH-KE-A-275</v>
      </c>
      <c r="J277" s="25"/>
      <c r="K277" s="66"/>
      <c r="L277" s="31"/>
      <c r="M277" s="31"/>
      <c r="N277" s="26" t="str">
        <f t="shared" si="3"/>
        <v>Roam Hub - </v>
      </c>
      <c r="O277" s="26" t="str">
        <f t="shared" si="4"/>
        <v>FO-NBI-00#RH-KE-A-275: Roam Hub - </v>
      </c>
      <c r="R277" s="53"/>
      <c r="S277" s="78" t="b">
        <v>0</v>
      </c>
      <c r="T277" s="78" t="b">
        <v>0</v>
      </c>
      <c r="U277" s="78" t="b">
        <v>0</v>
      </c>
      <c r="V277" s="30" t="b">
        <v>0</v>
      </c>
      <c r="W277" s="30" t="b">
        <v>0</v>
      </c>
      <c r="X277" s="30"/>
      <c r="Y277" s="30"/>
      <c r="Z277" s="30"/>
      <c r="AA277" s="30"/>
      <c r="AB277" s="30"/>
      <c r="AC277" s="50"/>
      <c r="AD277" s="30"/>
      <c r="AE277" s="12">
        <f t="shared" si="5"/>
        <v>0</v>
      </c>
      <c r="AF277" s="70">
        <f t="shared" si="6"/>
        <v>0</v>
      </c>
      <c r="AG277" s="76"/>
      <c r="AH277" s="76"/>
      <c r="AI277" s="76"/>
      <c r="AJ277" s="76"/>
      <c r="AK277" s="76"/>
      <c r="AL277" s="30"/>
      <c r="AM277" s="79"/>
      <c r="AN277" s="79"/>
      <c r="AO277" s="79"/>
    </row>
    <row r="278" hidden="1">
      <c r="A278" s="12" t="s">
        <v>74</v>
      </c>
      <c r="B278" s="64"/>
      <c r="C278" s="12" t="s">
        <v>248</v>
      </c>
      <c r="D278" s="12" t="str">
        <f>vlookup(C278,'List of Chargers'!$A$2:$B$5,2,FALSE)</f>
        <v>Roam Hub</v>
      </c>
      <c r="E278" s="12" t="s">
        <v>73</v>
      </c>
      <c r="F278" s="12" t="s">
        <v>75</v>
      </c>
      <c r="G278" s="12">
        <v>276.0</v>
      </c>
      <c r="H278" s="13" t="str">
        <f t="shared" si="1"/>
        <v>#RH-KE-A-276</v>
      </c>
      <c r="I278" s="13" t="str">
        <f t="shared" si="2"/>
        <v>FO-NBI-00#RH-KE-A-276</v>
      </c>
      <c r="J278" s="25"/>
      <c r="K278" s="66"/>
      <c r="L278" s="31"/>
      <c r="M278" s="31"/>
      <c r="N278" s="26" t="str">
        <f t="shared" si="3"/>
        <v>Roam Hub - </v>
      </c>
      <c r="O278" s="26" t="str">
        <f t="shared" si="4"/>
        <v>FO-NBI-00#RH-KE-A-276: Roam Hub - </v>
      </c>
      <c r="R278" s="53"/>
      <c r="S278" s="78" t="b">
        <v>0</v>
      </c>
      <c r="T278" s="78" t="b">
        <v>0</v>
      </c>
      <c r="U278" s="78" t="b">
        <v>0</v>
      </c>
      <c r="V278" s="30" t="b">
        <v>0</v>
      </c>
      <c r="W278" s="30" t="b">
        <v>0</v>
      </c>
      <c r="X278" s="30"/>
      <c r="Y278" s="30"/>
      <c r="Z278" s="30"/>
      <c r="AA278" s="30"/>
      <c r="AB278" s="30"/>
      <c r="AC278" s="50"/>
      <c r="AD278" s="30"/>
      <c r="AE278" s="12">
        <f t="shared" si="5"/>
        <v>0</v>
      </c>
      <c r="AF278" s="70">
        <f t="shared" si="6"/>
        <v>0</v>
      </c>
      <c r="AG278" s="76"/>
      <c r="AH278" s="76"/>
      <c r="AI278" s="76"/>
      <c r="AJ278" s="76"/>
      <c r="AK278" s="76"/>
      <c r="AL278" s="30"/>
      <c r="AM278" s="79"/>
      <c r="AN278" s="79"/>
      <c r="AO278" s="79"/>
    </row>
    <row r="279" hidden="1">
      <c r="A279" s="12" t="s">
        <v>74</v>
      </c>
      <c r="B279" s="64"/>
      <c r="C279" s="12" t="s">
        <v>248</v>
      </c>
      <c r="D279" s="12" t="str">
        <f>vlookup(C279,'List of Chargers'!$A$2:$B$5,2,FALSE)</f>
        <v>Roam Hub</v>
      </c>
      <c r="E279" s="12" t="s">
        <v>73</v>
      </c>
      <c r="F279" s="12" t="s">
        <v>75</v>
      </c>
      <c r="G279" s="12">
        <v>277.0</v>
      </c>
      <c r="H279" s="13" t="str">
        <f t="shared" si="1"/>
        <v>#RH-KE-A-277</v>
      </c>
      <c r="I279" s="13" t="str">
        <f t="shared" si="2"/>
        <v>FO-NBI-00#RH-KE-A-277</v>
      </c>
      <c r="J279" s="25"/>
      <c r="K279" s="66"/>
      <c r="L279" s="31"/>
      <c r="M279" s="31"/>
      <c r="N279" s="26" t="str">
        <f t="shared" si="3"/>
        <v>Roam Hub - </v>
      </c>
      <c r="O279" s="26" t="str">
        <f t="shared" si="4"/>
        <v>FO-NBI-00#RH-KE-A-277: Roam Hub - </v>
      </c>
      <c r="R279" s="53"/>
      <c r="S279" s="78" t="b">
        <v>0</v>
      </c>
      <c r="T279" s="78" t="b">
        <v>0</v>
      </c>
      <c r="U279" s="78" t="b">
        <v>0</v>
      </c>
      <c r="V279" s="30" t="b">
        <v>0</v>
      </c>
      <c r="W279" s="30" t="b">
        <v>0</v>
      </c>
      <c r="X279" s="30"/>
      <c r="Y279" s="30"/>
      <c r="Z279" s="30"/>
      <c r="AA279" s="30"/>
      <c r="AB279" s="30"/>
      <c r="AC279" s="50"/>
      <c r="AD279" s="30"/>
      <c r="AE279" s="12">
        <f t="shared" si="5"/>
        <v>0</v>
      </c>
      <c r="AF279" s="70">
        <f t="shared" si="6"/>
        <v>0</v>
      </c>
      <c r="AG279" s="76"/>
      <c r="AH279" s="76"/>
      <c r="AI279" s="76"/>
      <c r="AJ279" s="76"/>
      <c r="AK279" s="76"/>
      <c r="AL279" s="30"/>
      <c r="AM279" s="79"/>
      <c r="AN279" s="79"/>
      <c r="AO279" s="79"/>
    </row>
    <row r="280" hidden="1">
      <c r="A280" s="12" t="s">
        <v>74</v>
      </c>
      <c r="B280" s="64"/>
      <c r="C280" s="12" t="s">
        <v>248</v>
      </c>
      <c r="D280" s="12" t="str">
        <f>vlookup(C280,'List of Chargers'!$A$2:$B$5,2,FALSE)</f>
        <v>Roam Hub</v>
      </c>
      <c r="E280" s="12" t="s">
        <v>73</v>
      </c>
      <c r="F280" s="12" t="s">
        <v>75</v>
      </c>
      <c r="G280" s="12">
        <v>278.0</v>
      </c>
      <c r="H280" s="13" t="str">
        <f t="shared" si="1"/>
        <v>#RH-KE-A-278</v>
      </c>
      <c r="I280" s="13" t="str">
        <f t="shared" si="2"/>
        <v>FO-NBI-00#RH-KE-A-278</v>
      </c>
      <c r="J280" s="25"/>
      <c r="K280" s="66"/>
      <c r="L280" s="31"/>
      <c r="M280" s="31"/>
      <c r="N280" s="26" t="str">
        <f t="shared" si="3"/>
        <v>Roam Hub - </v>
      </c>
      <c r="O280" s="26" t="str">
        <f t="shared" si="4"/>
        <v>FO-NBI-00#RH-KE-A-278: Roam Hub - </v>
      </c>
      <c r="R280" s="53"/>
      <c r="S280" s="78" t="b">
        <v>0</v>
      </c>
      <c r="T280" s="78" t="b">
        <v>0</v>
      </c>
      <c r="U280" s="78" t="b">
        <v>0</v>
      </c>
      <c r="V280" s="30" t="b">
        <v>0</v>
      </c>
      <c r="W280" s="30" t="b">
        <v>0</v>
      </c>
      <c r="X280" s="30"/>
      <c r="Y280" s="30"/>
      <c r="Z280" s="30"/>
      <c r="AA280" s="30"/>
      <c r="AB280" s="30"/>
      <c r="AC280" s="50"/>
      <c r="AD280" s="30"/>
      <c r="AE280" s="12">
        <f t="shared" si="5"/>
        <v>0</v>
      </c>
      <c r="AF280" s="70">
        <f t="shared" si="6"/>
        <v>0</v>
      </c>
      <c r="AG280" s="76"/>
      <c r="AH280" s="76"/>
      <c r="AI280" s="76"/>
      <c r="AJ280" s="76"/>
      <c r="AK280" s="76"/>
      <c r="AL280" s="30"/>
      <c r="AM280" s="79"/>
      <c r="AN280" s="79"/>
      <c r="AO280" s="79"/>
    </row>
    <row r="281" hidden="1">
      <c r="A281" s="12" t="s">
        <v>74</v>
      </c>
      <c r="B281" s="64"/>
      <c r="C281" s="12" t="s">
        <v>248</v>
      </c>
      <c r="D281" s="12" t="str">
        <f>vlookup(C281,'List of Chargers'!$A$2:$B$5,2,FALSE)</f>
        <v>Roam Hub</v>
      </c>
      <c r="E281" s="12" t="s">
        <v>73</v>
      </c>
      <c r="F281" s="12" t="s">
        <v>75</v>
      </c>
      <c r="G281" s="12">
        <v>279.0</v>
      </c>
      <c r="H281" s="13" t="str">
        <f t="shared" si="1"/>
        <v>#RH-KE-A-279</v>
      </c>
      <c r="I281" s="13" t="str">
        <f t="shared" si="2"/>
        <v>FO-NBI-00#RH-KE-A-279</v>
      </c>
      <c r="J281" s="25"/>
      <c r="K281" s="66"/>
      <c r="L281" s="31"/>
      <c r="M281" s="31"/>
      <c r="N281" s="26" t="str">
        <f t="shared" si="3"/>
        <v>Roam Hub - </v>
      </c>
      <c r="O281" s="26" t="str">
        <f t="shared" si="4"/>
        <v>FO-NBI-00#RH-KE-A-279: Roam Hub - </v>
      </c>
      <c r="R281" s="53"/>
      <c r="S281" s="78" t="b">
        <v>0</v>
      </c>
      <c r="T281" s="78" t="b">
        <v>0</v>
      </c>
      <c r="U281" s="78" t="b">
        <v>0</v>
      </c>
      <c r="V281" s="30" t="b">
        <v>0</v>
      </c>
      <c r="W281" s="30" t="b">
        <v>0</v>
      </c>
      <c r="X281" s="30"/>
      <c r="Y281" s="30"/>
      <c r="Z281" s="30"/>
      <c r="AA281" s="30"/>
      <c r="AB281" s="30"/>
      <c r="AC281" s="50"/>
      <c r="AD281" s="30"/>
      <c r="AE281" s="12">
        <f t="shared" si="5"/>
        <v>0</v>
      </c>
      <c r="AF281" s="70">
        <f t="shared" si="6"/>
        <v>0</v>
      </c>
      <c r="AG281" s="76"/>
      <c r="AH281" s="76"/>
      <c r="AI281" s="76"/>
      <c r="AJ281" s="76"/>
      <c r="AK281" s="76"/>
      <c r="AL281" s="30"/>
      <c r="AM281" s="79"/>
      <c r="AN281" s="79"/>
      <c r="AO281" s="79"/>
    </row>
    <row r="282" hidden="1">
      <c r="A282" s="12" t="s">
        <v>74</v>
      </c>
      <c r="B282" s="64"/>
      <c r="C282" s="12" t="s">
        <v>248</v>
      </c>
      <c r="D282" s="12" t="str">
        <f>vlookup(C282,'List of Chargers'!$A$2:$B$5,2,FALSE)</f>
        <v>Roam Hub</v>
      </c>
      <c r="E282" s="12" t="s">
        <v>73</v>
      </c>
      <c r="F282" s="12" t="s">
        <v>75</v>
      </c>
      <c r="G282" s="12">
        <v>280.0</v>
      </c>
      <c r="H282" s="13" t="str">
        <f t="shared" si="1"/>
        <v>#RH-KE-A-280</v>
      </c>
      <c r="I282" s="13" t="str">
        <f t="shared" si="2"/>
        <v>FO-NBI-00#RH-KE-A-280</v>
      </c>
      <c r="J282" s="25"/>
      <c r="K282" s="66"/>
      <c r="L282" s="31"/>
      <c r="M282" s="31"/>
      <c r="N282" s="26" t="str">
        <f t="shared" si="3"/>
        <v>Roam Hub - </v>
      </c>
      <c r="O282" s="26" t="str">
        <f t="shared" si="4"/>
        <v>FO-NBI-00#RH-KE-A-280: Roam Hub - </v>
      </c>
      <c r="R282" s="53"/>
      <c r="S282" s="78" t="b">
        <v>0</v>
      </c>
      <c r="T282" s="78" t="b">
        <v>0</v>
      </c>
      <c r="U282" s="78" t="b">
        <v>0</v>
      </c>
      <c r="V282" s="30" t="b">
        <v>0</v>
      </c>
      <c r="W282" s="30" t="b">
        <v>0</v>
      </c>
      <c r="X282" s="30"/>
      <c r="Y282" s="30"/>
      <c r="Z282" s="30"/>
      <c r="AA282" s="30"/>
      <c r="AB282" s="30"/>
      <c r="AC282" s="50"/>
      <c r="AD282" s="30"/>
      <c r="AE282" s="12">
        <f t="shared" si="5"/>
        <v>0</v>
      </c>
      <c r="AF282" s="70">
        <f t="shared" si="6"/>
        <v>0</v>
      </c>
      <c r="AG282" s="76"/>
      <c r="AH282" s="76"/>
      <c r="AI282" s="76"/>
      <c r="AJ282" s="76"/>
      <c r="AK282" s="76"/>
      <c r="AL282" s="30"/>
      <c r="AM282" s="79"/>
      <c r="AN282" s="79"/>
      <c r="AO282" s="79"/>
    </row>
    <row r="283" hidden="1">
      <c r="A283" s="12" t="s">
        <v>74</v>
      </c>
      <c r="B283" s="64"/>
      <c r="C283" s="12" t="s">
        <v>248</v>
      </c>
      <c r="D283" s="12" t="str">
        <f>vlookup(C283,'List of Chargers'!$A$2:$B$5,2,FALSE)</f>
        <v>Roam Hub</v>
      </c>
      <c r="E283" s="12" t="s">
        <v>73</v>
      </c>
      <c r="F283" s="12" t="s">
        <v>75</v>
      </c>
      <c r="G283" s="12">
        <v>281.0</v>
      </c>
      <c r="H283" s="13" t="str">
        <f t="shared" si="1"/>
        <v>#RH-KE-A-281</v>
      </c>
      <c r="I283" s="13" t="str">
        <f t="shared" si="2"/>
        <v>FO-NBI-00#RH-KE-A-281</v>
      </c>
      <c r="J283" s="25"/>
      <c r="K283" s="66"/>
      <c r="L283" s="31"/>
      <c r="M283" s="31"/>
      <c r="N283" s="26" t="str">
        <f t="shared" si="3"/>
        <v>Roam Hub - </v>
      </c>
      <c r="O283" s="26" t="str">
        <f t="shared" si="4"/>
        <v>FO-NBI-00#RH-KE-A-281: Roam Hub - </v>
      </c>
      <c r="R283" s="53"/>
      <c r="S283" s="78" t="b">
        <v>0</v>
      </c>
      <c r="T283" s="78" t="b">
        <v>0</v>
      </c>
      <c r="U283" s="78" t="b">
        <v>0</v>
      </c>
      <c r="V283" s="30" t="b">
        <v>0</v>
      </c>
      <c r="W283" s="30" t="b">
        <v>0</v>
      </c>
      <c r="X283" s="30"/>
      <c r="Y283" s="30"/>
      <c r="Z283" s="30"/>
      <c r="AA283" s="30"/>
      <c r="AB283" s="30"/>
      <c r="AC283" s="50"/>
      <c r="AD283" s="30"/>
      <c r="AE283" s="12">
        <f t="shared" si="5"/>
        <v>0</v>
      </c>
      <c r="AF283" s="70">
        <f t="shared" si="6"/>
        <v>0</v>
      </c>
      <c r="AG283" s="76"/>
      <c r="AH283" s="76"/>
      <c r="AI283" s="76"/>
      <c r="AJ283" s="76"/>
      <c r="AK283" s="76"/>
      <c r="AL283" s="30"/>
      <c r="AM283" s="79"/>
      <c r="AN283" s="79"/>
      <c r="AO283" s="79"/>
    </row>
    <row r="284" hidden="1">
      <c r="A284" s="12" t="s">
        <v>74</v>
      </c>
      <c r="B284" s="64"/>
      <c r="C284" s="12" t="s">
        <v>248</v>
      </c>
      <c r="D284" s="12" t="str">
        <f>vlookup(C284,'List of Chargers'!$A$2:$B$5,2,FALSE)</f>
        <v>Roam Hub</v>
      </c>
      <c r="E284" s="12" t="s">
        <v>73</v>
      </c>
      <c r="F284" s="12" t="s">
        <v>75</v>
      </c>
      <c r="G284" s="12">
        <v>282.0</v>
      </c>
      <c r="H284" s="13" t="str">
        <f t="shared" si="1"/>
        <v>#RH-KE-A-282</v>
      </c>
      <c r="I284" s="13" t="str">
        <f t="shared" si="2"/>
        <v>FO-NBI-00#RH-KE-A-282</v>
      </c>
      <c r="J284" s="25"/>
      <c r="K284" s="66"/>
      <c r="L284" s="31"/>
      <c r="M284" s="31"/>
      <c r="N284" s="26" t="str">
        <f t="shared" si="3"/>
        <v>Roam Hub - </v>
      </c>
      <c r="O284" s="26" t="str">
        <f t="shared" si="4"/>
        <v>FO-NBI-00#RH-KE-A-282: Roam Hub - </v>
      </c>
      <c r="R284" s="53"/>
      <c r="S284" s="78" t="b">
        <v>0</v>
      </c>
      <c r="T284" s="78" t="b">
        <v>0</v>
      </c>
      <c r="U284" s="78" t="b">
        <v>0</v>
      </c>
      <c r="V284" s="30" t="b">
        <v>0</v>
      </c>
      <c r="W284" s="30" t="b">
        <v>0</v>
      </c>
      <c r="X284" s="30"/>
      <c r="Y284" s="30"/>
      <c r="Z284" s="30"/>
      <c r="AA284" s="30"/>
      <c r="AB284" s="30"/>
      <c r="AC284" s="50"/>
      <c r="AD284" s="30"/>
      <c r="AE284" s="12">
        <f t="shared" si="5"/>
        <v>0</v>
      </c>
      <c r="AF284" s="70">
        <f t="shared" si="6"/>
        <v>0</v>
      </c>
      <c r="AG284" s="76"/>
      <c r="AH284" s="76"/>
      <c r="AI284" s="76"/>
      <c r="AJ284" s="76"/>
      <c r="AK284" s="76"/>
      <c r="AL284" s="30"/>
      <c r="AM284" s="79"/>
      <c r="AN284" s="79"/>
      <c r="AO284" s="79"/>
    </row>
    <row r="285" hidden="1">
      <c r="A285" s="12" t="s">
        <v>74</v>
      </c>
      <c r="B285" s="64"/>
      <c r="C285" s="12" t="s">
        <v>248</v>
      </c>
      <c r="D285" s="12" t="str">
        <f>vlookup(C285,'List of Chargers'!$A$2:$B$5,2,FALSE)</f>
        <v>Roam Hub</v>
      </c>
      <c r="E285" s="12" t="s">
        <v>73</v>
      </c>
      <c r="F285" s="12" t="s">
        <v>75</v>
      </c>
      <c r="G285" s="12">
        <v>283.0</v>
      </c>
      <c r="H285" s="13" t="str">
        <f t="shared" si="1"/>
        <v>#RH-KE-A-283</v>
      </c>
      <c r="I285" s="13" t="str">
        <f t="shared" si="2"/>
        <v>FO-NBI-00#RH-KE-A-283</v>
      </c>
      <c r="J285" s="25"/>
      <c r="K285" s="66"/>
      <c r="L285" s="31"/>
      <c r="M285" s="31"/>
      <c r="N285" s="26" t="str">
        <f t="shared" si="3"/>
        <v>Roam Hub - </v>
      </c>
      <c r="O285" s="26" t="str">
        <f t="shared" si="4"/>
        <v>FO-NBI-00#RH-KE-A-283: Roam Hub - </v>
      </c>
      <c r="R285" s="53"/>
      <c r="S285" s="78" t="b">
        <v>0</v>
      </c>
      <c r="T285" s="78" t="b">
        <v>0</v>
      </c>
      <c r="U285" s="78" t="b">
        <v>0</v>
      </c>
      <c r="V285" s="30" t="b">
        <v>0</v>
      </c>
      <c r="W285" s="30" t="b">
        <v>0</v>
      </c>
      <c r="X285" s="30"/>
      <c r="Y285" s="30"/>
      <c r="Z285" s="30"/>
      <c r="AA285" s="30"/>
      <c r="AB285" s="30"/>
      <c r="AC285" s="50"/>
      <c r="AD285" s="30"/>
      <c r="AE285" s="12">
        <f t="shared" si="5"/>
        <v>0</v>
      </c>
      <c r="AF285" s="70">
        <f t="shared" si="6"/>
        <v>0</v>
      </c>
      <c r="AG285" s="76"/>
      <c r="AH285" s="76"/>
      <c r="AI285" s="76"/>
      <c r="AJ285" s="76"/>
      <c r="AK285" s="76"/>
      <c r="AL285" s="30"/>
      <c r="AM285" s="79"/>
      <c r="AN285" s="79"/>
      <c r="AO285" s="79"/>
    </row>
    <row r="286" hidden="1">
      <c r="A286" s="12" t="s">
        <v>74</v>
      </c>
      <c r="B286" s="64"/>
      <c r="C286" s="12" t="s">
        <v>248</v>
      </c>
      <c r="D286" s="12" t="str">
        <f>vlookup(C286,'List of Chargers'!$A$2:$B$5,2,FALSE)</f>
        <v>Roam Hub</v>
      </c>
      <c r="E286" s="12" t="s">
        <v>73</v>
      </c>
      <c r="F286" s="12" t="s">
        <v>75</v>
      </c>
      <c r="G286" s="12">
        <v>284.0</v>
      </c>
      <c r="H286" s="13" t="str">
        <f t="shared" si="1"/>
        <v>#RH-KE-A-284</v>
      </c>
      <c r="I286" s="13" t="str">
        <f t="shared" si="2"/>
        <v>FO-NBI-00#RH-KE-A-284</v>
      </c>
      <c r="J286" s="25"/>
      <c r="K286" s="66"/>
      <c r="L286" s="31"/>
      <c r="M286" s="31"/>
      <c r="N286" s="26" t="str">
        <f t="shared" si="3"/>
        <v>Roam Hub - </v>
      </c>
      <c r="O286" s="26" t="str">
        <f t="shared" si="4"/>
        <v>FO-NBI-00#RH-KE-A-284: Roam Hub - </v>
      </c>
      <c r="R286" s="53"/>
      <c r="S286" s="78" t="b">
        <v>0</v>
      </c>
      <c r="T286" s="78" t="b">
        <v>0</v>
      </c>
      <c r="U286" s="78" t="b">
        <v>0</v>
      </c>
      <c r="V286" s="30" t="b">
        <v>0</v>
      </c>
      <c r="W286" s="30" t="b">
        <v>0</v>
      </c>
      <c r="X286" s="30"/>
      <c r="Y286" s="30"/>
      <c r="Z286" s="30"/>
      <c r="AA286" s="30"/>
      <c r="AB286" s="30"/>
      <c r="AC286" s="50"/>
      <c r="AD286" s="30"/>
      <c r="AE286" s="12">
        <f t="shared" si="5"/>
        <v>0</v>
      </c>
      <c r="AF286" s="70">
        <f t="shared" si="6"/>
        <v>0</v>
      </c>
      <c r="AG286" s="76"/>
      <c r="AH286" s="76"/>
      <c r="AI286" s="76"/>
      <c r="AJ286" s="76"/>
      <c r="AK286" s="76"/>
      <c r="AL286" s="30"/>
      <c r="AM286" s="79"/>
      <c r="AN286" s="79"/>
      <c r="AO286" s="79"/>
    </row>
    <row r="287" hidden="1">
      <c r="A287" s="12" t="s">
        <v>74</v>
      </c>
      <c r="B287" s="64"/>
      <c r="C287" s="12" t="s">
        <v>248</v>
      </c>
      <c r="D287" s="12" t="str">
        <f>vlookup(C287,'List of Chargers'!$A$2:$B$5,2,FALSE)</f>
        <v>Roam Hub</v>
      </c>
      <c r="E287" s="12" t="s">
        <v>73</v>
      </c>
      <c r="F287" s="12" t="s">
        <v>75</v>
      </c>
      <c r="G287" s="12">
        <v>285.0</v>
      </c>
      <c r="H287" s="13" t="str">
        <f t="shared" si="1"/>
        <v>#RH-KE-A-285</v>
      </c>
      <c r="I287" s="13" t="str">
        <f t="shared" si="2"/>
        <v>FO-NBI-00#RH-KE-A-285</v>
      </c>
      <c r="J287" s="25"/>
      <c r="K287" s="66"/>
      <c r="L287" s="31"/>
      <c r="M287" s="31"/>
      <c r="N287" s="26" t="str">
        <f t="shared" si="3"/>
        <v>Roam Hub - </v>
      </c>
      <c r="O287" s="26" t="str">
        <f t="shared" si="4"/>
        <v>FO-NBI-00#RH-KE-A-285: Roam Hub - </v>
      </c>
      <c r="R287" s="53"/>
      <c r="S287" s="78" t="b">
        <v>0</v>
      </c>
      <c r="T287" s="78" t="b">
        <v>0</v>
      </c>
      <c r="U287" s="78" t="b">
        <v>0</v>
      </c>
      <c r="V287" s="30" t="b">
        <v>0</v>
      </c>
      <c r="W287" s="30" t="b">
        <v>0</v>
      </c>
      <c r="X287" s="30"/>
      <c r="Y287" s="30"/>
      <c r="Z287" s="30"/>
      <c r="AA287" s="30"/>
      <c r="AB287" s="30"/>
      <c r="AC287" s="50"/>
      <c r="AD287" s="30"/>
      <c r="AE287" s="12">
        <f t="shared" si="5"/>
        <v>0</v>
      </c>
      <c r="AF287" s="70">
        <f t="shared" si="6"/>
        <v>0</v>
      </c>
      <c r="AG287" s="76"/>
      <c r="AH287" s="76"/>
      <c r="AI287" s="76"/>
      <c r="AJ287" s="76"/>
      <c r="AK287" s="76"/>
      <c r="AL287" s="30"/>
      <c r="AM287" s="79"/>
      <c r="AN287" s="79"/>
      <c r="AO287" s="79"/>
    </row>
    <row r="288" hidden="1">
      <c r="A288" s="12" t="s">
        <v>74</v>
      </c>
      <c r="B288" s="64"/>
      <c r="C288" s="12" t="s">
        <v>248</v>
      </c>
      <c r="D288" s="12" t="str">
        <f>vlookup(C288,'List of Chargers'!$A$2:$B$5,2,FALSE)</f>
        <v>Roam Hub</v>
      </c>
      <c r="E288" s="12" t="s">
        <v>73</v>
      </c>
      <c r="F288" s="12" t="s">
        <v>75</v>
      </c>
      <c r="G288" s="12">
        <v>286.0</v>
      </c>
      <c r="H288" s="13" t="str">
        <f t="shared" si="1"/>
        <v>#RH-KE-A-286</v>
      </c>
      <c r="I288" s="13" t="str">
        <f t="shared" si="2"/>
        <v>FO-NBI-00#RH-KE-A-286</v>
      </c>
      <c r="J288" s="25"/>
      <c r="K288" s="66"/>
      <c r="L288" s="31"/>
      <c r="M288" s="31"/>
      <c r="N288" s="26" t="str">
        <f t="shared" si="3"/>
        <v>Roam Hub - </v>
      </c>
      <c r="O288" s="26" t="str">
        <f t="shared" si="4"/>
        <v>FO-NBI-00#RH-KE-A-286: Roam Hub - </v>
      </c>
      <c r="R288" s="53"/>
      <c r="S288" s="78" t="b">
        <v>0</v>
      </c>
      <c r="T288" s="78" t="b">
        <v>0</v>
      </c>
      <c r="U288" s="78" t="b">
        <v>0</v>
      </c>
      <c r="V288" s="30" t="b">
        <v>0</v>
      </c>
      <c r="W288" s="30" t="b">
        <v>0</v>
      </c>
      <c r="X288" s="30"/>
      <c r="Y288" s="30"/>
      <c r="Z288" s="30"/>
      <c r="AA288" s="30"/>
      <c r="AB288" s="30"/>
      <c r="AC288" s="50"/>
      <c r="AD288" s="30"/>
      <c r="AE288" s="12">
        <f t="shared" si="5"/>
        <v>0</v>
      </c>
      <c r="AF288" s="70">
        <f t="shared" si="6"/>
        <v>0</v>
      </c>
      <c r="AG288" s="76"/>
      <c r="AH288" s="76"/>
      <c r="AI288" s="76"/>
      <c r="AJ288" s="76"/>
      <c r="AK288" s="76"/>
      <c r="AL288" s="30"/>
      <c r="AM288" s="79"/>
      <c r="AN288" s="79"/>
      <c r="AO288" s="79"/>
    </row>
    <row r="289" hidden="1">
      <c r="A289" s="12" t="s">
        <v>74</v>
      </c>
      <c r="B289" s="64"/>
      <c r="C289" s="12" t="s">
        <v>248</v>
      </c>
      <c r="D289" s="12" t="str">
        <f>vlookup(C289,'List of Chargers'!$A$2:$B$5,2,FALSE)</f>
        <v>Roam Hub</v>
      </c>
      <c r="E289" s="12" t="s">
        <v>73</v>
      </c>
      <c r="F289" s="12" t="s">
        <v>75</v>
      </c>
      <c r="G289" s="12">
        <v>287.0</v>
      </c>
      <c r="H289" s="13" t="str">
        <f t="shared" si="1"/>
        <v>#RH-KE-A-287</v>
      </c>
      <c r="I289" s="13" t="str">
        <f t="shared" si="2"/>
        <v>FO-NBI-00#RH-KE-A-287</v>
      </c>
      <c r="J289" s="25"/>
      <c r="K289" s="66"/>
      <c r="L289" s="31"/>
      <c r="M289" s="31"/>
      <c r="N289" s="26" t="str">
        <f t="shared" si="3"/>
        <v>Roam Hub - </v>
      </c>
      <c r="O289" s="26" t="str">
        <f t="shared" si="4"/>
        <v>FO-NBI-00#RH-KE-A-287: Roam Hub - </v>
      </c>
      <c r="R289" s="53"/>
      <c r="S289" s="78" t="b">
        <v>0</v>
      </c>
      <c r="T289" s="78" t="b">
        <v>0</v>
      </c>
      <c r="U289" s="78" t="b">
        <v>0</v>
      </c>
      <c r="V289" s="30" t="b">
        <v>0</v>
      </c>
      <c r="W289" s="30" t="b">
        <v>0</v>
      </c>
      <c r="X289" s="30"/>
      <c r="Y289" s="30"/>
      <c r="Z289" s="30"/>
      <c r="AA289" s="30"/>
      <c r="AB289" s="30"/>
      <c r="AC289" s="50"/>
      <c r="AD289" s="30"/>
      <c r="AE289" s="12">
        <f t="shared" si="5"/>
        <v>0</v>
      </c>
      <c r="AF289" s="70">
        <f t="shared" si="6"/>
        <v>0</v>
      </c>
      <c r="AG289" s="76"/>
      <c r="AH289" s="76"/>
      <c r="AI289" s="76"/>
      <c r="AJ289" s="76"/>
      <c r="AK289" s="76"/>
      <c r="AL289" s="30"/>
      <c r="AM289" s="79"/>
      <c r="AN289" s="79"/>
      <c r="AO289" s="79"/>
    </row>
    <row r="290" hidden="1">
      <c r="A290" s="12" t="s">
        <v>74</v>
      </c>
      <c r="B290" s="64"/>
      <c r="C290" s="12" t="s">
        <v>248</v>
      </c>
      <c r="D290" s="12" t="str">
        <f>vlookup(C290,'List of Chargers'!$A$2:$B$5,2,FALSE)</f>
        <v>Roam Hub</v>
      </c>
      <c r="E290" s="12" t="s">
        <v>73</v>
      </c>
      <c r="F290" s="12" t="s">
        <v>75</v>
      </c>
      <c r="G290" s="12">
        <v>288.0</v>
      </c>
      <c r="H290" s="13" t="str">
        <f t="shared" si="1"/>
        <v>#RH-KE-A-288</v>
      </c>
      <c r="I290" s="13" t="str">
        <f t="shared" si="2"/>
        <v>FO-NBI-00#RH-KE-A-288</v>
      </c>
      <c r="J290" s="25"/>
      <c r="K290" s="66"/>
      <c r="L290" s="31"/>
      <c r="M290" s="31"/>
      <c r="N290" s="26" t="str">
        <f t="shared" si="3"/>
        <v>Roam Hub - </v>
      </c>
      <c r="O290" s="26" t="str">
        <f t="shared" si="4"/>
        <v>FO-NBI-00#RH-KE-A-288: Roam Hub - </v>
      </c>
      <c r="R290" s="53"/>
      <c r="S290" s="78" t="b">
        <v>0</v>
      </c>
      <c r="T290" s="78" t="b">
        <v>0</v>
      </c>
      <c r="U290" s="78" t="b">
        <v>0</v>
      </c>
      <c r="V290" s="30" t="b">
        <v>0</v>
      </c>
      <c r="W290" s="30" t="b">
        <v>0</v>
      </c>
      <c r="X290" s="30"/>
      <c r="Y290" s="30"/>
      <c r="Z290" s="30"/>
      <c r="AA290" s="30"/>
      <c r="AB290" s="30"/>
      <c r="AC290" s="50"/>
      <c r="AD290" s="30"/>
      <c r="AE290" s="12">
        <f t="shared" si="5"/>
        <v>0</v>
      </c>
      <c r="AF290" s="70">
        <f t="shared" si="6"/>
        <v>0</v>
      </c>
      <c r="AG290" s="76"/>
      <c r="AH290" s="76"/>
      <c r="AI290" s="76"/>
      <c r="AJ290" s="76"/>
      <c r="AK290" s="76"/>
      <c r="AL290" s="30"/>
      <c r="AM290" s="79"/>
      <c r="AN290" s="79"/>
      <c r="AO290" s="79"/>
    </row>
    <row r="291" hidden="1">
      <c r="A291" s="12" t="s">
        <v>74</v>
      </c>
      <c r="B291" s="64"/>
      <c r="C291" s="12" t="s">
        <v>248</v>
      </c>
      <c r="D291" s="12" t="str">
        <f>vlookup(C291,'List of Chargers'!$A$2:$B$5,2,FALSE)</f>
        <v>Roam Hub</v>
      </c>
      <c r="E291" s="12" t="s">
        <v>73</v>
      </c>
      <c r="F291" s="12" t="s">
        <v>75</v>
      </c>
      <c r="G291" s="12">
        <v>289.0</v>
      </c>
      <c r="H291" s="13" t="str">
        <f t="shared" si="1"/>
        <v>#RH-KE-A-289</v>
      </c>
      <c r="I291" s="13" t="str">
        <f t="shared" si="2"/>
        <v>FO-NBI-00#RH-KE-A-289</v>
      </c>
      <c r="J291" s="25"/>
      <c r="K291" s="66"/>
      <c r="L291" s="31"/>
      <c r="M291" s="31"/>
      <c r="N291" s="26" t="str">
        <f t="shared" si="3"/>
        <v>Roam Hub - </v>
      </c>
      <c r="O291" s="26" t="str">
        <f t="shared" si="4"/>
        <v>FO-NBI-00#RH-KE-A-289: Roam Hub - </v>
      </c>
      <c r="R291" s="53"/>
      <c r="S291" s="78" t="b">
        <v>0</v>
      </c>
      <c r="T291" s="78" t="b">
        <v>0</v>
      </c>
      <c r="U291" s="78" t="b">
        <v>0</v>
      </c>
      <c r="V291" s="30" t="b">
        <v>0</v>
      </c>
      <c r="W291" s="30" t="b">
        <v>0</v>
      </c>
      <c r="X291" s="30"/>
      <c r="Y291" s="30"/>
      <c r="Z291" s="30"/>
      <c r="AA291" s="30"/>
      <c r="AB291" s="30"/>
      <c r="AC291" s="50"/>
      <c r="AD291" s="30"/>
      <c r="AE291" s="12">
        <f t="shared" si="5"/>
        <v>0</v>
      </c>
      <c r="AF291" s="70">
        <f t="shared" si="6"/>
        <v>0</v>
      </c>
      <c r="AG291" s="76"/>
      <c r="AH291" s="76"/>
      <c r="AI291" s="76"/>
      <c r="AJ291" s="76"/>
      <c r="AK291" s="76"/>
      <c r="AL291" s="30"/>
      <c r="AM291" s="79"/>
      <c r="AN291" s="79"/>
      <c r="AO291" s="79"/>
    </row>
    <row r="292" hidden="1">
      <c r="A292" s="12" t="s">
        <v>74</v>
      </c>
      <c r="B292" s="64"/>
      <c r="C292" s="12" t="s">
        <v>248</v>
      </c>
      <c r="D292" s="12" t="str">
        <f>vlookup(C292,'List of Chargers'!$A$2:$B$5,2,FALSE)</f>
        <v>Roam Hub</v>
      </c>
      <c r="E292" s="12" t="s">
        <v>73</v>
      </c>
      <c r="F292" s="12" t="s">
        <v>75</v>
      </c>
      <c r="G292" s="12">
        <v>290.0</v>
      </c>
      <c r="H292" s="13" t="str">
        <f t="shared" si="1"/>
        <v>#RH-KE-A-290</v>
      </c>
      <c r="I292" s="13" t="str">
        <f t="shared" si="2"/>
        <v>FO-NBI-00#RH-KE-A-290</v>
      </c>
      <c r="J292" s="25"/>
      <c r="K292" s="66"/>
      <c r="L292" s="31"/>
      <c r="M292" s="31"/>
      <c r="N292" s="26" t="str">
        <f t="shared" si="3"/>
        <v>Roam Hub - </v>
      </c>
      <c r="O292" s="26" t="str">
        <f t="shared" si="4"/>
        <v>FO-NBI-00#RH-KE-A-290: Roam Hub - </v>
      </c>
      <c r="R292" s="53"/>
      <c r="S292" s="78" t="b">
        <v>0</v>
      </c>
      <c r="T292" s="78" t="b">
        <v>0</v>
      </c>
      <c r="U292" s="78" t="b">
        <v>0</v>
      </c>
      <c r="V292" s="30" t="b">
        <v>0</v>
      </c>
      <c r="W292" s="30" t="b">
        <v>0</v>
      </c>
      <c r="X292" s="30"/>
      <c r="Y292" s="30"/>
      <c r="Z292" s="30"/>
      <c r="AA292" s="30"/>
      <c r="AB292" s="30"/>
      <c r="AC292" s="50"/>
      <c r="AD292" s="30"/>
      <c r="AE292" s="12">
        <f t="shared" si="5"/>
        <v>0</v>
      </c>
      <c r="AF292" s="70">
        <f t="shared" si="6"/>
        <v>0</v>
      </c>
      <c r="AG292" s="76"/>
      <c r="AH292" s="76"/>
      <c r="AI292" s="76"/>
      <c r="AJ292" s="76"/>
      <c r="AK292" s="76"/>
      <c r="AL292" s="30"/>
      <c r="AM292" s="79"/>
      <c r="AN292" s="79"/>
      <c r="AO292" s="79"/>
    </row>
    <row r="293" hidden="1">
      <c r="A293" s="12" t="s">
        <v>74</v>
      </c>
      <c r="B293" s="64"/>
      <c r="C293" s="12" t="s">
        <v>248</v>
      </c>
      <c r="D293" s="12" t="str">
        <f>vlookup(C293,'List of Chargers'!$A$2:$B$5,2,FALSE)</f>
        <v>Roam Hub</v>
      </c>
      <c r="E293" s="12" t="s">
        <v>73</v>
      </c>
      <c r="F293" s="12" t="s">
        <v>75</v>
      </c>
      <c r="G293" s="12">
        <v>291.0</v>
      </c>
      <c r="H293" s="13" t="str">
        <f t="shared" si="1"/>
        <v>#RH-KE-A-291</v>
      </c>
      <c r="I293" s="13" t="str">
        <f t="shared" si="2"/>
        <v>FO-NBI-00#RH-KE-A-291</v>
      </c>
      <c r="J293" s="25"/>
      <c r="K293" s="66"/>
      <c r="L293" s="31"/>
      <c r="M293" s="31"/>
      <c r="N293" s="26" t="str">
        <f t="shared" si="3"/>
        <v>Roam Hub - </v>
      </c>
      <c r="O293" s="26" t="str">
        <f t="shared" si="4"/>
        <v>FO-NBI-00#RH-KE-A-291: Roam Hub - </v>
      </c>
      <c r="R293" s="53"/>
      <c r="S293" s="78" t="b">
        <v>0</v>
      </c>
      <c r="T293" s="78" t="b">
        <v>0</v>
      </c>
      <c r="U293" s="78" t="b">
        <v>0</v>
      </c>
      <c r="V293" s="30" t="b">
        <v>0</v>
      </c>
      <c r="W293" s="30" t="b">
        <v>0</v>
      </c>
      <c r="X293" s="30"/>
      <c r="Y293" s="30"/>
      <c r="Z293" s="30"/>
      <c r="AA293" s="30"/>
      <c r="AB293" s="30"/>
      <c r="AC293" s="50"/>
      <c r="AD293" s="30"/>
      <c r="AE293" s="12">
        <f t="shared" si="5"/>
        <v>0</v>
      </c>
      <c r="AF293" s="70">
        <f t="shared" si="6"/>
        <v>0</v>
      </c>
      <c r="AG293" s="76"/>
      <c r="AH293" s="76"/>
      <c r="AI293" s="76"/>
      <c r="AJ293" s="76"/>
      <c r="AK293" s="76"/>
      <c r="AL293" s="30"/>
      <c r="AM293" s="79"/>
      <c r="AN293" s="79"/>
      <c r="AO293" s="79"/>
    </row>
    <row r="294" hidden="1">
      <c r="A294" s="12" t="s">
        <v>74</v>
      </c>
      <c r="B294" s="64"/>
      <c r="C294" s="12" t="s">
        <v>248</v>
      </c>
      <c r="D294" s="12" t="str">
        <f>vlookup(C294,'List of Chargers'!$A$2:$B$5,2,FALSE)</f>
        <v>Roam Hub</v>
      </c>
      <c r="E294" s="12" t="s">
        <v>73</v>
      </c>
      <c r="F294" s="12" t="s">
        <v>75</v>
      </c>
      <c r="G294" s="12">
        <v>292.0</v>
      </c>
      <c r="H294" s="13" t="str">
        <f t="shared" si="1"/>
        <v>#RH-KE-A-292</v>
      </c>
      <c r="I294" s="13" t="str">
        <f t="shared" si="2"/>
        <v>FO-NBI-00#RH-KE-A-292</v>
      </c>
      <c r="J294" s="25"/>
      <c r="K294" s="66"/>
      <c r="L294" s="31"/>
      <c r="M294" s="31"/>
      <c r="N294" s="26" t="str">
        <f t="shared" si="3"/>
        <v>Roam Hub - </v>
      </c>
      <c r="O294" s="26" t="str">
        <f t="shared" si="4"/>
        <v>FO-NBI-00#RH-KE-A-292: Roam Hub - </v>
      </c>
      <c r="R294" s="53"/>
      <c r="S294" s="78" t="b">
        <v>0</v>
      </c>
      <c r="T294" s="78" t="b">
        <v>0</v>
      </c>
      <c r="U294" s="78" t="b">
        <v>0</v>
      </c>
      <c r="V294" s="30" t="b">
        <v>0</v>
      </c>
      <c r="W294" s="30" t="b">
        <v>0</v>
      </c>
      <c r="X294" s="30"/>
      <c r="Y294" s="30"/>
      <c r="Z294" s="30"/>
      <c r="AA294" s="30"/>
      <c r="AB294" s="30"/>
      <c r="AC294" s="50"/>
      <c r="AD294" s="30"/>
      <c r="AE294" s="12">
        <f t="shared" si="5"/>
        <v>0</v>
      </c>
      <c r="AF294" s="70">
        <f t="shared" si="6"/>
        <v>0</v>
      </c>
      <c r="AG294" s="76"/>
      <c r="AH294" s="76"/>
      <c r="AI294" s="76"/>
      <c r="AJ294" s="76"/>
      <c r="AK294" s="76"/>
      <c r="AL294" s="30"/>
      <c r="AM294" s="79"/>
      <c r="AN294" s="79"/>
      <c r="AO294" s="79"/>
    </row>
    <row r="295" hidden="1">
      <c r="A295" s="12" t="s">
        <v>74</v>
      </c>
      <c r="B295" s="64"/>
      <c r="C295" s="12" t="s">
        <v>248</v>
      </c>
      <c r="D295" s="12" t="str">
        <f>vlookup(C295,'List of Chargers'!$A$2:$B$5,2,FALSE)</f>
        <v>Roam Hub</v>
      </c>
      <c r="E295" s="12" t="s">
        <v>73</v>
      </c>
      <c r="F295" s="12" t="s">
        <v>75</v>
      </c>
      <c r="G295" s="12">
        <v>293.0</v>
      </c>
      <c r="H295" s="13" t="str">
        <f t="shared" si="1"/>
        <v>#RH-KE-A-293</v>
      </c>
      <c r="I295" s="13" t="str">
        <f t="shared" si="2"/>
        <v>FO-NBI-00#RH-KE-A-293</v>
      </c>
      <c r="J295" s="25"/>
      <c r="K295" s="66"/>
      <c r="L295" s="31"/>
      <c r="M295" s="31"/>
      <c r="N295" s="26" t="str">
        <f t="shared" si="3"/>
        <v>Roam Hub - </v>
      </c>
      <c r="O295" s="26" t="str">
        <f t="shared" si="4"/>
        <v>FO-NBI-00#RH-KE-A-293: Roam Hub - </v>
      </c>
      <c r="R295" s="53"/>
      <c r="S295" s="78" t="b">
        <v>0</v>
      </c>
      <c r="T295" s="78" t="b">
        <v>0</v>
      </c>
      <c r="U295" s="78" t="b">
        <v>0</v>
      </c>
      <c r="V295" s="30" t="b">
        <v>0</v>
      </c>
      <c r="W295" s="30" t="b">
        <v>0</v>
      </c>
      <c r="X295" s="30"/>
      <c r="Y295" s="30"/>
      <c r="Z295" s="30"/>
      <c r="AA295" s="30"/>
      <c r="AB295" s="30"/>
      <c r="AC295" s="50"/>
      <c r="AD295" s="30"/>
      <c r="AE295" s="12">
        <f t="shared" si="5"/>
        <v>0</v>
      </c>
      <c r="AF295" s="70">
        <f t="shared" si="6"/>
        <v>0</v>
      </c>
      <c r="AG295" s="76"/>
      <c r="AH295" s="76"/>
      <c r="AI295" s="76"/>
      <c r="AJ295" s="76"/>
      <c r="AK295" s="76"/>
      <c r="AL295" s="30"/>
      <c r="AM295" s="79"/>
      <c r="AN295" s="79"/>
      <c r="AO295" s="79"/>
    </row>
    <row r="296" hidden="1">
      <c r="A296" s="12" t="s">
        <v>74</v>
      </c>
      <c r="B296" s="64"/>
      <c r="C296" s="12" t="s">
        <v>248</v>
      </c>
      <c r="D296" s="12" t="str">
        <f>vlookup(C296,'List of Chargers'!$A$2:$B$5,2,FALSE)</f>
        <v>Roam Hub</v>
      </c>
      <c r="E296" s="12" t="s">
        <v>73</v>
      </c>
      <c r="F296" s="12" t="s">
        <v>75</v>
      </c>
      <c r="G296" s="12">
        <v>294.0</v>
      </c>
      <c r="H296" s="13" t="str">
        <f t="shared" si="1"/>
        <v>#RH-KE-A-294</v>
      </c>
      <c r="I296" s="13" t="str">
        <f t="shared" si="2"/>
        <v>FO-NBI-00#RH-KE-A-294</v>
      </c>
      <c r="J296" s="25"/>
      <c r="K296" s="66"/>
      <c r="L296" s="31"/>
      <c r="M296" s="31"/>
      <c r="N296" s="26" t="str">
        <f t="shared" si="3"/>
        <v>Roam Hub - </v>
      </c>
      <c r="O296" s="26" t="str">
        <f t="shared" si="4"/>
        <v>FO-NBI-00#RH-KE-A-294: Roam Hub - </v>
      </c>
      <c r="R296" s="53"/>
      <c r="S296" s="78" t="b">
        <v>0</v>
      </c>
      <c r="T296" s="78" t="b">
        <v>0</v>
      </c>
      <c r="U296" s="78" t="b">
        <v>0</v>
      </c>
      <c r="V296" s="30" t="b">
        <v>0</v>
      </c>
      <c r="W296" s="30" t="b">
        <v>0</v>
      </c>
      <c r="X296" s="30"/>
      <c r="Y296" s="30"/>
      <c r="Z296" s="30"/>
      <c r="AA296" s="30"/>
      <c r="AB296" s="30"/>
      <c r="AC296" s="50"/>
      <c r="AD296" s="30"/>
      <c r="AE296" s="12">
        <f t="shared" si="5"/>
        <v>0</v>
      </c>
      <c r="AF296" s="70">
        <f t="shared" si="6"/>
        <v>0</v>
      </c>
      <c r="AG296" s="76"/>
      <c r="AH296" s="76"/>
      <c r="AI296" s="76"/>
      <c r="AJ296" s="76"/>
      <c r="AK296" s="76"/>
      <c r="AL296" s="30"/>
      <c r="AM296" s="79"/>
      <c r="AN296" s="79"/>
      <c r="AO296" s="79"/>
    </row>
    <row r="297" hidden="1">
      <c r="A297" s="12" t="s">
        <v>74</v>
      </c>
      <c r="B297" s="64"/>
      <c r="C297" s="12" t="s">
        <v>248</v>
      </c>
      <c r="D297" s="12" t="str">
        <f>vlookup(C297,'List of Chargers'!$A$2:$B$5,2,FALSE)</f>
        <v>Roam Hub</v>
      </c>
      <c r="E297" s="12" t="s">
        <v>73</v>
      </c>
      <c r="F297" s="12" t="s">
        <v>75</v>
      </c>
      <c r="G297" s="12">
        <v>295.0</v>
      </c>
      <c r="H297" s="13" t="str">
        <f t="shared" si="1"/>
        <v>#RH-KE-A-295</v>
      </c>
      <c r="I297" s="13" t="str">
        <f t="shared" si="2"/>
        <v>FO-NBI-00#RH-KE-A-295</v>
      </c>
      <c r="J297" s="25"/>
      <c r="K297" s="66"/>
      <c r="L297" s="31"/>
      <c r="M297" s="31"/>
      <c r="N297" s="26" t="str">
        <f t="shared" si="3"/>
        <v>Roam Hub - </v>
      </c>
      <c r="O297" s="26" t="str">
        <f t="shared" si="4"/>
        <v>FO-NBI-00#RH-KE-A-295: Roam Hub - </v>
      </c>
      <c r="R297" s="53"/>
      <c r="S297" s="78" t="b">
        <v>0</v>
      </c>
      <c r="T297" s="78" t="b">
        <v>0</v>
      </c>
      <c r="U297" s="78" t="b">
        <v>0</v>
      </c>
      <c r="V297" s="30" t="b">
        <v>0</v>
      </c>
      <c r="W297" s="30" t="b">
        <v>0</v>
      </c>
      <c r="X297" s="30"/>
      <c r="Y297" s="30"/>
      <c r="Z297" s="30"/>
      <c r="AA297" s="30"/>
      <c r="AB297" s="30"/>
      <c r="AC297" s="50"/>
      <c r="AD297" s="30"/>
      <c r="AE297" s="12">
        <f t="shared" si="5"/>
        <v>0</v>
      </c>
      <c r="AF297" s="70">
        <f t="shared" si="6"/>
        <v>0</v>
      </c>
      <c r="AG297" s="76"/>
      <c r="AH297" s="76"/>
      <c r="AI297" s="76"/>
      <c r="AJ297" s="76"/>
      <c r="AK297" s="76"/>
      <c r="AL297" s="30"/>
      <c r="AM297" s="79"/>
      <c r="AN297" s="79"/>
      <c r="AO297" s="79"/>
    </row>
    <row r="298" hidden="1">
      <c r="A298" s="12" t="s">
        <v>74</v>
      </c>
      <c r="B298" s="64"/>
      <c r="C298" s="12" t="s">
        <v>248</v>
      </c>
      <c r="D298" s="12" t="str">
        <f>vlookup(C298,'List of Chargers'!$A$2:$B$5,2,FALSE)</f>
        <v>Roam Hub</v>
      </c>
      <c r="E298" s="12" t="s">
        <v>73</v>
      </c>
      <c r="F298" s="12" t="s">
        <v>75</v>
      </c>
      <c r="G298" s="12">
        <v>296.0</v>
      </c>
      <c r="H298" s="13" t="str">
        <f t="shared" si="1"/>
        <v>#RH-KE-A-296</v>
      </c>
      <c r="I298" s="13" t="str">
        <f t="shared" si="2"/>
        <v>FO-NBI-00#RH-KE-A-296</v>
      </c>
      <c r="J298" s="25"/>
      <c r="K298" s="66"/>
      <c r="L298" s="31"/>
      <c r="M298" s="31"/>
      <c r="N298" s="26" t="str">
        <f t="shared" si="3"/>
        <v>Roam Hub - </v>
      </c>
      <c r="O298" s="26" t="str">
        <f t="shared" si="4"/>
        <v>FO-NBI-00#RH-KE-A-296: Roam Hub - </v>
      </c>
      <c r="R298" s="53"/>
      <c r="S298" s="78" t="b">
        <v>0</v>
      </c>
      <c r="T298" s="78" t="b">
        <v>0</v>
      </c>
      <c r="U298" s="78" t="b">
        <v>0</v>
      </c>
      <c r="V298" s="30" t="b">
        <v>0</v>
      </c>
      <c r="W298" s="30" t="b">
        <v>0</v>
      </c>
      <c r="X298" s="30"/>
      <c r="Y298" s="30"/>
      <c r="Z298" s="30"/>
      <c r="AA298" s="30"/>
      <c r="AB298" s="30"/>
      <c r="AC298" s="50"/>
      <c r="AD298" s="30"/>
      <c r="AE298" s="12">
        <f t="shared" si="5"/>
        <v>0</v>
      </c>
      <c r="AF298" s="70">
        <f t="shared" si="6"/>
        <v>0</v>
      </c>
      <c r="AG298" s="76"/>
      <c r="AH298" s="76"/>
      <c r="AI298" s="76"/>
      <c r="AJ298" s="76"/>
      <c r="AK298" s="76"/>
      <c r="AL298" s="30"/>
      <c r="AM298" s="79"/>
      <c r="AN298" s="79"/>
      <c r="AO298" s="79"/>
    </row>
    <row r="299" hidden="1">
      <c r="A299" s="12" t="s">
        <v>74</v>
      </c>
      <c r="B299" s="64"/>
      <c r="C299" s="12" t="s">
        <v>248</v>
      </c>
      <c r="D299" s="12" t="str">
        <f>vlookup(C299,'List of Chargers'!$A$2:$B$5,2,FALSE)</f>
        <v>Roam Hub</v>
      </c>
      <c r="E299" s="12" t="s">
        <v>73</v>
      </c>
      <c r="F299" s="12" t="s">
        <v>75</v>
      </c>
      <c r="G299" s="12">
        <v>297.0</v>
      </c>
      <c r="H299" s="13" t="str">
        <f t="shared" si="1"/>
        <v>#RH-KE-A-297</v>
      </c>
      <c r="I299" s="13" t="str">
        <f t="shared" si="2"/>
        <v>FO-NBI-00#RH-KE-A-297</v>
      </c>
      <c r="J299" s="25"/>
      <c r="K299" s="66"/>
      <c r="L299" s="31"/>
      <c r="M299" s="31"/>
      <c r="N299" s="26" t="str">
        <f t="shared" si="3"/>
        <v>Roam Hub - </v>
      </c>
      <c r="O299" s="26" t="str">
        <f t="shared" si="4"/>
        <v>FO-NBI-00#RH-KE-A-297: Roam Hub - </v>
      </c>
      <c r="R299" s="53"/>
      <c r="S299" s="78" t="b">
        <v>0</v>
      </c>
      <c r="T299" s="78" t="b">
        <v>0</v>
      </c>
      <c r="U299" s="78" t="b">
        <v>0</v>
      </c>
      <c r="V299" s="30" t="b">
        <v>0</v>
      </c>
      <c r="W299" s="30" t="b">
        <v>0</v>
      </c>
      <c r="X299" s="30"/>
      <c r="Y299" s="30"/>
      <c r="Z299" s="30"/>
      <c r="AA299" s="30"/>
      <c r="AB299" s="30"/>
      <c r="AC299" s="50"/>
      <c r="AD299" s="30"/>
      <c r="AE299" s="12">
        <f t="shared" si="5"/>
        <v>0</v>
      </c>
      <c r="AF299" s="70">
        <f t="shared" si="6"/>
        <v>0</v>
      </c>
      <c r="AG299" s="76"/>
      <c r="AH299" s="76"/>
      <c r="AI299" s="76"/>
      <c r="AJ299" s="76"/>
      <c r="AK299" s="76"/>
      <c r="AL299" s="30"/>
      <c r="AM299" s="79"/>
      <c r="AN299" s="79"/>
      <c r="AO299" s="79"/>
    </row>
    <row r="300" hidden="1">
      <c r="A300" s="12" t="s">
        <v>74</v>
      </c>
      <c r="B300" s="64"/>
      <c r="C300" s="12" t="s">
        <v>248</v>
      </c>
      <c r="D300" s="12" t="str">
        <f>vlookup(C300,'List of Chargers'!$A$2:$B$5,2,FALSE)</f>
        <v>Roam Hub</v>
      </c>
      <c r="E300" s="12" t="s">
        <v>73</v>
      </c>
      <c r="F300" s="12" t="s">
        <v>75</v>
      </c>
      <c r="G300" s="12">
        <v>298.0</v>
      </c>
      <c r="H300" s="13" t="str">
        <f t="shared" si="1"/>
        <v>#RH-KE-A-298</v>
      </c>
      <c r="I300" s="13" t="str">
        <f t="shared" si="2"/>
        <v>FO-NBI-00#RH-KE-A-298</v>
      </c>
      <c r="J300" s="25"/>
      <c r="K300" s="66"/>
      <c r="L300" s="31"/>
      <c r="M300" s="31"/>
      <c r="N300" s="26" t="str">
        <f t="shared" si="3"/>
        <v>Roam Hub - </v>
      </c>
      <c r="O300" s="26" t="str">
        <f t="shared" si="4"/>
        <v>FO-NBI-00#RH-KE-A-298: Roam Hub - </v>
      </c>
      <c r="R300" s="53"/>
      <c r="S300" s="78" t="b">
        <v>0</v>
      </c>
      <c r="T300" s="78" t="b">
        <v>0</v>
      </c>
      <c r="U300" s="78" t="b">
        <v>0</v>
      </c>
      <c r="V300" s="30" t="b">
        <v>0</v>
      </c>
      <c r="W300" s="30" t="b">
        <v>0</v>
      </c>
      <c r="X300" s="30"/>
      <c r="Y300" s="30"/>
      <c r="Z300" s="30"/>
      <c r="AA300" s="30"/>
      <c r="AB300" s="30"/>
      <c r="AC300" s="50"/>
      <c r="AD300" s="30"/>
      <c r="AE300" s="12">
        <f t="shared" si="5"/>
        <v>0</v>
      </c>
      <c r="AF300" s="70">
        <f t="shared" si="6"/>
        <v>0</v>
      </c>
      <c r="AG300" s="76"/>
      <c r="AH300" s="76"/>
      <c r="AI300" s="76"/>
      <c r="AJ300" s="76"/>
      <c r="AK300" s="76"/>
      <c r="AL300" s="30"/>
      <c r="AM300" s="79"/>
      <c r="AN300" s="79"/>
      <c r="AO300" s="79"/>
    </row>
    <row r="301" hidden="1">
      <c r="A301" s="12" t="s">
        <v>74</v>
      </c>
      <c r="B301" s="64"/>
      <c r="C301" s="12" t="s">
        <v>248</v>
      </c>
      <c r="D301" s="12" t="str">
        <f>vlookup(C301,'List of Chargers'!$A$2:$B$5,2,FALSE)</f>
        <v>Roam Hub</v>
      </c>
      <c r="E301" s="12" t="s">
        <v>73</v>
      </c>
      <c r="F301" s="12" t="s">
        <v>75</v>
      </c>
      <c r="G301" s="12">
        <v>299.0</v>
      </c>
      <c r="H301" s="13" t="str">
        <f t="shared" si="1"/>
        <v>#RH-KE-A-299</v>
      </c>
      <c r="I301" s="13" t="str">
        <f t="shared" si="2"/>
        <v>FO-NBI-00#RH-KE-A-299</v>
      </c>
      <c r="J301" s="25"/>
      <c r="K301" s="66"/>
      <c r="L301" s="31"/>
      <c r="M301" s="31"/>
      <c r="N301" s="26" t="str">
        <f t="shared" si="3"/>
        <v>Roam Hub - </v>
      </c>
      <c r="O301" s="26" t="str">
        <f t="shared" si="4"/>
        <v>FO-NBI-00#RH-KE-A-299: Roam Hub - </v>
      </c>
      <c r="R301" s="53"/>
      <c r="S301" s="78" t="b">
        <v>0</v>
      </c>
      <c r="T301" s="78" t="b">
        <v>0</v>
      </c>
      <c r="U301" s="78" t="b">
        <v>0</v>
      </c>
      <c r="V301" s="30" t="b">
        <v>0</v>
      </c>
      <c r="W301" s="30" t="b">
        <v>0</v>
      </c>
      <c r="X301" s="30"/>
      <c r="Y301" s="30"/>
      <c r="Z301" s="30"/>
      <c r="AA301" s="30"/>
      <c r="AB301" s="30"/>
      <c r="AC301" s="50"/>
      <c r="AD301" s="30"/>
      <c r="AE301" s="12">
        <f t="shared" si="5"/>
        <v>0</v>
      </c>
      <c r="AF301" s="70">
        <f t="shared" si="6"/>
        <v>0</v>
      </c>
      <c r="AG301" s="76"/>
      <c r="AH301" s="76"/>
      <c r="AI301" s="76"/>
      <c r="AJ301" s="76"/>
      <c r="AK301" s="76"/>
      <c r="AL301" s="30"/>
      <c r="AM301" s="79"/>
      <c r="AN301" s="79"/>
      <c r="AO301" s="79"/>
    </row>
    <row r="302" hidden="1">
      <c r="A302" s="12" t="s">
        <v>74</v>
      </c>
      <c r="B302" s="64"/>
      <c r="C302" s="12" t="s">
        <v>248</v>
      </c>
      <c r="D302" s="12" t="str">
        <f>vlookup(C302,'List of Chargers'!$A$2:$B$5,2,FALSE)</f>
        <v>Roam Hub</v>
      </c>
      <c r="E302" s="12" t="s">
        <v>73</v>
      </c>
      <c r="F302" s="12" t="s">
        <v>75</v>
      </c>
      <c r="G302" s="12">
        <v>300.0</v>
      </c>
      <c r="H302" s="13" t="str">
        <f t="shared" si="1"/>
        <v>#RH-KE-A-300</v>
      </c>
      <c r="I302" s="13" t="str">
        <f t="shared" si="2"/>
        <v>FO-NBI-00#RH-KE-A-300</v>
      </c>
      <c r="J302" s="25"/>
      <c r="K302" s="66"/>
      <c r="L302" s="31"/>
      <c r="M302" s="31"/>
      <c r="N302" s="26" t="str">
        <f t="shared" si="3"/>
        <v>Roam Hub - </v>
      </c>
      <c r="O302" s="26" t="str">
        <f t="shared" si="4"/>
        <v>FO-NBI-00#RH-KE-A-300: Roam Hub - </v>
      </c>
      <c r="R302" s="53"/>
      <c r="S302" s="78" t="b">
        <v>0</v>
      </c>
      <c r="T302" s="78" t="b">
        <v>0</v>
      </c>
      <c r="U302" s="78" t="b">
        <v>0</v>
      </c>
      <c r="V302" s="30" t="b">
        <v>0</v>
      </c>
      <c r="W302" s="30" t="b">
        <v>0</v>
      </c>
      <c r="X302" s="30"/>
      <c r="Y302" s="30"/>
      <c r="Z302" s="30"/>
      <c r="AA302" s="30"/>
      <c r="AB302" s="30"/>
      <c r="AC302" s="50"/>
      <c r="AD302" s="30"/>
      <c r="AE302" s="12">
        <f t="shared" si="5"/>
        <v>0</v>
      </c>
      <c r="AF302" s="70">
        <f t="shared" si="6"/>
        <v>0</v>
      </c>
      <c r="AG302" s="76"/>
      <c r="AH302" s="76"/>
      <c r="AI302" s="76"/>
      <c r="AJ302" s="76"/>
      <c r="AK302" s="76"/>
      <c r="AL302" s="30"/>
      <c r="AM302" s="79"/>
      <c r="AN302" s="79"/>
      <c r="AO302" s="79"/>
    </row>
    <row r="303" hidden="1">
      <c r="A303" s="12" t="s">
        <v>74</v>
      </c>
      <c r="B303" s="64"/>
      <c r="C303" s="12" t="s">
        <v>248</v>
      </c>
      <c r="D303" s="12" t="str">
        <f>vlookup(C303,'List of Chargers'!$A$2:$B$5,2,FALSE)</f>
        <v>Roam Hub</v>
      </c>
      <c r="E303" s="12" t="s">
        <v>73</v>
      </c>
      <c r="F303" s="12" t="s">
        <v>75</v>
      </c>
      <c r="G303" s="12">
        <v>301.0</v>
      </c>
      <c r="H303" s="13" t="str">
        <f t="shared" si="1"/>
        <v>#RH-KE-A-301</v>
      </c>
      <c r="I303" s="13" t="str">
        <f t="shared" si="2"/>
        <v>FO-NBI-00#RH-KE-A-301</v>
      </c>
      <c r="J303" s="25"/>
      <c r="K303" s="66"/>
      <c r="L303" s="31"/>
      <c r="M303" s="31"/>
      <c r="N303" s="26" t="str">
        <f t="shared" si="3"/>
        <v>Roam Hub - </v>
      </c>
      <c r="O303" s="26" t="str">
        <f t="shared" si="4"/>
        <v>FO-NBI-00#RH-KE-A-301: Roam Hub - </v>
      </c>
      <c r="R303" s="53"/>
      <c r="S303" s="78" t="b">
        <v>0</v>
      </c>
      <c r="T303" s="78" t="b">
        <v>0</v>
      </c>
      <c r="U303" s="78" t="b">
        <v>0</v>
      </c>
      <c r="V303" s="30" t="b">
        <v>0</v>
      </c>
      <c r="W303" s="30" t="b">
        <v>0</v>
      </c>
      <c r="X303" s="30"/>
      <c r="Y303" s="30"/>
      <c r="Z303" s="30"/>
      <c r="AA303" s="30"/>
      <c r="AB303" s="30"/>
      <c r="AC303" s="50"/>
      <c r="AD303" s="30"/>
      <c r="AE303" s="12">
        <f t="shared" si="5"/>
        <v>0</v>
      </c>
      <c r="AF303" s="70">
        <f t="shared" si="6"/>
        <v>0</v>
      </c>
      <c r="AG303" s="76"/>
      <c r="AH303" s="76"/>
      <c r="AI303" s="76"/>
      <c r="AJ303" s="76"/>
      <c r="AK303" s="76"/>
      <c r="AL303" s="30"/>
      <c r="AM303" s="79"/>
      <c r="AN303" s="79"/>
      <c r="AO303" s="79"/>
    </row>
    <row r="304" hidden="1">
      <c r="A304" s="12" t="s">
        <v>74</v>
      </c>
      <c r="B304" s="64"/>
      <c r="C304" s="12" t="s">
        <v>248</v>
      </c>
      <c r="D304" s="12" t="str">
        <f>vlookup(C304,'List of Chargers'!$A$2:$B$5,2,FALSE)</f>
        <v>Roam Hub</v>
      </c>
      <c r="E304" s="12" t="s">
        <v>73</v>
      </c>
      <c r="F304" s="12" t="s">
        <v>75</v>
      </c>
      <c r="G304" s="12">
        <v>302.0</v>
      </c>
      <c r="H304" s="13" t="str">
        <f t="shared" si="1"/>
        <v>#RH-KE-A-302</v>
      </c>
      <c r="I304" s="13" t="str">
        <f t="shared" si="2"/>
        <v>FO-NBI-00#RH-KE-A-302</v>
      </c>
      <c r="J304" s="25"/>
      <c r="K304" s="66"/>
      <c r="L304" s="31"/>
      <c r="M304" s="31"/>
      <c r="N304" s="26" t="str">
        <f t="shared" si="3"/>
        <v>Roam Hub - </v>
      </c>
      <c r="O304" s="26" t="str">
        <f t="shared" si="4"/>
        <v>FO-NBI-00#RH-KE-A-302: Roam Hub - </v>
      </c>
      <c r="R304" s="53"/>
      <c r="S304" s="78" t="b">
        <v>0</v>
      </c>
      <c r="T304" s="78" t="b">
        <v>0</v>
      </c>
      <c r="U304" s="78" t="b">
        <v>0</v>
      </c>
      <c r="V304" s="30" t="b">
        <v>0</v>
      </c>
      <c r="W304" s="30" t="b">
        <v>0</v>
      </c>
      <c r="X304" s="30"/>
      <c r="Y304" s="30"/>
      <c r="Z304" s="30"/>
      <c r="AA304" s="30"/>
      <c r="AB304" s="30"/>
      <c r="AC304" s="50"/>
      <c r="AD304" s="30"/>
      <c r="AE304" s="12">
        <f t="shared" si="5"/>
        <v>0</v>
      </c>
      <c r="AF304" s="70">
        <f t="shared" si="6"/>
        <v>0</v>
      </c>
      <c r="AG304" s="76"/>
      <c r="AH304" s="76"/>
      <c r="AI304" s="76"/>
      <c r="AJ304" s="76"/>
      <c r="AK304" s="76"/>
      <c r="AL304" s="30"/>
      <c r="AM304" s="79"/>
      <c r="AN304" s="79"/>
      <c r="AO304" s="79"/>
    </row>
    <row r="305" hidden="1">
      <c r="A305" s="12" t="s">
        <v>74</v>
      </c>
      <c r="B305" s="64"/>
      <c r="C305" s="12" t="s">
        <v>248</v>
      </c>
      <c r="D305" s="12" t="str">
        <f>vlookup(C305,'List of Chargers'!$A$2:$B$5,2,FALSE)</f>
        <v>Roam Hub</v>
      </c>
      <c r="E305" s="12" t="s">
        <v>73</v>
      </c>
      <c r="F305" s="12" t="s">
        <v>75</v>
      </c>
      <c r="G305" s="12">
        <v>303.0</v>
      </c>
      <c r="H305" s="13" t="str">
        <f t="shared" si="1"/>
        <v>#RH-KE-A-303</v>
      </c>
      <c r="I305" s="13" t="str">
        <f t="shared" si="2"/>
        <v>FO-NBI-00#RH-KE-A-303</v>
      </c>
      <c r="J305" s="25"/>
      <c r="K305" s="66"/>
      <c r="L305" s="31"/>
      <c r="M305" s="31"/>
      <c r="N305" s="26" t="str">
        <f t="shared" si="3"/>
        <v>Roam Hub - </v>
      </c>
      <c r="O305" s="26" t="str">
        <f t="shared" si="4"/>
        <v>FO-NBI-00#RH-KE-A-303: Roam Hub - </v>
      </c>
      <c r="R305" s="53"/>
      <c r="S305" s="78" t="b">
        <v>0</v>
      </c>
      <c r="T305" s="78" t="b">
        <v>0</v>
      </c>
      <c r="U305" s="78" t="b">
        <v>0</v>
      </c>
      <c r="V305" s="30" t="b">
        <v>0</v>
      </c>
      <c r="W305" s="30" t="b">
        <v>0</v>
      </c>
      <c r="X305" s="30"/>
      <c r="Y305" s="30"/>
      <c r="Z305" s="30"/>
      <c r="AA305" s="30"/>
      <c r="AB305" s="30"/>
      <c r="AC305" s="50"/>
      <c r="AD305" s="30"/>
      <c r="AE305" s="12">
        <f t="shared" si="5"/>
        <v>0</v>
      </c>
      <c r="AF305" s="70">
        <f t="shared" si="6"/>
        <v>0</v>
      </c>
      <c r="AG305" s="76"/>
      <c r="AH305" s="76"/>
      <c r="AI305" s="76"/>
      <c r="AJ305" s="76"/>
      <c r="AK305" s="76"/>
      <c r="AL305" s="30"/>
      <c r="AM305" s="79"/>
      <c r="AN305" s="79"/>
      <c r="AO305" s="79"/>
    </row>
    <row r="306" hidden="1">
      <c r="A306" s="12" t="s">
        <v>74</v>
      </c>
      <c r="B306" s="64"/>
      <c r="C306" s="12" t="s">
        <v>248</v>
      </c>
      <c r="D306" s="12" t="str">
        <f>vlookup(C306,'List of Chargers'!$A$2:$B$5,2,FALSE)</f>
        <v>Roam Hub</v>
      </c>
      <c r="E306" s="12" t="s">
        <v>73</v>
      </c>
      <c r="F306" s="12" t="s">
        <v>75</v>
      </c>
      <c r="G306" s="12">
        <v>304.0</v>
      </c>
      <c r="H306" s="13" t="str">
        <f t="shared" si="1"/>
        <v>#RH-KE-A-304</v>
      </c>
      <c r="I306" s="13" t="str">
        <f t="shared" si="2"/>
        <v>FO-NBI-00#RH-KE-A-304</v>
      </c>
      <c r="J306" s="25"/>
      <c r="K306" s="66"/>
      <c r="L306" s="31"/>
      <c r="M306" s="31"/>
      <c r="N306" s="26" t="str">
        <f t="shared" si="3"/>
        <v>Roam Hub - </v>
      </c>
      <c r="O306" s="26" t="str">
        <f t="shared" si="4"/>
        <v>FO-NBI-00#RH-KE-A-304: Roam Hub - </v>
      </c>
      <c r="R306" s="53"/>
      <c r="S306" s="78" t="b">
        <v>0</v>
      </c>
      <c r="T306" s="78" t="b">
        <v>0</v>
      </c>
      <c r="U306" s="78" t="b">
        <v>0</v>
      </c>
      <c r="V306" s="30" t="b">
        <v>0</v>
      </c>
      <c r="W306" s="30" t="b">
        <v>0</v>
      </c>
      <c r="X306" s="30"/>
      <c r="Y306" s="30"/>
      <c r="Z306" s="30"/>
      <c r="AA306" s="30"/>
      <c r="AB306" s="30"/>
      <c r="AC306" s="50"/>
      <c r="AD306" s="30"/>
      <c r="AE306" s="12">
        <f t="shared" si="5"/>
        <v>0</v>
      </c>
      <c r="AF306" s="70">
        <f t="shared" si="6"/>
        <v>0</v>
      </c>
      <c r="AG306" s="76"/>
      <c r="AH306" s="76"/>
      <c r="AI306" s="76"/>
      <c r="AJ306" s="76"/>
      <c r="AK306" s="76"/>
      <c r="AL306" s="30"/>
      <c r="AM306" s="79"/>
      <c r="AN306" s="79"/>
      <c r="AO306" s="79"/>
    </row>
    <row r="307" hidden="1">
      <c r="A307" s="12" t="s">
        <v>74</v>
      </c>
      <c r="B307" s="64"/>
      <c r="C307" s="12" t="s">
        <v>248</v>
      </c>
      <c r="D307" s="12" t="str">
        <f>vlookup(C307,'List of Chargers'!$A$2:$B$5,2,FALSE)</f>
        <v>Roam Hub</v>
      </c>
      <c r="E307" s="12" t="s">
        <v>73</v>
      </c>
      <c r="F307" s="12" t="s">
        <v>75</v>
      </c>
      <c r="G307" s="12">
        <v>305.0</v>
      </c>
      <c r="H307" s="13" t="str">
        <f t="shared" si="1"/>
        <v>#RH-KE-A-305</v>
      </c>
      <c r="I307" s="13" t="str">
        <f t="shared" si="2"/>
        <v>FO-NBI-00#RH-KE-A-305</v>
      </c>
      <c r="J307" s="25"/>
      <c r="K307" s="66"/>
      <c r="L307" s="31"/>
      <c r="M307" s="31"/>
      <c r="N307" s="26" t="str">
        <f t="shared" si="3"/>
        <v>Roam Hub - </v>
      </c>
      <c r="O307" s="26" t="str">
        <f t="shared" si="4"/>
        <v>FO-NBI-00#RH-KE-A-305: Roam Hub - </v>
      </c>
      <c r="R307" s="53"/>
      <c r="S307" s="78" t="b">
        <v>0</v>
      </c>
      <c r="T307" s="78" t="b">
        <v>0</v>
      </c>
      <c r="U307" s="78" t="b">
        <v>0</v>
      </c>
      <c r="V307" s="30" t="b">
        <v>0</v>
      </c>
      <c r="W307" s="30" t="b">
        <v>0</v>
      </c>
      <c r="X307" s="30"/>
      <c r="Y307" s="30"/>
      <c r="Z307" s="30"/>
      <c r="AA307" s="30"/>
      <c r="AB307" s="30"/>
      <c r="AC307" s="50"/>
      <c r="AD307" s="30"/>
      <c r="AE307" s="12">
        <f t="shared" si="5"/>
        <v>0</v>
      </c>
      <c r="AF307" s="70">
        <f t="shared" si="6"/>
        <v>0</v>
      </c>
      <c r="AG307" s="76"/>
      <c r="AH307" s="76"/>
      <c r="AI307" s="76"/>
      <c r="AJ307" s="76"/>
      <c r="AK307" s="76"/>
      <c r="AL307" s="30"/>
      <c r="AM307" s="79"/>
      <c r="AN307" s="79"/>
      <c r="AO307" s="79"/>
    </row>
    <row r="308" hidden="1">
      <c r="A308" s="12" t="s">
        <v>74</v>
      </c>
      <c r="B308" s="64"/>
      <c r="C308" s="12" t="s">
        <v>248</v>
      </c>
      <c r="D308" s="12" t="str">
        <f>vlookup(C308,'List of Chargers'!$A$2:$B$5,2,FALSE)</f>
        <v>Roam Hub</v>
      </c>
      <c r="E308" s="12" t="s">
        <v>73</v>
      </c>
      <c r="F308" s="12" t="s">
        <v>75</v>
      </c>
      <c r="G308" s="12">
        <v>306.0</v>
      </c>
      <c r="H308" s="13" t="str">
        <f t="shared" si="1"/>
        <v>#RH-KE-A-306</v>
      </c>
      <c r="I308" s="13" t="str">
        <f t="shared" si="2"/>
        <v>FO-NBI-00#RH-KE-A-306</v>
      </c>
      <c r="J308" s="25"/>
      <c r="K308" s="66"/>
      <c r="L308" s="31"/>
      <c r="M308" s="31"/>
      <c r="N308" s="26" t="str">
        <f t="shared" si="3"/>
        <v>Roam Hub - </v>
      </c>
      <c r="O308" s="26" t="str">
        <f t="shared" si="4"/>
        <v>FO-NBI-00#RH-KE-A-306: Roam Hub - </v>
      </c>
      <c r="R308" s="53"/>
      <c r="S308" s="78" t="b">
        <v>0</v>
      </c>
      <c r="T308" s="78" t="b">
        <v>0</v>
      </c>
      <c r="U308" s="78" t="b">
        <v>0</v>
      </c>
      <c r="V308" s="30" t="b">
        <v>0</v>
      </c>
      <c r="W308" s="30" t="b">
        <v>0</v>
      </c>
      <c r="X308" s="30"/>
      <c r="Y308" s="30"/>
      <c r="Z308" s="30"/>
      <c r="AA308" s="30"/>
      <c r="AB308" s="30"/>
      <c r="AC308" s="50"/>
      <c r="AD308" s="30"/>
      <c r="AE308" s="12">
        <f t="shared" si="5"/>
        <v>0</v>
      </c>
      <c r="AF308" s="70">
        <f t="shared" si="6"/>
        <v>0</v>
      </c>
      <c r="AG308" s="76"/>
      <c r="AH308" s="76"/>
      <c r="AI308" s="76"/>
      <c r="AJ308" s="76"/>
      <c r="AK308" s="76"/>
      <c r="AL308" s="30"/>
      <c r="AM308" s="79"/>
      <c r="AN308" s="79"/>
      <c r="AO308" s="79"/>
    </row>
    <row r="309" hidden="1">
      <c r="A309" s="12" t="s">
        <v>74</v>
      </c>
      <c r="B309" s="64"/>
      <c r="C309" s="12" t="s">
        <v>248</v>
      </c>
      <c r="D309" s="12" t="str">
        <f>vlookup(C309,'List of Chargers'!$A$2:$B$5,2,FALSE)</f>
        <v>Roam Hub</v>
      </c>
      <c r="E309" s="12" t="s">
        <v>73</v>
      </c>
      <c r="F309" s="12" t="s">
        <v>75</v>
      </c>
      <c r="G309" s="12">
        <v>307.0</v>
      </c>
      <c r="H309" s="13" t="str">
        <f t="shared" si="1"/>
        <v>#RH-KE-A-307</v>
      </c>
      <c r="I309" s="13" t="str">
        <f t="shared" si="2"/>
        <v>FO-NBI-00#RH-KE-A-307</v>
      </c>
      <c r="J309" s="25"/>
      <c r="K309" s="66"/>
      <c r="L309" s="31"/>
      <c r="M309" s="31"/>
      <c r="N309" s="26" t="str">
        <f t="shared" si="3"/>
        <v>Roam Hub - </v>
      </c>
      <c r="O309" s="26" t="str">
        <f t="shared" si="4"/>
        <v>FO-NBI-00#RH-KE-A-307: Roam Hub - </v>
      </c>
      <c r="R309" s="53"/>
      <c r="S309" s="78" t="b">
        <v>0</v>
      </c>
      <c r="T309" s="78" t="b">
        <v>0</v>
      </c>
      <c r="U309" s="78" t="b">
        <v>0</v>
      </c>
      <c r="V309" s="30" t="b">
        <v>0</v>
      </c>
      <c r="W309" s="30" t="b">
        <v>0</v>
      </c>
      <c r="X309" s="30"/>
      <c r="Y309" s="30"/>
      <c r="Z309" s="30"/>
      <c r="AA309" s="30"/>
      <c r="AB309" s="30"/>
      <c r="AC309" s="50"/>
      <c r="AD309" s="30"/>
      <c r="AE309" s="12">
        <f t="shared" si="5"/>
        <v>0</v>
      </c>
      <c r="AF309" s="70">
        <f t="shared" si="6"/>
        <v>0</v>
      </c>
      <c r="AG309" s="76"/>
      <c r="AH309" s="76"/>
      <c r="AI309" s="76"/>
      <c r="AJ309" s="76"/>
      <c r="AK309" s="76"/>
      <c r="AL309" s="30"/>
      <c r="AM309" s="79"/>
      <c r="AN309" s="79"/>
      <c r="AO309" s="79"/>
    </row>
    <row r="310" hidden="1">
      <c r="A310" s="12" t="s">
        <v>74</v>
      </c>
      <c r="B310" s="64"/>
      <c r="C310" s="12" t="s">
        <v>248</v>
      </c>
      <c r="D310" s="12" t="str">
        <f>vlookup(C310,'List of Chargers'!$A$2:$B$5,2,FALSE)</f>
        <v>Roam Hub</v>
      </c>
      <c r="E310" s="12" t="s">
        <v>73</v>
      </c>
      <c r="F310" s="12" t="s">
        <v>75</v>
      </c>
      <c r="G310" s="12">
        <v>308.0</v>
      </c>
      <c r="H310" s="13" t="str">
        <f t="shared" si="1"/>
        <v>#RH-KE-A-308</v>
      </c>
      <c r="I310" s="13" t="str">
        <f t="shared" si="2"/>
        <v>FO-NBI-00#RH-KE-A-308</v>
      </c>
      <c r="J310" s="25"/>
      <c r="K310" s="66"/>
      <c r="L310" s="31"/>
      <c r="M310" s="31"/>
      <c r="N310" s="26" t="str">
        <f t="shared" si="3"/>
        <v>Roam Hub - </v>
      </c>
      <c r="O310" s="26" t="str">
        <f t="shared" si="4"/>
        <v>FO-NBI-00#RH-KE-A-308: Roam Hub - </v>
      </c>
      <c r="R310" s="53"/>
      <c r="S310" s="78" t="b">
        <v>0</v>
      </c>
      <c r="T310" s="78" t="b">
        <v>0</v>
      </c>
      <c r="U310" s="78" t="b">
        <v>0</v>
      </c>
      <c r="V310" s="30" t="b">
        <v>0</v>
      </c>
      <c r="W310" s="30" t="b">
        <v>0</v>
      </c>
      <c r="X310" s="30"/>
      <c r="Y310" s="30"/>
      <c r="Z310" s="30"/>
      <c r="AA310" s="30"/>
      <c r="AB310" s="30"/>
      <c r="AC310" s="50"/>
      <c r="AD310" s="30"/>
      <c r="AE310" s="12">
        <f t="shared" si="5"/>
        <v>0</v>
      </c>
      <c r="AF310" s="70">
        <f t="shared" si="6"/>
        <v>0</v>
      </c>
      <c r="AG310" s="76"/>
      <c r="AH310" s="76"/>
      <c r="AI310" s="76"/>
      <c r="AJ310" s="76"/>
      <c r="AK310" s="76"/>
      <c r="AL310" s="30"/>
      <c r="AM310" s="79"/>
      <c r="AN310" s="79"/>
      <c r="AO310" s="79"/>
    </row>
    <row r="311" hidden="1">
      <c r="A311" s="12" t="s">
        <v>74</v>
      </c>
      <c r="B311" s="64"/>
      <c r="C311" s="12" t="s">
        <v>248</v>
      </c>
      <c r="D311" s="12" t="str">
        <f>vlookup(C311,'List of Chargers'!$A$2:$B$5,2,FALSE)</f>
        <v>Roam Hub</v>
      </c>
      <c r="E311" s="12" t="s">
        <v>73</v>
      </c>
      <c r="F311" s="12" t="s">
        <v>75</v>
      </c>
      <c r="G311" s="12">
        <v>309.0</v>
      </c>
      <c r="H311" s="13" t="str">
        <f t="shared" si="1"/>
        <v>#RH-KE-A-309</v>
      </c>
      <c r="I311" s="13" t="str">
        <f t="shared" si="2"/>
        <v>FO-NBI-00#RH-KE-A-309</v>
      </c>
      <c r="J311" s="25"/>
      <c r="K311" s="66"/>
      <c r="L311" s="31"/>
      <c r="M311" s="31"/>
      <c r="N311" s="26" t="str">
        <f t="shared" si="3"/>
        <v>Roam Hub - </v>
      </c>
      <c r="O311" s="26" t="str">
        <f t="shared" si="4"/>
        <v>FO-NBI-00#RH-KE-A-309: Roam Hub - </v>
      </c>
      <c r="R311" s="53"/>
      <c r="S311" s="78" t="b">
        <v>0</v>
      </c>
      <c r="T311" s="78" t="b">
        <v>0</v>
      </c>
      <c r="U311" s="78" t="b">
        <v>0</v>
      </c>
      <c r="V311" s="30" t="b">
        <v>0</v>
      </c>
      <c r="W311" s="30" t="b">
        <v>0</v>
      </c>
      <c r="X311" s="30"/>
      <c r="Y311" s="30"/>
      <c r="Z311" s="30"/>
      <c r="AA311" s="30"/>
      <c r="AB311" s="30"/>
      <c r="AC311" s="50"/>
      <c r="AD311" s="30"/>
      <c r="AE311" s="12">
        <f t="shared" si="5"/>
        <v>0</v>
      </c>
      <c r="AF311" s="70">
        <f t="shared" si="6"/>
        <v>0</v>
      </c>
      <c r="AG311" s="76"/>
      <c r="AH311" s="76"/>
      <c r="AI311" s="76"/>
      <c r="AJ311" s="76"/>
      <c r="AK311" s="76"/>
      <c r="AL311" s="30"/>
      <c r="AM311" s="79"/>
      <c r="AN311" s="79"/>
      <c r="AO311" s="79"/>
    </row>
    <row r="312" hidden="1">
      <c r="A312" s="12" t="s">
        <v>74</v>
      </c>
      <c r="B312" s="64"/>
      <c r="C312" s="12" t="s">
        <v>248</v>
      </c>
      <c r="D312" s="12" t="str">
        <f>vlookup(C312,'List of Chargers'!$A$2:$B$5,2,FALSE)</f>
        <v>Roam Hub</v>
      </c>
      <c r="E312" s="12" t="s">
        <v>73</v>
      </c>
      <c r="F312" s="12" t="s">
        <v>75</v>
      </c>
      <c r="G312" s="12">
        <v>310.0</v>
      </c>
      <c r="H312" s="13" t="str">
        <f t="shared" si="1"/>
        <v>#RH-KE-A-310</v>
      </c>
      <c r="I312" s="13" t="str">
        <f t="shared" si="2"/>
        <v>FO-NBI-00#RH-KE-A-310</v>
      </c>
      <c r="J312" s="25"/>
      <c r="K312" s="66"/>
      <c r="L312" s="31"/>
      <c r="M312" s="31"/>
      <c r="N312" s="26" t="str">
        <f t="shared" si="3"/>
        <v>Roam Hub - </v>
      </c>
      <c r="O312" s="26" t="str">
        <f t="shared" si="4"/>
        <v>FO-NBI-00#RH-KE-A-310: Roam Hub - </v>
      </c>
      <c r="R312" s="53"/>
      <c r="S312" s="78" t="b">
        <v>0</v>
      </c>
      <c r="T312" s="78" t="b">
        <v>0</v>
      </c>
      <c r="U312" s="78" t="b">
        <v>0</v>
      </c>
      <c r="V312" s="30" t="b">
        <v>0</v>
      </c>
      <c r="W312" s="30" t="b">
        <v>0</v>
      </c>
      <c r="X312" s="30"/>
      <c r="Y312" s="30"/>
      <c r="Z312" s="30"/>
      <c r="AA312" s="30"/>
      <c r="AB312" s="30"/>
      <c r="AC312" s="50"/>
      <c r="AD312" s="30"/>
      <c r="AE312" s="12">
        <f t="shared" si="5"/>
        <v>0</v>
      </c>
      <c r="AF312" s="70">
        <f t="shared" si="6"/>
        <v>0</v>
      </c>
      <c r="AG312" s="76"/>
      <c r="AH312" s="76"/>
      <c r="AI312" s="76"/>
      <c r="AJ312" s="76"/>
      <c r="AK312" s="76"/>
      <c r="AL312" s="30"/>
      <c r="AM312" s="79"/>
      <c r="AN312" s="79"/>
      <c r="AO312" s="79"/>
    </row>
    <row r="313" hidden="1">
      <c r="A313" s="12" t="s">
        <v>74</v>
      </c>
      <c r="B313" s="64"/>
      <c r="C313" s="12" t="s">
        <v>248</v>
      </c>
      <c r="D313" s="12" t="str">
        <f>vlookup(C313,'List of Chargers'!$A$2:$B$5,2,FALSE)</f>
        <v>Roam Hub</v>
      </c>
      <c r="E313" s="12" t="s">
        <v>73</v>
      </c>
      <c r="F313" s="12" t="s">
        <v>75</v>
      </c>
      <c r="G313" s="12">
        <v>311.0</v>
      </c>
      <c r="H313" s="13" t="str">
        <f t="shared" si="1"/>
        <v>#RH-KE-A-311</v>
      </c>
      <c r="I313" s="13" t="str">
        <f t="shared" si="2"/>
        <v>FO-NBI-00#RH-KE-A-311</v>
      </c>
      <c r="J313" s="25"/>
      <c r="K313" s="66"/>
      <c r="L313" s="31"/>
      <c r="M313" s="31"/>
      <c r="N313" s="26" t="str">
        <f t="shared" si="3"/>
        <v>Roam Hub - </v>
      </c>
      <c r="O313" s="26" t="str">
        <f t="shared" si="4"/>
        <v>FO-NBI-00#RH-KE-A-311: Roam Hub - </v>
      </c>
      <c r="R313" s="53"/>
      <c r="S313" s="78" t="b">
        <v>0</v>
      </c>
      <c r="T313" s="78" t="b">
        <v>0</v>
      </c>
      <c r="U313" s="78" t="b">
        <v>0</v>
      </c>
      <c r="V313" s="30" t="b">
        <v>0</v>
      </c>
      <c r="W313" s="30" t="b">
        <v>0</v>
      </c>
      <c r="X313" s="30"/>
      <c r="Y313" s="30"/>
      <c r="Z313" s="30"/>
      <c r="AA313" s="30"/>
      <c r="AB313" s="30"/>
      <c r="AC313" s="50"/>
      <c r="AD313" s="30"/>
      <c r="AE313" s="12">
        <f t="shared" si="5"/>
        <v>0</v>
      </c>
      <c r="AF313" s="70">
        <f t="shared" si="6"/>
        <v>0</v>
      </c>
      <c r="AG313" s="76"/>
      <c r="AH313" s="76"/>
      <c r="AI313" s="76"/>
      <c r="AJ313" s="76"/>
      <c r="AK313" s="76"/>
      <c r="AL313" s="30"/>
      <c r="AM313" s="79"/>
      <c r="AN313" s="79"/>
      <c r="AO313" s="79"/>
    </row>
    <row r="314" hidden="1">
      <c r="A314" s="12" t="s">
        <v>74</v>
      </c>
      <c r="B314" s="64"/>
      <c r="C314" s="12" t="s">
        <v>248</v>
      </c>
      <c r="D314" s="12" t="str">
        <f>vlookup(C314,'List of Chargers'!$A$2:$B$5,2,FALSE)</f>
        <v>Roam Hub</v>
      </c>
      <c r="E314" s="12" t="s">
        <v>73</v>
      </c>
      <c r="F314" s="12" t="s">
        <v>75</v>
      </c>
      <c r="G314" s="12">
        <v>312.0</v>
      </c>
      <c r="H314" s="13" t="str">
        <f t="shared" si="1"/>
        <v>#RH-KE-A-312</v>
      </c>
      <c r="I314" s="13" t="str">
        <f t="shared" si="2"/>
        <v>FO-NBI-00#RH-KE-A-312</v>
      </c>
      <c r="J314" s="25"/>
      <c r="K314" s="66"/>
      <c r="L314" s="31"/>
      <c r="M314" s="31"/>
      <c r="N314" s="26" t="str">
        <f t="shared" si="3"/>
        <v>Roam Hub - </v>
      </c>
      <c r="O314" s="26" t="str">
        <f t="shared" si="4"/>
        <v>FO-NBI-00#RH-KE-A-312: Roam Hub - </v>
      </c>
      <c r="R314" s="53"/>
      <c r="S314" s="78" t="b">
        <v>0</v>
      </c>
      <c r="T314" s="78" t="b">
        <v>0</v>
      </c>
      <c r="U314" s="78" t="b">
        <v>0</v>
      </c>
      <c r="V314" s="30" t="b">
        <v>0</v>
      </c>
      <c r="W314" s="30" t="b">
        <v>0</v>
      </c>
      <c r="X314" s="30"/>
      <c r="Y314" s="30"/>
      <c r="Z314" s="30"/>
      <c r="AA314" s="30"/>
      <c r="AB314" s="30"/>
      <c r="AC314" s="50"/>
      <c r="AD314" s="30"/>
      <c r="AE314" s="12">
        <f t="shared" si="5"/>
        <v>0</v>
      </c>
      <c r="AF314" s="70">
        <f t="shared" si="6"/>
        <v>0</v>
      </c>
      <c r="AG314" s="76"/>
      <c r="AH314" s="76"/>
      <c r="AI314" s="76"/>
      <c r="AJ314" s="76"/>
      <c r="AK314" s="76"/>
      <c r="AL314" s="30"/>
      <c r="AM314" s="79"/>
      <c r="AN314" s="79"/>
      <c r="AO314" s="79"/>
    </row>
    <row r="315" hidden="1">
      <c r="A315" s="12" t="s">
        <v>74</v>
      </c>
      <c r="B315" s="64"/>
      <c r="C315" s="12" t="s">
        <v>248</v>
      </c>
      <c r="D315" s="12" t="str">
        <f>vlookup(C315,'List of Chargers'!$A$2:$B$5,2,FALSE)</f>
        <v>Roam Hub</v>
      </c>
      <c r="E315" s="12" t="s">
        <v>73</v>
      </c>
      <c r="F315" s="12" t="s">
        <v>75</v>
      </c>
      <c r="G315" s="12">
        <v>313.0</v>
      </c>
      <c r="H315" s="13" t="str">
        <f t="shared" si="1"/>
        <v>#RH-KE-A-313</v>
      </c>
      <c r="I315" s="13" t="str">
        <f t="shared" si="2"/>
        <v>FO-NBI-00#RH-KE-A-313</v>
      </c>
      <c r="J315" s="25"/>
      <c r="K315" s="66"/>
      <c r="L315" s="31"/>
      <c r="M315" s="31"/>
      <c r="N315" s="26" t="str">
        <f t="shared" si="3"/>
        <v>Roam Hub - </v>
      </c>
      <c r="O315" s="26" t="str">
        <f t="shared" si="4"/>
        <v>FO-NBI-00#RH-KE-A-313: Roam Hub - </v>
      </c>
      <c r="R315" s="53"/>
      <c r="S315" s="78" t="b">
        <v>0</v>
      </c>
      <c r="T315" s="78" t="b">
        <v>0</v>
      </c>
      <c r="U315" s="78" t="b">
        <v>0</v>
      </c>
      <c r="V315" s="30" t="b">
        <v>0</v>
      </c>
      <c r="W315" s="30" t="b">
        <v>0</v>
      </c>
      <c r="X315" s="30"/>
      <c r="Y315" s="30"/>
      <c r="Z315" s="30"/>
      <c r="AA315" s="30"/>
      <c r="AB315" s="30"/>
      <c r="AC315" s="50"/>
      <c r="AD315" s="30"/>
      <c r="AE315" s="12">
        <f t="shared" si="5"/>
        <v>0</v>
      </c>
      <c r="AF315" s="70">
        <f t="shared" si="6"/>
        <v>0</v>
      </c>
      <c r="AG315" s="76"/>
      <c r="AH315" s="76"/>
      <c r="AI315" s="76"/>
      <c r="AJ315" s="76"/>
      <c r="AK315" s="76"/>
      <c r="AL315" s="30"/>
      <c r="AM315" s="79"/>
      <c r="AN315" s="79"/>
      <c r="AO315" s="79"/>
    </row>
    <row r="316" hidden="1">
      <c r="A316" s="12" t="s">
        <v>74</v>
      </c>
      <c r="B316" s="64"/>
      <c r="C316" s="12" t="s">
        <v>248</v>
      </c>
      <c r="D316" s="12" t="str">
        <f>vlookup(C316,'List of Chargers'!$A$2:$B$5,2,FALSE)</f>
        <v>Roam Hub</v>
      </c>
      <c r="E316" s="12" t="s">
        <v>73</v>
      </c>
      <c r="F316" s="12" t="s">
        <v>75</v>
      </c>
      <c r="G316" s="12">
        <v>314.0</v>
      </c>
      <c r="H316" s="13" t="str">
        <f t="shared" si="1"/>
        <v>#RH-KE-A-314</v>
      </c>
      <c r="I316" s="13" t="str">
        <f t="shared" si="2"/>
        <v>FO-NBI-00#RH-KE-A-314</v>
      </c>
      <c r="J316" s="25"/>
      <c r="K316" s="66"/>
      <c r="L316" s="31"/>
      <c r="M316" s="31"/>
      <c r="N316" s="26" t="str">
        <f t="shared" si="3"/>
        <v>Roam Hub - </v>
      </c>
      <c r="O316" s="26" t="str">
        <f t="shared" si="4"/>
        <v>FO-NBI-00#RH-KE-A-314: Roam Hub - </v>
      </c>
      <c r="R316" s="53"/>
      <c r="S316" s="78" t="b">
        <v>0</v>
      </c>
      <c r="T316" s="78" t="b">
        <v>0</v>
      </c>
      <c r="U316" s="78" t="b">
        <v>0</v>
      </c>
      <c r="V316" s="30" t="b">
        <v>0</v>
      </c>
      <c r="W316" s="30" t="b">
        <v>0</v>
      </c>
      <c r="X316" s="30"/>
      <c r="Y316" s="30"/>
      <c r="Z316" s="30"/>
      <c r="AA316" s="30"/>
      <c r="AB316" s="30"/>
      <c r="AC316" s="50"/>
      <c r="AD316" s="30"/>
      <c r="AE316" s="12">
        <f t="shared" si="5"/>
        <v>0</v>
      </c>
      <c r="AF316" s="70">
        <f t="shared" si="6"/>
        <v>0</v>
      </c>
      <c r="AG316" s="76"/>
      <c r="AH316" s="76"/>
      <c r="AI316" s="76"/>
      <c r="AJ316" s="76"/>
      <c r="AK316" s="76"/>
      <c r="AL316" s="30"/>
      <c r="AM316" s="79"/>
      <c r="AN316" s="79"/>
      <c r="AO316" s="79"/>
    </row>
    <row r="317" hidden="1">
      <c r="A317" s="12" t="s">
        <v>74</v>
      </c>
      <c r="B317" s="64"/>
      <c r="C317" s="12" t="s">
        <v>248</v>
      </c>
      <c r="D317" s="12" t="str">
        <f>vlookup(C317,'List of Chargers'!$A$2:$B$5,2,FALSE)</f>
        <v>Roam Hub</v>
      </c>
      <c r="E317" s="12" t="s">
        <v>73</v>
      </c>
      <c r="F317" s="12" t="s">
        <v>75</v>
      </c>
      <c r="G317" s="12">
        <v>315.0</v>
      </c>
      <c r="H317" s="13" t="str">
        <f t="shared" si="1"/>
        <v>#RH-KE-A-315</v>
      </c>
      <c r="I317" s="13" t="str">
        <f t="shared" si="2"/>
        <v>FO-NBI-00#RH-KE-A-315</v>
      </c>
      <c r="J317" s="25"/>
      <c r="K317" s="66"/>
      <c r="L317" s="31"/>
      <c r="M317" s="31"/>
      <c r="N317" s="26" t="str">
        <f t="shared" si="3"/>
        <v>Roam Hub - </v>
      </c>
      <c r="O317" s="26" t="str">
        <f t="shared" si="4"/>
        <v>FO-NBI-00#RH-KE-A-315: Roam Hub - </v>
      </c>
      <c r="R317" s="53"/>
      <c r="S317" s="78" t="b">
        <v>0</v>
      </c>
      <c r="T317" s="78" t="b">
        <v>0</v>
      </c>
      <c r="U317" s="78" t="b">
        <v>0</v>
      </c>
      <c r="V317" s="30" t="b">
        <v>0</v>
      </c>
      <c r="W317" s="30" t="b">
        <v>0</v>
      </c>
      <c r="X317" s="30"/>
      <c r="Y317" s="30"/>
      <c r="Z317" s="30"/>
      <c r="AA317" s="30"/>
      <c r="AB317" s="30"/>
      <c r="AC317" s="50"/>
      <c r="AD317" s="30"/>
      <c r="AE317" s="12">
        <f t="shared" si="5"/>
        <v>0</v>
      </c>
      <c r="AF317" s="70">
        <f t="shared" si="6"/>
        <v>0</v>
      </c>
      <c r="AG317" s="76"/>
      <c r="AH317" s="76"/>
      <c r="AI317" s="76"/>
      <c r="AJ317" s="76"/>
      <c r="AK317" s="76"/>
      <c r="AL317" s="30"/>
      <c r="AM317" s="79"/>
      <c r="AN317" s="79"/>
      <c r="AO317" s="79"/>
    </row>
    <row r="318" hidden="1">
      <c r="A318" s="12" t="s">
        <v>74</v>
      </c>
      <c r="B318" s="64"/>
      <c r="C318" s="12" t="s">
        <v>248</v>
      </c>
      <c r="D318" s="12" t="str">
        <f>vlookup(C318,'List of Chargers'!$A$2:$B$5,2,FALSE)</f>
        <v>Roam Hub</v>
      </c>
      <c r="E318" s="12" t="s">
        <v>73</v>
      </c>
      <c r="F318" s="12" t="s">
        <v>75</v>
      </c>
      <c r="G318" s="12">
        <v>316.0</v>
      </c>
      <c r="H318" s="13" t="str">
        <f t="shared" si="1"/>
        <v>#RH-KE-A-316</v>
      </c>
      <c r="I318" s="13" t="str">
        <f t="shared" si="2"/>
        <v>FO-NBI-00#RH-KE-A-316</v>
      </c>
      <c r="J318" s="25"/>
      <c r="K318" s="66"/>
      <c r="L318" s="31"/>
      <c r="M318" s="31"/>
      <c r="N318" s="26" t="str">
        <f t="shared" si="3"/>
        <v>Roam Hub - </v>
      </c>
      <c r="O318" s="26" t="str">
        <f t="shared" si="4"/>
        <v>FO-NBI-00#RH-KE-A-316: Roam Hub - </v>
      </c>
      <c r="R318" s="53"/>
      <c r="S318" s="78" t="b">
        <v>0</v>
      </c>
      <c r="T318" s="78" t="b">
        <v>0</v>
      </c>
      <c r="U318" s="78" t="b">
        <v>0</v>
      </c>
      <c r="V318" s="30" t="b">
        <v>0</v>
      </c>
      <c r="W318" s="30" t="b">
        <v>0</v>
      </c>
      <c r="X318" s="30"/>
      <c r="Y318" s="30"/>
      <c r="Z318" s="30"/>
      <c r="AA318" s="30"/>
      <c r="AB318" s="30"/>
      <c r="AC318" s="50"/>
      <c r="AD318" s="30"/>
      <c r="AE318" s="12">
        <f t="shared" si="5"/>
        <v>0</v>
      </c>
      <c r="AF318" s="70">
        <f t="shared" si="6"/>
        <v>0</v>
      </c>
      <c r="AG318" s="76"/>
      <c r="AH318" s="76"/>
      <c r="AI318" s="76"/>
      <c r="AJ318" s="76"/>
      <c r="AK318" s="76"/>
      <c r="AL318" s="30"/>
      <c r="AM318" s="79"/>
      <c r="AN318" s="79"/>
      <c r="AO318" s="79"/>
    </row>
    <row r="319" hidden="1">
      <c r="A319" s="12" t="s">
        <v>74</v>
      </c>
      <c r="B319" s="64"/>
      <c r="C319" s="12" t="s">
        <v>248</v>
      </c>
      <c r="D319" s="12" t="str">
        <f>vlookup(C319,'List of Chargers'!$A$2:$B$5,2,FALSE)</f>
        <v>Roam Hub</v>
      </c>
      <c r="E319" s="12" t="s">
        <v>73</v>
      </c>
      <c r="F319" s="12" t="s">
        <v>75</v>
      </c>
      <c r="G319" s="12">
        <v>317.0</v>
      </c>
      <c r="H319" s="13" t="str">
        <f t="shared" si="1"/>
        <v>#RH-KE-A-317</v>
      </c>
      <c r="I319" s="13" t="str">
        <f t="shared" si="2"/>
        <v>FO-NBI-00#RH-KE-A-317</v>
      </c>
      <c r="J319" s="25"/>
      <c r="K319" s="66"/>
      <c r="L319" s="31"/>
      <c r="M319" s="31"/>
      <c r="N319" s="26" t="str">
        <f t="shared" si="3"/>
        <v>Roam Hub - </v>
      </c>
      <c r="O319" s="26" t="str">
        <f t="shared" si="4"/>
        <v>FO-NBI-00#RH-KE-A-317: Roam Hub - </v>
      </c>
      <c r="R319" s="53"/>
      <c r="S319" s="78" t="b">
        <v>0</v>
      </c>
      <c r="T319" s="78" t="b">
        <v>0</v>
      </c>
      <c r="U319" s="78" t="b">
        <v>0</v>
      </c>
      <c r="V319" s="30" t="b">
        <v>0</v>
      </c>
      <c r="W319" s="30" t="b">
        <v>0</v>
      </c>
      <c r="X319" s="30"/>
      <c r="Y319" s="30"/>
      <c r="Z319" s="30"/>
      <c r="AA319" s="30"/>
      <c r="AB319" s="30"/>
      <c r="AC319" s="50"/>
      <c r="AD319" s="30"/>
      <c r="AE319" s="12">
        <f t="shared" si="5"/>
        <v>0</v>
      </c>
      <c r="AF319" s="70">
        <f t="shared" si="6"/>
        <v>0</v>
      </c>
      <c r="AG319" s="76"/>
      <c r="AH319" s="76"/>
      <c r="AI319" s="76"/>
      <c r="AJ319" s="76"/>
      <c r="AK319" s="76"/>
      <c r="AL319" s="30"/>
      <c r="AM319" s="79"/>
      <c r="AN319" s="79"/>
      <c r="AO319" s="79"/>
    </row>
    <row r="320" hidden="1">
      <c r="A320" s="12" t="s">
        <v>74</v>
      </c>
      <c r="B320" s="64"/>
      <c r="C320" s="12" t="s">
        <v>248</v>
      </c>
      <c r="D320" s="12" t="str">
        <f>vlookup(C320,'List of Chargers'!$A$2:$B$5,2,FALSE)</f>
        <v>Roam Hub</v>
      </c>
      <c r="E320" s="12" t="s">
        <v>73</v>
      </c>
      <c r="F320" s="12" t="s">
        <v>75</v>
      </c>
      <c r="G320" s="12">
        <v>318.0</v>
      </c>
      <c r="H320" s="13" t="str">
        <f t="shared" si="1"/>
        <v>#RH-KE-A-318</v>
      </c>
      <c r="I320" s="13" t="str">
        <f t="shared" si="2"/>
        <v>FO-NBI-00#RH-KE-A-318</v>
      </c>
      <c r="J320" s="25"/>
      <c r="K320" s="66"/>
      <c r="L320" s="31"/>
      <c r="M320" s="31"/>
      <c r="N320" s="26" t="str">
        <f t="shared" si="3"/>
        <v>Roam Hub - </v>
      </c>
      <c r="O320" s="26" t="str">
        <f t="shared" si="4"/>
        <v>FO-NBI-00#RH-KE-A-318: Roam Hub - </v>
      </c>
      <c r="R320" s="53"/>
      <c r="S320" s="78" t="b">
        <v>0</v>
      </c>
      <c r="T320" s="78" t="b">
        <v>0</v>
      </c>
      <c r="U320" s="78" t="b">
        <v>0</v>
      </c>
      <c r="V320" s="30" t="b">
        <v>0</v>
      </c>
      <c r="W320" s="30" t="b">
        <v>0</v>
      </c>
      <c r="X320" s="30"/>
      <c r="Y320" s="30"/>
      <c r="Z320" s="30"/>
      <c r="AA320" s="30"/>
      <c r="AB320" s="30"/>
      <c r="AC320" s="50"/>
      <c r="AD320" s="30"/>
      <c r="AE320" s="12">
        <f t="shared" si="5"/>
        <v>0</v>
      </c>
      <c r="AF320" s="70">
        <f t="shared" si="6"/>
        <v>0</v>
      </c>
      <c r="AG320" s="76"/>
      <c r="AH320" s="76"/>
      <c r="AI320" s="76"/>
      <c r="AJ320" s="76"/>
      <c r="AK320" s="76"/>
      <c r="AL320" s="30"/>
      <c r="AM320" s="79"/>
      <c r="AN320" s="79"/>
      <c r="AO320" s="79"/>
    </row>
    <row r="321" hidden="1">
      <c r="A321" s="12" t="s">
        <v>74</v>
      </c>
      <c r="B321" s="64"/>
      <c r="C321" s="12" t="s">
        <v>248</v>
      </c>
      <c r="D321" s="12" t="str">
        <f>vlookup(C321,'List of Chargers'!$A$2:$B$5,2,FALSE)</f>
        <v>Roam Hub</v>
      </c>
      <c r="E321" s="12" t="s">
        <v>73</v>
      </c>
      <c r="F321" s="12" t="s">
        <v>75</v>
      </c>
      <c r="G321" s="12">
        <v>319.0</v>
      </c>
      <c r="H321" s="13" t="str">
        <f t="shared" si="1"/>
        <v>#RH-KE-A-319</v>
      </c>
      <c r="I321" s="13" t="str">
        <f t="shared" si="2"/>
        <v>FO-NBI-00#RH-KE-A-319</v>
      </c>
      <c r="J321" s="25"/>
      <c r="K321" s="66"/>
      <c r="L321" s="31"/>
      <c r="M321" s="31"/>
      <c r="N321" s="26" t="str">
        <f t="shared" si="3"/>
        <v>Roam Hub - </v>
      </c>
      <c r="O321" s="26" t="str">
        <f t="shared" si="4"/>
        <v>FO-NBI-00#RH-KE-A-319: Roam Hub - </v>
      </c>
      <c r="R321" s="53"/>
      <c r="S321" s="78" t="b">
        <v>0</v>
      </c>
      <c r="T321" s="78" t="b">
        <v>0</v>
      </c>
      <c r="U321" s="78" t="b">
        <v>0</v>
      </c>
      <c r="V321" s="30" t="b">
        <v>0</v>
      </c>
      <c r="W321" s="30" t="b">
        <v>0</v>
      </c>
      <c r="X321" s="30"/>
      <c r="Y321" s="30"/>
      <c r="Z321" s="30"/>
      <c r="AA321" s="30"/>
      <c r="AB321" s="30"/>
      <c r="AC321" s="50"/>
      <c r="AD321" s="30"/>
      <c r="AE321" s="12">
        <f t="shared" si="5"/>
        <v>0</v>
      </c>
      <c r="AF321" s="70">
        <f t="shared" si="6"/>
        <v>0</v>
      </c>
      <c r="AG321" s="76"/>
      <c r="AH321" s="76"/>
      <c r="AI321" s="76"/>
      <c r="AJ321" s="76"/>
      <c r="AK321" s="76"/>
      <c r="AL321" s="30"/>
      <c r="AM321" s="79"/>
      <c r="AN321" s="79"/>
      <c r="AO321" s="79"/>
    </row>
    <row r="322" hidden="1">
      <c r="A322" s="12" t="s">
        <v>74</v>
      </c>
      <c r="B322" s="64"/>
      <c r="C322" s="12" t="s">
        <v>248</v>
      </c>
      <c r="D322" s="12" t="str">
        <f>vlookup(C322,'List of Chargers'!$A$2:$B$5,2,FALSE)</f>
        <v>Roam Hub</v>
      </c>
      <c r="E322" s="12" t="s">
        <v>73</v>
      </c>
      <c r="F322" s="12" t="s">
        <v>75</v>
      </c>
      <c r="G322" s="12">
        <v>320.0</v>
      </c>
      <c r="H322" s="13" t="str">
        <f t="shared" si="1"/>
        <v>#RH-KE-A-320</v>
      </c>
      <c r="I322" s="13" t="str">
        <f t="shared" si="2"/>
        <v>FO-NBI-00#RH-KE-A-320</v>
      </c>
      <c r="J322" s="25"/>
      <c r="K322" s="66"/>
      <c r="L322" s="31"/>
      <c r="M322" s="31"/>
      <c r="N322" s="26" t="str">
        <f t="shared" si="3"/>
        <v>Roam Hub - </v>
      </c>
      <c r="O322" s="26" t="str">
        <f t="shared" si="4"/>
        <v>FO-NBI-00#RH-KE-A-320: Roam Hub - </v>
      </c>
      <c r="R322" s="53"/>
      <c r="S322" s="78" t="b">
        <v>0</v>
      </c>
      <c r="T322" s="78" t="b">
        <v>0</v>
      </c>
      <c r="U322" s="78" t="b">
        <v>0</v>
      </c>
      <c r="V322" s="30" t="b">
        <v>0</v>
      </c>
      <c r="W322" s="30" t="b">
        <v>0</v>
      </c>
      <c r="X322" s="30"/>
      <c r="Y322" s="30"/>
      <c r="Z322" s="30"/>
      <c r="AA322" s="30"/>
      <c r="AB322" s="30"/>
      <c r="AC322" s="50"/>
      <c r="AD322" s="30"/>
      <c r="AE322" s="12">
        <f t="shared" si="5"/>
        <v>0</v>
      </c>
      <c r="AF322" s="70">
        <f t="shared" si="6"/>
        <v>0</v>
      </c>
      <c r="AG322" s="76"/>
      <c r="AH322" s="76"/>
      <c r="AI322" s="76"/>
      <c r="AJ322" s="76"/>
      <c r="AK322" s="76"/>
      <c r="AL322" s="30"/>
      <c r="AM322" s="79"/>
      <c r="AN322" s="79"/>
      <c r="AO322" s="79"/>
    </row>
    <row r="323" hidden="1">
      <c r="A323" s="12" t="s">
        <v>74</v>
      </c>
      <c r="B323" s="64"/>
      <c r="C323" s="12" t="s">
        <v>248</v>
      </c>
      <c r="D323" s="12" t="str">
        <f>vlookup(C323,'List of Chargers'!$A$2:$B$5,2,FALSE)</f>
        <v>Roam Hub</v>
      </c>
      <c r="E323" s="12" t="s">
        <v>73</v>
      </c>
      <c r="F323" s="12" t="s">
        <v>75</v>
      </c>
      <c r="G323" s="12">
        <v>321.0</v>
      </c>
      <c r="H323" s="13" t="str">
        <f t="shared" si="1"/>
        <v>#RH-KE-A-321</v>
      </c>
      <c r="I323" s="13" t="str">
        <f t="shared" si="2"/>
        <v>FO-NBI-00#RH-KE-A-321</v>
      </c>
      <c r="J323" s="25"/>
      <c r="K323" s="66"/>
      <c r="L323" s="31"/>
      <c r="M323" s="31"/>
      <c r="N323" s="26" t="str">
        <f t="shared" si="3"/>
        <v>Roam Hub - </v>
      </c>
      <c r="O323" s="26" t="str">
        <f t="shared" si="4"/>
        <v>FO-NBI-00#RH-KE-A-321: Roam Hub - </v>
      </c>
      <c r="R323" s="53"/>
      <c r="S323" s="78" t="b">
        <v>0</v>
      </c>
      <c r="T323" s="78" t="b">
        <v>0</v>
      </c>
      <c r="U323" s="78" t="b">
        <v>0</v>
      </c>
      <c r="V323" s="30" t="b">
        <v>0</v>
      </c>
      <c r="W323" s="30" t="b">
        <v>0</v>
      </c>
      <c r="X323" s="30"/>
      <c r="Y323" s="30"/>
      <c r="Z323" s="30"/>
      <c r="AA323" s="30"/>
      <c r="AB323" s="30"/>
      <c r="AC323" s="50"/>
      <c r="AD323" s="30"/>
      <c r="AE323" s="12">
        <f t="shared" si="5"/>
        <v>0</v>
      </c>
      <c r="AF323" s="70">
        <f t="shared" si="6"/>
        <v>0</v>
      </c>
      <c r="AG323" s="76"/>
      <c r="AH323" s="76"/>
      <c r="AI323" s="76"/>
      <c r="AJ323" s="76"/>
      <c r="AK323" s="76"/>
      <c r="AL323" s="30"/>
      <c r="AM323" s="79"/>
      <c r="AN323" s="79"/>
      <c r="AO323" s="79"/>
    </row>
    <row r="324" hidden="1">
      <c r="A324" s="12" t="s">
        <v>74</v>
      </c>
      <c r="B324" s="64"/>
      <c r="C324" s="12" t="s">
        <v>248</v>
      </c>
      <c r="D324" s="12" t="str">
        <f>vlookup(C324,'List of Chargers'!$A$2:$B$5,2,FALSE)</f>
        <v>Roam Hub</v>
      </c>
      <c r="E324" s="12" t="s">
        <v>73</v>
      </c>
      <c r="F324" s="12" t="s">
        <v>75</v>
      </c>
      <c r="G324" s="12">
        <v>322.0</v>
      </c>
      <c r="H324" s="13" t="str">
        <f t="shared" si="1"/>
        <v>#RH-KE-A-322</v>
      </c>
      <c r="I324" s="13" t="str">
        <f t="shared" si="2"/>
        <v>FO-NBI-00#RH-KE-A-322</v>
      </c>
      <c r="J324" s="25"/>
      <c r="K324" s="66"/>
      <c r="L324" s="31"/>
      <c r="M324" s="31"/>
      <c r="N324" s="26" t="str">
        <f t="shared" si="3"/>
        <v>Roam Hub - </v>
      </c>
      <c r="O324" s="26" t="str">
        <f t="shared" si="4"/>
        <v>FO-NBI-00#RH-KE-A-322: Roam Hub - </v>
      </c>
      <c r="R324" s="53"/>
      <c r="S324" s="78" t="b">
        <v>0</v>
      </c>
      <c r="T324" s="78" t="b">
        <v>0</v>
      </c>
      <c r="U324" s="78" t="b">
        <v>0</v>
      </c>
      <c r="V324" s="30" t="b">
        <v>0</v>
      </c>
      <c r="W324" s="30" t="b">
        <v>0</v>
      </c>
      <c r="X324" s="30"/>
      <c r="Y324" s="30"/>
      <c r="Z324" s="30"/>
      <c r="AA324" s="30"/>
      <c r="AB324" s="30"/>
      <c r="AC324" s="50"/>
      <c r="AD324" s="30"/>
      <c r="AE324" s="12">
        <f t="shared" si="5"/>
        <v>0</v>
      </c>
      <c r="AF324" s="70">
        <f t="shared" si="6"/>
        <v>0</v>
      </c>
      <c r="AG324" s="76"/>
      <c r="AH324" s="76"/>
      <c r="AI324" s="76"/>
      <c r="AJ324" s="76"/>
      <c r="AK324" s="76"/>
      <c r="AL324" s="30"/>
      <c r="AM324" s="79"/>
      <c r="AN324" s="79"/>
      <c r="AO324" s="79"/>
    </row>
    <row r="325" hidden="1">
      <c r="A325" s="12" t="s">
        <v>74</v>
      </c>
      <c r="B325" s="64"/>
      <c r="C325" s="12" t="s">
        <v>248</v>
      </c>
      <c r="D325" s="12" t="str">
        <f>vlookup(C325,'List of Chargers'!$A$2:$B$5,2,FALSE)</f>
        <v>Roam Hub</v>
      </c>
      <c r="E325" s="12" t="s">
        <v>73</v>
      </c>
      <c r="F325" s="12" t="s">
        <v>75</v>
      </c>
      <c r="G325" s="12">
        <v>323.0</v>
      </c>
      <c r="H325" s="13" t="str">
        <f t="shared" si="1"/>
        <v>#RH-KE-A-323</v>
      </c>
      <c r="I325" s="13" t="str">
        <f t="shared" si="2"/>
        <v>FO-NBI-00#RH-KE-A-323</v>
      </c>
      <c r="J325" s="25"/>
      <c r="K325" s="66"/>
      <c r="L325" s="31"/>
      <c r="M325" s="31"/>
      <c r="N325" s="26" t="str">
        <f t="shared" si="3"/>
        <v>Roam Hub - </v>
      </c>
      <c r="O325" s="26" t="str">
        <f t="shared" si="4"/>
        <v>FO-NBI-00#RH-KE-A-323: Roam Hub - </v>
      </c>
      <c r="R325" s="53"/>
      <c r="S325" s="78" t="b">
        <v>0</v>
      </c>
      <c r="T325" s="78" t="b">
        <v>0</v>
      </c>
      <c r="U325" s="78" t="b">
        <v>0</v>
      </c>
      <c r="V325" s="30" t="b">
        <v>0</v>
      </c>
      <c r="W325" s="30" t="b">
        <v>0</v>
      </c>
      <c r="X325" s="30"/>
      <c r="Y325" s="30"/>
      <c r="Z325" s="30"/>
      <c r="AA325" s="30"/>
      <c r="AB325" s="30"/>
      <c r="AC325" s="50"/>
      <c r="AD325" s="30"/>
      <c r="AE325" s="12">
        <f t="shared" si="5"/>
        <v>0</v>
      </c>
      <c r="AF325" s="70">
        <f t="shared" si="6"/>
        <v>0</v>
      </c>
      <c r="AG325" s="76"/>
      <c r="AH325" s="76"/>
      <c r="AI325" s="76"/>
      <c r="AJ325" s="76"/>
      <c r="AK325" s="76"/>
      <c r="AL325" s="30"/>
      <c r="AM325" s="79"/>
      <c r="AN325" s="79"/>
      <c r="AO325" s="79"/>
    </row>
    <row r="326" hidden="1">
      <c r="A326" s="12" t="s">
        <v>74</v>
      </c>
      <c r="B326" s="64"/>
      <c r="C326" s="12" t="s">
        <v>248</v>
      </c>
      <c r="D326" s="12" t="str">
        <f>vlookup(C326,'List of Chargers'!$A$2:$B$5,2,FALSE)</f>
        <v>Roam Hub</v>
      </c>
      <c r="E326" s="12" t="s">
        <v>73</v>
      </c>
      <c r="F326" s="12" t="s">
        <v>75</v>
      </c>
      <c r="G326" s="12">
        <v>324.0</v>
      </c>
      <c r="H326" s="13" t="str">
        <f t="shared" si="1"/>
        <v>#RH-KE-A-324</v>
      </c>
      <c r="I326" s="13" t="str">
        <f t="shared" si="2"/>
        <v>FO-NBI-00#RH-KE-A-324</v>
      </c>
      <c r="J326" s="25"/>
      <c r="K326" s="66"/>
      <c r="L326" s="31"/>
      <c r="M326" s="31"/>
      <c r="N326" s="26" t="str">
        <f t="shared" si="3"/>
        <v>Roam Hub - </v>
      </c>
      <c r="O326" s="26" t="str">
        <f t="shared" si="4"/>
        <v>FO-NBI-00#RH-KE-A-324: Roam Hub - </v>
      </c>
      <c r="R326" s="53"/>
      <c r="S326" s="78" t="b">
        <v>0</v>
      </c>
      <c r="T326" s="78" t="b">
        <v>0</v>
      </c>
      <c r="U326" s="78" t="b">
        <v>0</v>
      </c>
      <c r="V326" s="30" t="b">
        <v>0</v>
      </c>
      <c r="W326" s="30" t="b">
        <v>0</v>
      </c>
      <c r="X326" s="30"/>
      <c r="Y326" s="30"/>
      <c r="Z326" s="30"/>
      <c r="AA326" s="30"/>
      <c r="AB326" s="30"/>
      <c r="AC326" s="50"/>
      <c r="AD326" s="30"/>
      <c r="AE326" s="12">
        <f t="shared" si="5"/>
        <v>0</v>
      </c>
      <c r="AF326" s="70">
        <f t="shared" si="6"/>
        <v>0</v>
      </c>
      <c r="AG326" s="76"/>
      <c r="AH326" s="76"/>
      <c r="AI326" s="76"/>
      <c r="AJ326" s="76"/>
      <c r="AK326" s="76"/>
      <c r="AL326" s="30"/>
      <c r="AM326" s="79"/>
      <c r="AN326" s="79"/>
      <c r="AO326" s="79"/>
    </row>
    <row r="327" hidden="1">
      <c r="A327" s="12" t="s">
        <v>74</v>
      </c>
      <c r="B327" s="64"/>
      <c r="C327" s="12" t="s">
        <v>248</v>
      </c>
      <c r="D327" s="12" t="str">
        <f>vlookup(C327,'List of Chargers'!$A$2:$B$5,2,FALSE)</f>
        <v>Roam Hub</v>
      </c>
      <c r="E327" s="12" t="s">
        <v>73</v>
      </c>
      <c r="F327" s="12" t="s">
        <v>75</v>
      </c>
      <c r="G327" s="12">
        <v>325.0</v>
      </c>
      <c r="H327" s="13" t="str">
        <f t="shared" si="1"/>
        <v>#RH-KE-A-325</v>
      </c>
      <c r="I327" s="13" t="str">
        <f t="shared" si="2"/>
        <v>FO-NBI-00#RH-KE-A-325</v>
      </c>
      <c r="J327" s="25"/>
      <c r="K327" s="66"/>
      <c r="L327" s="31"/>
      <c r="M327" s="31"/>
      <c r="N327" s="26" t="str">
        <f t="shared" si="3"/>
        <v>Roam Hub - </v>
      </c>
      <c r="O327" s="26" t="str">
        <f t="shared" si="4"/>
        <v>FO-NBI-00#RH-KE-A-325: Roam Hub - </v>
      </c>
      <c r="R327" s="53"/>
      <c r="S327" s="78" t="b">
        <v>0</v>
      </c>
      <c r="T327" s="78" t="b">
        <v>0</v>
      </c>
      <c r="U327" s="78" t="b">
        <v>0</v>
      </c>
      <c r="V327" s="30" t="b">
        <v>0</v>
      </c>
      <c r="W327" s="30" t="b">
        <v>0</v>
      </c>
      <c r="X327" s="30"/>
      <c r="Y327" s="30"/>
      <c r="Z327" s="30"/>
      <c r="AA327" s="30"/>
      <c r="AB327" s="30"/>
      <c r="AC327" s="50"/>
      <c r="AD327" s="30"/>
      <c r="AE327" s="12">
        <f t="shared" si="5"/>
        <v>0</v>
      </c>
      <c r="AF327" s="70">
        <f t="shared" si="6"/>
        <v>0</v>
      </c>
      <c r="AG327" s="76"/>
      <c r="AH327" s="76"/>
      <c r="AI327" s="76"/>
      <c r="AJ327" s="76"/>
      <c r="AK327" s="76"/>
      <c r="AL327" s="30"/>
      <c r="AM327" s="79"/>
      <c r="AN327" s="79"/>
      <c r="AO327" s="79"/>
    </row>
    <row r="328" hidden="1">
      <c r="A328" s="12" t="s">
        <v>74</v>
      </c>
      <c r="B328" s="64"/>
      <c r="C328" s="12" t="s">
        <v>248</v>
      </c>
      <c r="D328" s="12" t="str">
        <f>vlookup(C328,'List of Chargers'!$A$2:$B$5,2,FALSE)</f>
        <v>Roam Hub</v>
      </c>
      <c r="E328" s="12" t="s">
        <v>73</v>
      </c>
      <c r="F328" s="12" t="s">
        <v>75</v>
      </c>
      <c r="G328" s="12">
        <v>326.0</v>
      </c>
      <c r="H328" s="13" t="str">
        <f t="shared" si="1"/>
        <v>#RH-KE-A-326</v>
      </c>
      <c r="I328" s="13" t="str">
        <f t="shared" si="2"/>
        <v>FO-NBI-00#RH-KE-A-326</v>
      </c>
      <c r="J328" s="25"/>
      <c r="K328" s="66"/>
      <c r="L328" s="31"/>
      <c r="M328" s="31"/>
      <c r="N328" s="26" t="str">
        <f t="shared" si="3"/>
        <v>Roam Hub - </v>
      </c>
      <c r="O328" s="26" t="str">
        <f t="shared" si="4"/>
        <v>FO-NBI-00#RH-KE-A-326: Roam Hub - </v>
      </c>
      <c r="R328" s="53"/>
      <c r="S328" s="78" t="b">
        <v>0</v>
      </c>
      <c r="T328" s="78" t="b">
        <v>0</v>
      </c>
      <c r="U328" s="78" t="b">
        <v>0</v>
      </c>
      <c r="V328" s="30" t="b">
        <v>0</v>
      </c>
      <c r="W328" s="30" t="b">
        <v>0</v>
      </c>
      <c r="X328" s="30"/>
      <c r="Y328" s="30"/>
      <c r="Z328" s="30"/>
      <c r="AA328" s="30"/>
      <c r="AB328" s="30"/>
      <c r="AC328" s="50"/>
      <c r="AD328" s="30"/>
      <c r="AE328" s="12">
        <f t="shared" si="5"/>
        <v>0</v>
      </c>
      <c r="AF328" s="70">
        <f t="shared" si="6"/>
        <v>0</v>
      </c>
      <c r="AG328" s="76"/>
      <c r="AH328" s="76"/>
      <c r="AI328" s="76"/>
      <c r="AJ328" s="76"/>
      <c r="AK328" s="76"/>
      <c r="AL328" s="30"/>
      <c r="AM328" s="79"/>
      <c r="AN328" s="79"/>
      <c r="AO328" s="79"/>
    </row>
    <row r="329" hidden="1">
      <c r="A329" s="12" t="s">
        <v>74</v>
      </c>
      <c r="B329" s="64"/>
      <c r="C329" s="12" t="s">
        <v>248</v>
      </c>
      <c r="D329" s="12" t="str">
        <f>vlookup(C329,'List of Chargers'!$A$2:$B$5,2,FALSE)</f>
        <v>Roam Hub</v>
      </c>
      <c r="E329" s="12" t="s">
        <v>73</v>
      </c>
      <c r="F329" s="12" t="s">
        <v>75</v>
      </c>
      <c r="G329" s="12">
        <v>327.0</v>
      </c>
      <c r="H329" s="13" t="str">
        <f t="shared" si="1"/>
        <v>#RH-KE-A-327</v>
      </c>
      <c r="I329" s="13" t="str">
        <f t="shared" si="2"/>
        <v>FO-NBI-00#RH-KE-A-327</v>
      </c>
      <c r="J329" s="25"/>
      <c r="K329" s="66"/>
      <c r="L329" s="31"/>
      <c r="M329" s="31"/>
      <c r="N329" s="26" t="str">
        <f t="shared" si="3"/>
        <v>Roam Hub - </v>
      </c>
      <c r="O329" s="26" t="str">
        <f t="shared" si="4"/>
        <v>FO-NBI-00#RH-KE-A-327: Roam Hub - </v>
      </c>
      <c r="R329" s="53"/>
      <c r="S329" s="78" t="b">
        <v>0</v>
      </c>
      <c r="T329" s="78" t="b">
        <v>0</v>
      </c>
      <c r="U329" s="78" t="b">
        <v>0</v>
      </c>
      <c r="V329" s="30" t="b">
        <v>0</v>
      </c>
      <c r="W329" s="30" t="b">
        <v>0</v>
      </c>
      <c r="X329" s="30"/>
      <c r="Y329" s="30"/>
      <c r="Z329" s="30"/>
      <c r="AA329" s="30"/>
      <c r="AB329" s="30"/>
      <c r="AC329" s="50"/>
      <c r="AD329" s="30"/>
      <c r="AE329" s="12">
        <f t="shared" si="5"/>
        <v>0</v>
      </c>
      <c r="AF329" s="70">
        <f t="shared" si="6"/>
        <v>0</v>
      </c>
      <c r="AG329" s="76"/>
      <c r="AH329" s="76"/>
      <c r="AI329" s="76"/>
      <c r="AJ329" s="76"/>
      <c r="AK329" s="76"/>
      <c r="AL329" s="30"/>
      <c r="AM329" s="79"/>
      <c r="AN329" s="79"/>
      <c r="AO329" s="79"/>
    </row>
    <row r="330" hidden="1">
      <c r="A330" s="12" t="s">
        <v>74</v>
      </c>
      <c r="B330" s="64"/>
      <c r="C330" s="12" t="s">
        <v>248</v>
      </c>
      <c r="D330" s="12" t="str">
        <f>vlookup(C330,'List of Chargers'!$A$2:$B$5,2,FALSE)</f>
        <v>Roam Hub</v>
      </c>
      <c r="E330" s="12" t="s">
        <v>73</v>
      </c>
      <c r="F330" s="12" t="s">
        <v>75</v>
      </c>
      <c r="G330" s="12">
        <v>328.0</v>
      </c>
      <c r="H330" s="13" t="str">
        <f t="shared" si="1"/>
        <v>#RH-KE-A-328</v>
      </c>
      <c r="I330" s="13" t="str">
        <f t="shared" si="2"/>
        <v>FO-NBI-00#RH-KE-A-328</v>
      </c>
      <c r="J330" s="25"/>
      <c r="K330" s="66"/>
      <c r="L330" s="31"/>
      <c r="M330" s="31"/>
      <c r="N330" s="26" t="str">
        <f t="shared" si="3"/>
        <v>Roam Hub - </v>
      </c>
      <c r="O330" s="26" t="str">
        <f t="shared" si="4"/>
        <v>FO-NBI-00#RH-KE-A-328: Roam Hub - </v>
      </c>
      <c r="R330" s="53"/>
      <c r="S330" s="78" t="b">
        <v>0</v>
      </c>
      <c r="T330" s="78" t="b">
        <v>0</v>
      </c>
      <c r="U330" s="78" t="b">
        <v>0</v>
      </c>
      <c r="V330" s="30" t="b">
        <v>0</v>
      </c>
      <c r="W330" s="30" t="b">
        <v>0</v>
      </c>
      <c r="X330" s="30"/>
      <c r="Y330" s="30"/>
      <c r="Z330" s="30"/>
      <c r="AA330" s="30"/>
      <c r="AB330" s="30"/>
      <c r="AC330" s="50"/>
      <c r="AD330" s="30"/>
      <c r="AE330" s="12">
        <f t="shared" si="5"/>
        <v>0</v>
      </c>
      <c r="AF330" s="70">
        <f t="shared" si="6"/>
        <v>0</v>
      </c>
      <c r="AG330" s="76"/>
      <c r="AH330" s="76"/>
      <c r="AI330" s="76"/>
      <c r="AJ330" s="76"/>
      <c r="AK330" s="76"/>
      <c r="AL330" s="30"/>
      <c r="AM330" s="79"/>
      <c r="AN330" s="79"/>
      <c r="AO330" s="79"/>
    </row>
    <row r="331" hidden="1">
      <c r="A331" s="12" t="s">
        <v>74</v>
      </c>
      <c r="B331" s="64"/>
      <c r="C331" s="12" t="s">
        <v>248</v>
      </c>
      <c r="D331" s="12" t="str">
        <f>vlookup(C331,'List of Chargers'!$A$2:$B$5,2,FALSE)</f>
        <v>Roam Hub</v>
      </c>
      <c r="E331" s="12" t="s">
        <v>73</v>
      </c>
      <c r="F331" s="12" t="s">
        <v>75</v>
      </c>
      <c r="G331" s="12">
        <v>329.0</v>
      </c>
      <c r="H331" s="13" t="str">
        <f t="shared" si="1"/>
        <v>#RH-KE-A-329</v>
      </c>
      <c r="I331" s="13" t="str">
        <f t="shared" si="2"/>
        <v>FO-NBI-00#RH-KE-A-329</v>
      </c>
      <c r="J331" s="25"/>
      <c r="K331" s="66"/>
      <c r="L331" s="31"/>
      <c r="M331" s="31"/>
      <c r="N331" s="26" t="str">
        <f t="shared" si="3"/>
        <v>Roam Hub - </v>
      </c>
      <c r="O331" s="26" t="str">
        <f t="shared" si="4"/>
        <v>FO-NBI-00#RH-KE-A-329: Roam Hub - </v>
      </c>
      <c r="R331" s="53"/>
      <c r="S331" s="78" t="b">
        <v>0</v>
      </c>
      <c r="T331" s="78" t="b">
        <v>0</v>
      </c>
      <c r="U331" s="78" t="b">
        <v>0</v>
      </c>
      <c r="V331" s="30" t="b">
        <v>0</v>
      </c>
      <c r="W331" s="30" t="b">
        <v>0</v>
      </c>
      <c r="X331" s="30"/>
      <c r="Y331" s="30"/>
      <c r="Z331" s="30"/>
      <c r="AA331" s="30"/>
      <c r="AB331" s="30"/>
      <c r="AC331" s="50"/>
      <c r="AD331" s="30"/>
      <c r="AE331" s="12">
        <f t="shared" si="5"/>
        <v>0</v>
      </c>
      <c r="AF331" s="70">
        <f t="shared" si="6"/>
        <v>0</v>
      </c>
      <c r="AG331" s="76"/>
      <c r="AH331" s="76"/>
      <c r="AI331" s="76"/>
      <c r="AJ331" s="76"/>
      <c r="AK331" s="76"/>
      <c r="AL331" s="30"/>
      <c r="AM331" s="79"/>
      <c r="AN331" s="79"/>
      <c r="AO331" s="79"/>
    </row>
    <row r="332" hidden="1">
      <c r="A332" s="12" t="s">
        <v>74</v>
      </c>
      <c r="B332" s="64"/>
      <c r="C332" s="12" t="s">
        <v>248</v>
      </c>
      <c r="D332" s="12" t="str">
        <f>vlookup(C332,'List of Chargers'!$A$2:$B$5,2,FALSE)</f>
        <v>Roam Hub</v>
      </c>
      <c r="E332" s="12" t="s">
        <v>73</v>
      </c>
      <c r="F332" s="12" t="s">
        <v>75</v>
      </c>
      <c r="G332" s="12">
        <v>330.0</v>
      </c>
      <c r="H332" s="13" t="str">
        <f t="shared" si="1"/>
        <v>#RH-KE-A-330</v>
      </c>
      <c r="I332" s="13" t="str">
        <f t="shared" si="2"/>
        <v>FO-NBI-00#RH-KE-A-330</v>
      </c>
      <c r="J332" s="25"/>
      <c r="K332" s="66"/>
      <c r="L332" s="31"/>
      <c r="M332" s="31"/>
      <c r="N332" s="26" t="str">
        <f t="shared" si="3"/>
        <v>Roam Hub - </v>
      </c>
      <c r="O332" s="26" t="str">
        <f t="shared" si="4"/>
        <v>FO-NBI-00#RH-KE-A-330: Roam Hub - </v>
      </c>
      <c r="R332" s="53"/>
      <c r="S332" s="78" t="b">
        <v>0</v>
      </c>
      <c r="T332" s="78" t="b">
        <v>0</v>
      </c>
      <c r="U332" s="78" t="b">
        <v>0</v>
      </c>
      <c r="V332" s="30" t="b">
        <v>0</v>
      </c>
      <c r="W332" s="30" t="b">
        <v>0</v>
      </c>
      <c r="X332" s="30"/>
      <c r="Y332" s="30"/>
      <c r="Z332" s="30"/>
      <c r="AA332" s="30"/>
      <c r="AB332" s="30"/>
      <c r="AC332" s="50"/>
      <c r="AD332" s="30"/>
      <c r="AE332" s="12">
        <f t="shared" si="5"/>
        <v>0</v>
      </c>
      <c r="AF332" s="70">
        <f t="shared" si="6"/>
        <v>0</v>
      </c>
      <c r="AG332" s="76"/>
      <c r="AH332" s="76"/>
      <c r="AI332" s="76"/>
      <c r="AJ332" s="76"/>
      <c r="AK332" s="76"/>
      <c r="AL332" s="30"/>
      <c r="AM332" s="79"/>
      <c r="AN332" s="79"/>
      <c r="AO332" s="79"/>
    </row>
    <row r="333" hidden="1">
      <c r="A333" s="12" t="s">
        <v>74</v>
      </c>
      <c r="B333" s="64"/>
      <c r="C333" s="12" t="s">
        <v>248</v>
      </c>
      <c r="D333" s="12" t="str">
        <f>vlookup(C333,'List of Chargers'!$A$2:$B$5,2,FALSE)</f>
        <v>Roam Hub</v>
      </c>
      <c r="E333" s="12" t="s">
        <v>73</v>
      </c>
      <c r="F333" s="12" t="s">
        <v>75</v>
      </c>
      <c r="G333" s="12">
        <v>331.0</v>
      </c>
      <c r="H333" s="13" t="str">
        <f t="shared" si="1"/>
        <v>#RH-KE-A-331</v>
      </c>
      <c r="I333" s="13" t="str">
        <f t="shared" si="2"/>
        <v>FO-NBI-00#RH-KE-A-331</v>
      </c>
      <c r="J333" s="25"/>
      <c r="K333" s="66"/>
      <c r="L333" s="31"/>
      <c r="M333" s="31"/>
      <c r="N333" s="26" t="str">
        <f t="shared" si="3"/>
        <v>Roam Hub - </v>
      </c>
      <c r="O333" s="26" t="str">
        <f t="shared" si="4"/>
        <v>FO-NBI-00#RH-KE-A-331: Roam Hub - </v>
      </c>
      <c r="R333" s="53"/>
      <c r="S333" s="78" t="b">
        <v>0</v>
      </c>
      <c r="T333" s="78" t="b">
        <v>0</v>
      </c>
      <c r="U333" s="78" t="b">
        <v>0</v>
      </c>
      <c r="V333" s="30" t="b">
        <v>0</v>
      </c>
      <c r="W333" s="30" t="b">
        <v>0</v>
      </c>
      <c r="X333" s="30"/>
      <c r="Y333" s="30"/>
      <c r="Z333" s="30"/>
      <c r="AA333" s="30"/>
      <c r="AB333" s="30"/>
      <c r="AC333" s="50"/>
      <c r="AD333" s="30"/>
      <c r="AE333" s="12">
        <f t="shared" si="5"/>
        <v>0</v>
      </c>
      <c r="AF333" s="70">
        <f t="shared" si="6"/>
        <v>0</v>
      </c>
      <c r="AG333" s="76"/>
      <c r="AH333" s="76"/>
      <c r="AI333" s="76"/>
      <c r="AJ333" s="76"/>
      <c r="AK333" s="76"/>
      <c r="AL333" s="30"/>
      <c r="AM333" s="79"/>
      <c r="AN333" s="79"/>
      <c r="AO333" s="79"/>
    </row>
    <row r="334" hidden="1">
      <c r="A334" s="12" t="s">
        <v>74</v>
      </c>
      <c r="B334" s="64"/>
      <c r="C334" s="12" t="s">
        <v>248</v>
      </c>
      <c r="D334" s="12" t="str">
        <f>vlookup(C334,'List of Chargers'!$A$2:$B$5,2,FALSE)</f>
        <v>Roam Hub</v>
      </c>
      <c r="E334" s="12" t="s">
        <v>73</v>
      </c>
      <c r="F334" s="12" t="s">
        <v>75</v>
      </c>
      <c r="G334" s="12">
        <v>332.0</v>
      </c>
      <c r="H334" s="13" t="str">
        <f t="shared" si="1"/>
        <v>#RH-KE-A-332</v>
      </c>
      <c r="I334" s="13" t="str">
        <f t="shared" si="2"/>
        <v>FO-NBI-00#RH-KE-A-332</v>
      </c>
      <c r="J334" s="25"/>
      <c r="K334" s="66"/>
      <c r="L334" s="31"/>
      <c r="M334" s="31"/>
      <c r="N334" s="26" t="str">
        <f t="shared" si="3"/>
        <v>Roam Hub - </v>
      </c>
      <c r="O334" s="26" t="str">
        <f t="shared" si="4"/>
        <v>FO-NBI-00#RH-KE-A-332: Roam Hub - </v>
      </c>
      <c r="R334" s="53"/>
      <c r="S334" s="78" t="b">
        <v>0</v>
      </c>
      <c r="T334" s="78" t="b">
        <v>0</v>
      </c>
      <c r="U334" s="78" t="b">
        <v>0</v>
      </c>
      <c r="V334" s="30" t="b">
        <v>0</v>
      </c>
      <c r="W334" s="30" t="b">
        <v>0</v>
      </c>
      <c r="X334" s="30"/>
      <c r="Y334" s="30"/>
      <c r="Z334" s="30"/>
      <c r="AA334" s="30"/>
      <c r="AB334" s="30"/>
      <c r="AC334" s="50"/>
      <c r="AD334" s="30"/>
      <c r="AE334" s="12">
        <f t="shared" si="5"/>
        <v>0</v>
      </c>
      <c r="AF334" s="70">
        <f t="shared" si="6"/>
        <v>0</v>
      </c>
      <c r="AG334" s="76"/>
      <c r="AH334" s="76"/>
      <c r="AI334" s="76"/>
      <c r="AJ334" s="76"/>
      <c r="AK334" s="76"/>
      <c r="AL334" s="30"/>
      <c r="AM334" s="79"/>
      <c r="AN334" s="79"/>
      <c r="AO334" s="79"/>
    </row>
    <row r="335" hidden="1">
      <c r="A335" s="12" t="s">
        <v>74</v>
      </c>
      <c r="B335" s="64"/>
      <c r="C335" s="12" t="s">
        <v>248</v>
      </c>
      <c r="D335" s="12" t="str">
        <f>vlookup(C335,'List of Chargers'!$A$2:$B$5,2,FALSE)</f>
        <v>Roam Hub</v>
      </c>
      <c r="E335" s="12" t="s">
        <v>73</v>
      </c>
      <c r="F335" s="12" t="s">
        <v>75</v>
      </c>
      <c r="G335" s="12">
        <v>333.0</v>
      </c>
      <c r="H335" s="13" t="str">
        <f t="shared" si="1"/>
        <v>#RH-KE-A-333</v>
      </c>
      <c r="I335" s="13" t="str">
        <f t="shared" si="2"/>
        <v>FO-NBI-00#RH-KE-A-333</v>
      </c>
      <c r="J335" s="25"/>
      <c r="K335" s="66"/>
      <c r="L335" s="31"/>
      <c r="M335" s="31"/>
      <c r="N335" s="26" t="str">
        <f t="shared" si="3"/>
        <v>Roam Hub - </v>
      </c>
      <c r="O335" s="26" t="str">
        <f t="shared" si="4"/>
        <v>FO-NBI-00#RH-KE-A-333: Roam Hub - </v>
      </c>
      <c r="R335" s="53"/>
      <c r="S335" s="78" t="b">
        <v>0</v>
      </c>
      <c r="T335" s="78" t="b">
        <v>0</v>
      </c>
      <c r="U335" s="78" t="b">
        <v>0</v>
      </c>
      <c r="V335" s="30" t="b">
        <v>0</v>
      </c>
      <c r="W335" s="30" t="b">
        <v>0</v>
      </c>
      <c r="X335" s="30"/>
      <c r="Y335" s="30"/>
      <c r="Z335" s="30"/>
      <c r="AA335" s="30"/>
      <c r="AB335" s="30"/>
      <c r="AC335" s="50"/>
      <c r="AD335" s="30"/>
      <c r="AE335" s="12">
        <f t="shared" si="5"/>
        <v>0</v>
      </c>
      <c r="AF335" s="70">
        <f t="shared" si="6"/>
        <v>0</v>
      </c>
      <c r="AG335" s="76"/>
      <c r="AH335" s="76"/>
      <c r="AI335" s="76"/>
      <c r="AJ335" s="76"/>
      <c r="AK335" s="76"/>
      <c r="AL335" s="30"/>
      <c r="AM335" s="79"/>
      <c r="AN335" s="79"/>
      <c r="AO335" s="79"/>
    </row>
    <row r="336" hidden="1">
      <c r="A336" s="12" t="s">
        <v>74</v>
      </c>
      <c r="B336" s="64"/>
      <c r="C336" s="12" t="s">
        <v>248</v>
      </c>
      <c r="D336" s="12" t="str">
        <f>vlookup(C336,'List of Chargers'!$A$2:$B$5,2,FALSE)</f>
        <v>Roam Hub</v>
      </c>
      <c r="E336" s="12" t="s">
        <v>73</v>
      </c>
      <c r="F336" s="12" t="s">
        <v>75</v>
      </c>
      <c r="G336" s="12">
        <v>334.0</v>
      </c>
      <c r="H336" s="13" t="str">
        <f t="shared" si="1"/>
        <v>#RH-KE-A-334</v>
      </c>
      <c r="I336" s="13" t="str">
        <f t="shared" si="2"/>
        <v>FO-NBI-00#RH-KE-A-334</v>
      </c>
      <c r="J336" s="25"/>
      <c r="K336" s="66"/>
      <c r="L336" s="31"/>
      <c r="M336" s="31"/>
      <c r="N336" s="26" t="str">
        <f t="shared" si="3"/>
        <v>Roam Hub - </v>
      </c>
      <c r="O336" s="26" t="str">
        <f t="shared" si="4"/>
        <v>FO-NBI-00#RH-KE-A-334: Roam Hub - </v>
      </c>
      <c r="R336" s="53"/>
      <c r="S336" s="78" t="b">
        <v>0</v>
      </c>
      <c r="T336" s="78" t="b">
        <v>0</v>
      </c>
      <c r="U336" s="78" t="b">
        <v>0</v>
      </c>
      <c r="V336" s="30" t="b">
        <v>0</v>
      </c>
      <c r="W336" s="30" t="b">
        <v>0</v>
      </c>
      <c r="X336" s="30"/>
      <c r="Y336" s="30"/>
      <c r="Z336" s="30"/>
      <c r="AA336" s="30"/>
      <c r="AB336" s="30"/>
      <c r="AC336" s="50"/>
      <c r="AD336" s="30"/>
      <c r="AE336" s="12">
        <f t="shared" si="5"/>
        <v>0</v>
      </c>
      <c r="AF336" s="70">
        <f t="shared" si="6"/>
        <v>0</v>
      </c>
      <c r="AG336" s="76"/>
      <c r="AH336" s="76"/>
      <c r="AI336" s="76"/>
      <c r="AJ336" s="76"/>
      <c r="AK336" s="76"/>
      <c r="AL336" s="30"/>
      <c r="AM336" s="79"/>
      <c r="AN336" s="79"/>
      <c r="AO336" s="79"/>
    </row>
    <row r="337" hidden="1">
      <c r="A337" s="12" t="s">
        <v>74</v>
      </c>
      <c r="B337" s="64"/>
      <c r="C337" s="12" t="s">
        <v>248</v>
      </c>
      <c r="D337" s="12" t="str">
        <f>vlookup(C337,'List of Chargers'!$A$2:$B$5,2,FALSE)</f>
        <v>Roam Hub</v>
      </c>
      <c r="E337" s="12" t="s">
        <v>73</v>
      </c>
      <c r="F337" s="12" t="s">
        <v>75</v>
      </c>
      <c r="G337" s="12">
        <v>335.0</v>
      </c>
      <c r="H337" s="13" t="str">
        <f t="shared" si="1"/>
        <v>#RH-KE-A-335</v>
      </c>
      <c r="I337" s="13" t="str">
        <f t="shared" si="2"/>
        <v>FO-NBI-00#RH-KE-A-335</v>
      </c>
      <c r="J337" s="25"/>
      <c r="K337" s="66"/>
      <c r="L337" s="31"/>
      <c r="M337" s="31"/>
      <c r="N337" s="26" t="str">
        <f t="shared" si="3"/>
        <v>Roam Hub - </v>
      </c>
      <c r="O337" s="26" t="str">
        <f t="shared" si="4"/>
        <v>FO-NBI-00#RH-KE-A-335: Roam Hub - </v>
      </c>
      <c r="R337" s="53"/>
      <c r="S337" s="78" t="b">
        <v>0</v>
      </c>
      <c r="T337" s="78" t="b">
        <v>0</v>
      </c>
      <c r="U337" s="78" t="b">
        <v>0</v>
      </c>
      <c r="V337" s="30" t="b">
        <v>0</v>
      </c>
      <c r="W337" s="30" t="b">
        <v>0</v>
      </c>
      <c r="X337" s="30"/>
      <c r="Y337" s="30"/>
      <c r="Z337" s="30"/>
      <c r="AA337" s="30"/>
      <c r="AB337" s="30"/>
      <c r="AC337" s="50"/>
      <c r="AD337" s="30"/>
      <c r="AE337" s="12">
        <f t="shared" si="5"/>
        <v>0</v>
      </c>
      <c r="AF337" s="70">
        <f t="shared" si="6"/>
        <v>0</v>
      </c>
      <c r="AG337" s="76"/>
      <c r="AH337" s="76"/>
      <c r="AI337" s="76"/>
      <c r="AJ337" s="76"/>
      <c r="AK337" s="76"/>
      <c r="AL337" s="30"/>
      <c r="AM337" s="79"/>
      <c r="AN337" s="79"/>
      <c r="AO337" s="79"/>
    </row>
    <row r="338" hidden="1">
      <c r="A338" s="12" t="s">
        <v>74</v>
      </c>
      <c r="B338" s="64"/>
      <c r="C338" s="12" t="s">
        <v>248</v>
      </c>
      <c r="D338" s="12" t="str">
        <f>vlookup(C338,'List of Chargers'!$A$2:$B$5,2,FALSE)</f>
        <v>Roam Hub</v>
      </c>
      <c r="E338" s="12" t="s">
        <v>73</v>
      </c>
      <c r="F338" s="12" t="s">
        <v>75</v>
      </c>
      <c r="G338" s="12">
        <v>336.0</v>
      </c>
      <c r="H338" s="13" t="str">
        <f t="shared" si="1"/>
        <v>#RH-KE-A-336</v>
      </c>
      <c r="I338" s="13" t="str">
        <f t="shared" si="2"/>
        <v>FO-NBI-00#RH-KE-A-336</v>
      </c>
      <c r="J338" s="25"/>
      <c r="K338" s="66"/>
      <c r="L338" s="31"/>
      <c r="M338" s="31"/>
      <c r="N338" s="26" t="str">
        <f t="shared" si="3"/>
        <v>Roam Hub - </v>
      </c>
      <c r="O338" s="26" t="str">
        <f t="shared" si="4"/>
        <v>FO-NBI-00#RH-KE-A-336: Roam Hub - </v>
      </c>
      <c r="R338" s="53"/>
      <c r="S338" s="78" t="b">
        <v>0</v>
      </c>
      <c r="T338" s="78" t="b">
        <v>0</v>
      </c>
      <c r="U338" s="78" t="b">
        <v>0</v>
      </c>
      <c r="V338" s="30" t="b">
        <v>0</v>
      </c>
      <c r="W338" s="30" t="b">
        <v>0</v>
      </c>
      <c r="X338" s="30"/>
      <c r="Y338" s="30"/>
      <c r="Z338" s="30"/>
      <c r="AA338" s="30"/>
      <c r="AB338" s="30"/>
      <c r="AC338" s="50"/>
      <c r="AD338" s="30"/>
      <c r="AE338" s="12">
        <f t="shared" si="5"/>
        <v>0</v>
      </c>
      <c r="AF338" s="70">
        <f t="shared" si="6"/>
        <v>0</v>
      </c>
      <c r="AG338" s="76"/>
      <c r="AH338" s="76"/>
      <c r="AI338" s="76"/>
      <c r="AJ338" s="76"/>
      <c r="AK338" s="76"/>
      <c r="AL338" s="30"/>
      <c r="AM338" s="79"/>
      <c r="AN338" s="79"/>
      <c r="AO338" s="79"/>
    </row>
    <row r="339" hidden="1">
      <c r="A339" s="12" t="s">
        <v>74</v>
      </c>
      <c r="B339" s="64"/>
      <c r="C339" s="12" t="s">
        <v>248</v>
      </c>
      <c r="D339" s="12" t="str">
        <f>vlookup(C339,'List of Chargers'!$A$2:$B$5,2,FALSE)</f>
        <v>Roam Hub</v>
      </c>
      <c r="E339" s="12" t="s">
        <v>73</v>
      </c>
      <c r="F339" s="12" t="s">
        <v>75</v>
      </c>
      <c r="G339" s="12">
        <v>337.0</v>
      </c>
      <c r="H339" s="13" t="str">
        <f t="shared" si="1"/>
        <v>#RH-KE-A-337</v>
      </c>
      <c r="I339" s="13" t="str">
        <f t="shared" si="2"/>
        <v>FO-NBI-00#RH-KE-A-337</v>
      </c>
      <c r="J339" s="25"/>
      <c r="K339" s="66"/>
      <c r="L339" s="31"/>
      <c r="M339" s="31"/>
      <c r="N339" s="26" t="str">
        <f t="shared" si="3"/>
        <v>Roam Hub - </v>
      </c>
      <c r="O339" s="26" t="str">
        <f t="shared" si="4"/>
        <v>FO-NBI-00#RH-KE-A-337: Roam Hub - </v>
      </c>
      <c r="R339" s="53"/>
      <c r="S339" s="78" t="b">
        <v>0</v>
      </c>
      <c r="T339" s="78" t="b">
        <v>0</v>
      </c>
      <c r="U339" s="78" t="b">
        <v>0</v>
      </c>
      <c r="V339" s="30" t="b">
        <v>0</v>
      </c>
      <c r="W339" s="30" t="b">
        <v>0</v>
      </c>
      <c r="X339" s="30"/>
      <c r="Y339" s="30"/>
      <c r="Z339" s="30"/>
      <c r="AA339" s="30"/>
      <c r="AB339" s="30"/>
      <c r="AC339" s="50"/>
      <c r="AD339" s="30"/>
      <c r="AE339" s="12">
        <f t="shared" si="5"/>
        <v>0</v>
      </c>
      <c r="AF339" s="70">
        <f t="shared" si="6"/>
        <v>0</v>
      </c>
      <c r="AG339" s="76"/>
      <c r="AH339" s="76"/>
      <c r="AI339" s="76"/>
      <c r="AJ339" s="76"/>
      <c r="AK339" s="76"/>
      <c r="AL339" s="30"/>
      <c r="AM339" s="79"/>
      <c r="AN339" s="79"/>
      <c r="AO339" s="79"/>
    </row>
    <row r="340" hidden="1">
      <c r="A340" s="12" t="s">
        <v>74</v>
      </c>
      <c r="B340" s="64"/>
      <c r="C340" s="12" t="s">
        <v>248</v>
      </c>
      <c r="D340" s="12" t="str">
        <f>vlookup(C340,'List of Chargers'!$A$2:$B$5,2,FALSE)</f>
        <v>Roam Hub</v>
      </c>
      <c r="E340" s="12" t="s">
        <v>73</v>
      </c>
      <c r="F340" s="12" t="s">
        <v>75</v>
      </c>
      <c r="G340" s="12">
        <v>338.0</v>
      </c>
      <c r="H340" s="13" t="str">
        <f t="shared" si="1"/>
        <v>#RH-KE-A-338</v>
      </c>
      <c r="I340" s="13" t="str">
        <f t="shared" si="2"/>
        <v>FO-NBI-00#RH-KE-A-338</v>
      </c>
      <c r="J340" s="25"/>
      <c r="K340" s="66"/>
      <c r="L340" s="31"/>
      <c r="M340" s="31"/>
      <c r="N340" s="26" t="str">
        <f t="shared" si="3"/>
        <v>Roam Hub - </v>
      </c>
      <c r="O340" s="26" t="str">
        <f t="shared" si="4"/>
        <v>FO-NBI-00#RH-KE-A-338: Roam Hub - </v>
      </c>
      <c r="R340" s="53"/>
      <c r="S340" s="78" t="b">
        <v>0</v>
      </c>
      <c r="T340" s="78" t="b">
        <v>0</v>
      </c>
      <c r="U340" s="78" t="b">
        <v>0</v>
      </c>
      <c r="V340" s="30" t="b">
        <v>0</v>
      </c>
      <c r="W340" s="30" t="b">
        <v>0</v>
      </c>
      <c r="X340" s="30"/>
      <c r="Y340" s="30"/>
      <c r="Z340" s="30"/>
      <c r="AA340" s="30"/>
      <c r="AB340" s="30"/>
      <c r="AC340" s="50"/>
      <c r="AD340" s="30"/>
      <c r="AE340" s="12">
        <f t="shared" si="5"/>
        <v>0</v>
      </c>
      <c r="AF340" s="70">
        <f t="shared" si="6"/>
        <v>0</v>
      </c>
      <c r="AG340" s="76"/>
      <c r="AH340" s="76"/>
      <c r="AI340" s="76"/>
      <c r="AJ340" s="76"/>
      <c r="AK340" s="76"/>
      <c r="AL340" s="30"/>
      <c r="AM340" s="79"/>
      <c r="AN340" s="79"/>
      <c r="AO340" s="79"/>
    </row>
    <row r="341" hidden="1">
      <c r="A341" s="12" t="s">
        <v>74</v>
      </c>
      <c r="B341" s="64"/>
      <c r="C341" s="12" t="s">
        <v>248</v>
      </c>
      <c r="D341" s="12" t="str">
        <f>vlookup(C341,'List of Chargers'!$A$2:$B$5,2,FALSE)</f>
        <v>Roam Hub</v>
      </c>
      <c r="E341" s="12" t="s">
        <v>73</v>
      </c>
      <c r="F341" s="12" t="s">
        <v>75</v>
      </c>
      <c r="G341" s="12">
        <v>339.0</v>
      </c>
      <c r="H341" s="13" t="str">
        <f t="shared" si="1"/>
        <v>#RH-KE-A-339</v>
      </c>
      <c r="I341" s="13" t="str">
        <f t="shared" si="2"/>
        <v>FO-NBI-00#RH-KE-A-339</v>
      </c>
      <c r="J341" s="25"/>
      <c r="K341" s="66"/>
      <c r="L341" s="31"/>
      <c r="M341" s="31"/>
      <c r="N341" s="26" t="str">
        <f t="shared" si="3"/>
        <v>Roam Hub - </v>
      </c>
      <c r="O341" s="26" t="str">
        <f t="shared" si="4"/>
        <v>FO-NBI-00#RH-KE-A-339: Roam Hub - </v>
      </c>
      <c r="R341" s="53"/>
      <c r="S341" s="78" t="b">
        <v>0</v>
      </c>
      <c r="T341" s="78" t="b">
        <v>0</v>
      </c>
      <c r="U341" s="78" t="b">
        <v>0</v>
      </c>
      <c r="V341" s="30" t="b">
        <v>0</v>
      </c>
      <c r="W341" s="30" t="b">
        <v>0</v>
      </c>
      <c r="X341" s="30"/>
      <c r="Y341" s="30"/>
      <c r="Z341" s="30"/>
      <c r="AA341" s="30"/>
      <c r="AB341" s="30"/>
      <c r="AC341" s="50"/>
      <c r="AD341" s="30"/>
      <c r="AE341" s="12">
        <f t="shared" si="5"/>
        <v>0</v>
      </c>
      <c r="AF341" s="70">
        <f t="shared" si="6"/>
        <v>0</v>
      </c>
      <c r="AG341" s="76"/>
      <c r="AH341" s="76"/>
      <c r="AI341" s="76"/>
      <c r="AJ341" s="76"/>
      <c r="AK341" s="76"/>
      <c r="AL341" s="30"/>
      <c r="AM341" s="79"/>
      <c r="AN341" s="79"/>
      <c r="AO341" s="79"/>
    </row>
    <row r="342" hidden="1">
      <c r="A342" s="12" t="s">
        <v>74</v>
      </c>
      <c r="B342" s="64"/>
      <c r="C342" s="12" t="s">
        <v>248</v>
      </c>
      <c r="D342" s="12" t="str">
        <f>vlookup(C342,'List of Chargers'!$A$2:$B$5,2,FALSE)</f>
        <v>Roam Hub</v>
      </c>
      <c r="E342" s="12" t="s">
        <v>73</v>
      </c>
      <c r="F342" s="12" t="s">
        <v>75</v>
      </c>
      <c r="G342" s="12">
        <v>340.0</v>
      </c>
      <c r="H342" s="13" t="str">
        <f t="shared" si="1"/>
        <v>#RH-KE-A-340</v>
      </c>
      <c r="I342" s="13" t="str">
        <f t="shared" si="2"/>
        <v>FO-NBI-00#RH-KE-A-340</v>
      </c>
      <c r="J342" s="25"/>
      <c r="K342" s="66"/>
      <c r="L342" s="31"/>
      <c r="M342" s="31"/>
      <c r="N342" s="26" t="str">
        <f t="shared" si="3"/>
        <v>Roam Hub - </v>
      </c>
      <c r="O342" s="26" t="str">
        <f t="shared" si="4"/>
        <v>FO-NBI-00#RH-KE-A-340: Roam Hub - </v>
      </c>
      <c r="R342" s="53"/>
      <c r="S342" s="78" t="b">
        <v>0</v>
      </c>
      <c r="T342" s="78" t="b">
        <v>0</v>
      </c>
      <c r="U342" s="78" t="b">
        <v>0</v>
      </c>
      <c r="V342" s="30" t="b">
        <v>0</v>
      </c>
      <c r="W342" s="30" t="b">
        <v>0</v>
      </c>
      <c r="X342" s="30"/>
      <c r="Y342" s="30"/>
      <c r="Z342" s="30"/>
      <c r="AA342" s="30"/>
      <c r="AB342" s="30"/>
      <c r="AC342" s="50"/>
      <c r="AD342" s="30"/>
      <c r="AE342" s="12">
        <f t="shared" si="5"/>
        <v>0</v>
      </c>
      <c r="AF342" s="70">
        <f t="shared" si="6"/>
        <v>0</v>
      </c>
      <c r="AG342" s="76"/>
      <c r="AH342" s="76"/>
      <c r="AI342" s="76"/>
      <c r="AJ342" s="76"/>
      <c r="AK342" s="76"/>
      <c r="AL342" s="30"/>
      <c r="AM342" s="79"/>
      <c r="AN342" s="79"/>
      <c r="AO342" s="79"/>
    </row>
    <row r="343" hidden="1">
      <c r="A343" s="12" t="s">
        <v>74</v>
      </c>
      <c r="B343" s="64"/>
      <c r="C343" s="12" t="s">
        <v>248</v>
      </c>
      <c r="D343" s="12" t="str">
        <f>vlookup(C343,'List of Chargers'!$A$2:$B$5,2,FALSE)</f>
        <v>Roam Hub</v>
      </c>
      <c r="E343" s="12" t="s">
        <v>73</v>
      </c>
      <c r="F343" s="12" t="s">
        <v>75</v>
      </c>
      <c r="G343" s="12">
        <v>341.0</v>
      </c>
      <c r="H343" s="13" t="str">
        <f t="shared" si="1"/>
        <v>#RH-KE-A-341</v>
      </c>
      <c r="I343" s="13" t="str">
        <f t="shared" si="2"/>
        <v>FO-NBI-00#RH-KE-A-341</v>
      </c>
      <c r="J343" s="25"/>
      <c r="K343" s="66"/>
      <c r="L343" s="31"/>
      <c r="M343" s="31"/>
      <c r="N343" s="26" t="str">
        <f t="shared" si="3"/>
        <v>Roam Hub - </v>
      </c>
      <c r="O343" s="26" t="str">
        <f t="shared" si="4"/>
        <v>FO-NBI-00#RH-KE-A-341: Roam Hub - </v>
      </c>
      <c r="R343" s="53"/>
      <c r="S343" s="78" t="b">
        <v>0</v>
      </c>
      <c r="T343" s="78" t="b">
        <v>0</v>
      </c>
      <c r="U343" s="78" t="b">
        <v>0</v>
      </c>
      <c r="V343" s="30" t="b">
        <v>0</v>
      </c>
      <c r="W343" s="30" t="b">
        <v>0</v>
      </c>
      <c r="X343" s="30"/>
      <c r="Y343" s="30"/>
      <c r="Z343" s="30"/>
      <c r="AA343" s="30"/>
      <c r="AB343" s="30"/>
      <c r="AC343" s="50"/>
      <c r="AD343" s="30"/>
      <c r="AE343" s="12">
        <f t="shared" si="5"/>
        <v>0</v>
      </c>
      <c r="AF343" s="70">
        <f t="shared" si="6"/>
        <v>0</v>
      </c>
      <c r="AG343" s="76"/>
      <c r="AH343" s="76"/>
      <c r="AI343" s="76"/>
      <c r="AJ343" s="76"/>
      <c r="AK343" s="76"/>
      <c r="AL343" s="30"/>
      <c r="AM343" s="79"/>
      <c r="AN343" s="79"/>
      <c r="AO343" s="79"/>
    </row>
    <row r="344" hidden="1">
      <c r="A344" s="12" t="s">
        <v>74</v>
      </c>
      <c r="B344" s="64"/>
      <c r="C344" s="12" t="s">
        <v>248</v>
      </c>
      <c r="D344" s="12" t="str">
        <f>vlookup(C344,'List of Chargers'!$A$2:$B$5,2,FALSE)</f>
        <v>Roam Hub</v>
      </c>
      <c r="E344" s="12" t="s">
        <v>73</v>
      </c>
      <c r="F344" s="12" t="s">
        <v>75</v>
      </c>
      <c r="G344" s="12">
        <v>342.0</v>
      </c>
      <c r="H344" s="13" t="str">
        <f t="shared" si="1"/>
        <v>#RH-KE-A-342</v>
      </c>
      <c r="I344" s="13" t="str">
        <f t="shared" si="2"/>
        <v>FO-NBI-00#RH-KE-A-342</v>
      </c>
      <c r="J344" s="25"/>
      <c r="K344" s="66"/>
      <c r="L344" s="31"/>
      <c r="M344" s="31"/>
      <c r="N344" s="26" t="str">
        <f t="shared" si="3"/>
        <v>Roam Hub - </v>
      </c>
      <c r="O344" s="26" t="str">
        <f t="shared" si="4"/>
        <v>FO-NBI-00#RH-KE-A-342: Roam Hub - </v>
      </c>
      <c r="R344" s="53"/>
      <c r="S344" s="78" t="b">
        <v>0</v>
      </c>
      <c r="T344" s="78" t="b">
        <v>0</v>
      </c>
      <c r="U344" s="78" t="b">
        <v>0</v>
      </c>
      <c r="V344" s="30" t="b">
        <v>0</v>
      </c>
      <c r="W344" s="30" t="b">
        <v>0</v>
      </c>
      <c r="X344" s="30"/>
      <c r="Y344" s="30"/>
      <c r="Z344" s="30"/>
      <c r="AA344" s="30"/>
      <c r="AB344" s="30"/>
      <c r="AC344" s="50"/>
      <c r="AD344" s="30"/>
      <c r="AE344" s="12">
        <f t="shared" si="5"/>
        <v>0</v>
      </c>
      <c r="AF344" s="70">
        <f t="shared" si="6"/>
        <v>0</v>
      </c>
      <c r="AG344" s="76"/>
      <c r="AH344" s="76"/>
      <c r="AI344" s="76"/>
      <c r="AJ344" s="76"/>
      <c r="AK344" s="76"/>
      <c r="AL344" s="30"/>
      <c r="AM344" s="79"/>
      <c r="AN344" s="79"/>
      <c r="AO344" s="79"/>
    </row>
    <row r="345" hidden="1">
      <c r="A345" s="12" t="s">
        <v>74</v>
      </c>
      <c r="B345" s="64"/>
      <c r="C345" s="12" t="s">
        <v>248</v>
      </c>
      <c r="D345" s="12" t="str">
        <f>vlookup(C345,'List of Chargers'!$A$2:$B$5,2,FALSE)</f>
        <v>Roam Hub</v>
      </c>
      <c r="E345" s="12" t="s">
        <v>73</v>
      </c>
      <c r="F345" s="12" t="s">
        <v>75</v>
      </c>
      <c r="G345" s="12">
        <v>343.0</v>
      </c>
      <c r="H345" s="13" t="str">
        <f t="shared" si="1"/>
        <v>#RH-KE-A-343</v>
      </c>
      <c r="I345" s="13" t="str">
        <f t="shared" si="2"/>
        <v>FO-NBI-00#RH-KE-A-343</v>
      </c>
      <c r="J345" s="25"/>
      <c r="K345" s="66"/>
      <c r="L345" s="31"/>
      <c r="M345" s="31"/>
      <c r="N345" s="26" t="str">
        <f t="shared" si="3"/>
        <v>Roam Hub - </v>
      </c>
      <c r="O345" s="26" t="str">
        <f t="shared" si="4"/>
        <v>FO-NBI-00#RH-KE-A-343: Roam Hub - </v>
      </c>
      <c r="R345" s="53"/>
      <c r="S345" s="78" t="b">
        <v>0</v>
      </c>
      <c r="T345" s="78" t="b">
        <v>0</v>
      </c>
      <c r="U345" s="78" t="b">
        <v>0</v>
      </c>
      <c r="V345" s="30" t="b">
        <v>0</v>
      </c>
      <c r="W345" s="30" t="b">
        <v>0</v>
      </c>
      <c r="X345" s="30"/>
      <c r="Y345" s="30"/>
      <c r="Z345" s="30"/>
      <c r="AA345" s="30"/>
      <c r="AB345" s="30"/>
      <c r="AC345" s="50"/>
      <c r="AD345" s="30"/>
      <c r="AE345" s="12">
        <f t="shared" si="5"/>
        <v>0</v>
      </c>
      <c r="AF345" s="70">
        <f t="shared" si="6"/>
        <v>0</v>
      </c>
      <c r="AG345" s="76"/>
      <c r="AH345" s="76"/>
      <c r="AI345" s="76"/>
      <c r="AJ345" s="76"/>
      <c r="AK345" s="76"/>
      <c r="AL345" s="30"/>
      <c r="AM345" s="79"/>
      <c r="AN345" s="79"/>
      <c r="AO345" s="79"/>
    </row>
    <row r="346" hidden="1">
      <c r="A346" s="12" t="s">
        <v>74</v>
      </c>
      <c r="B346" s="64"/>
      <c r="C346" s="12" t="s">
        <v>248</v>
      </c>
      <c r="D346" s="12" t="str">
        <f>vlookup(C346,'List of Chargers'!$A$2:$B$5,2,FALSE)</f>
        <v>Roam Hub</v>
      </c>
      <c r="E346" s="12" t="s">
        <v>73</v>
      </c>
      <c r="F346" s="12" t="s">
        <v>75</v>
      </c>
      <c r="G346" s="12">
        <v>344.0</v>
      </c>
      <c r="H346" s="13" t="str">
        <f t="shared" si="1"/>
        <v>#RH-KE-A-344</v>
      </c>
      <c r="I346" s="13" t="str">
        <f t="shared" si="2"/>
        <v>FO-NBI-00#RH-KE-A-344</v>
      </c>
      <c r="J346" s="25"/>
      <c r="K346" s="66"/>
      <c r="L346" s="31"/>
      <c r="M346" s="31"/>
      <c r="N346" s="26" t="str">
        <f t="shared" si="3"/>
        <v>Roam Hub - </v>
      </c>
      <c r="O346" s="26" t="str">
        <f t="shared" si="4"/>
        <v>FO-NBI-00#RH-KE-A-344: Roam Hub - </v>
      </c>
      <c r="R346" s="53"/>
      <c r="S346" s="78" t="b">
        <v>0</v>
      </c>
      <c r="T346" s="78" t="b">
        <v>0</v>
      </c>
      <c r="U346" s="78" t="b">
        <v>0</v>
      </c>
      <c r="V346" s="30" t="b">
        <v>0</v>
      </c>
      <c r="W346" s="30" t="b">
        <v>0</v>
      </c>
      <c r="X346" s="30"/>
      <c r="Y346" s="30"/>
      <c r="Z346" s="30"/>
      <c r="AA346" s="30"/>
      <c r="AB346" s="30"/>
      <c r="AC346" s="50"/>
      <c r="AD346" s="30"/>
      <c r="AE346" s="12">
        <f t="shared" si="5"/>
        <v>0</v>
      </c>
      <c r="AF346" s="70">
        <f t="shared" si="6"/>
        <v>0</v>
      </c>
      <c r="AG346" s="76"/>
      <c r="AH346" s="76"/>
      <c r="AI346" s="76"/>
      <c r="AJ346" s="76"/>
      <c r="AK346" s="76"/>
      <c r="AL346" s="30"/>
      <c r="AM346" s="79"/>
      <c r="AN346" s="79"/>
      <c r="AO346" s="79"/>
    </row>
    <row r="347" hidden="1">
      <c r="A347" s="12" t="s">
        <v>74</v>
      </c>
      <c r="B347" s="64"/>
      <c r="C347" s="12" t="s">
        <v>248</v>
      </c>
      <c r="D347" s="12" t="str">
        <f>vlookup(C347,'List of Chargers'!$A$2:$B$5,2,FALSE)</f>
        <v>Roam Hub</v>
      </c>
      <c r="E347" s="12" t="s">
        <v>73</v>
      </c>
      <c r="F347" s="12" t="s">
        <v>75</v>
      </c>
      <c r="G347" s="12">
        <v>345.0</v>
      </c>
      <c r="H347" s="13" t="str">
        <f t="shared" si="1"/>
        <v>#RH-KE-A-345</v>
      </c>
      <c r="I347" s="13" t="str">
        <f t="shared" si="2"/>
        <v>FO-NBI-00#RH-KE-A-345</v>
      </c>
      <c r="J347" s="25"/>
      <c r="K347" s="66"/>
      <c r="L347" s="31"/>
      <c r="M347" s="31"/>
      <c r="N347" s="26" t="str">
        <f t="shared" si="3"/>
        <v>Roam Hub - </v>
      </c>
      <c r="O347" s="26" t="str">
        <f t="shared" si="4"/>
        <v>FO-NBI-00#RH-KE-A-345: Roam Hub - </v>
      </c>
      <c r="R347" s="53"/>
      <c r="S347" s="78" t="b">
        <v>0</v>
      </c>
      <c r="T347" s="78" t="b">
        <v>0</v>
      </c>
      <c r="U347" s="78" t="b">
        <v>0</v>
      </c>
      <c r="V347" s="30" t="b">
        <v>0</v>
      </c>
      <c r="W347" s="30" t="b">
        <v>0</v>
      </c>
      <c r="X347" s="30"/>
      <c r="Y347" s="30"/>
      <c r="Z347" s="30"/>
      <c r="AA347" s="30"/>
      <c r="AB347" s="30"/>
      <c r="AC347" s="50"/>
      <c r="AD347" s="30"/>
      <c r="AE347" s="12">
        <f t="shared" si="5"/>
        <v>0</v>
      </c>
      <c r="AF347" s="70">
        <f t="shared" si="6"/>
        <v>0</v>
      </c>
      <c r="AG347" s="76"/>
      <c r="AH347" s="76"/>
      <c r="AI347" s="76"/>
      <c r="AJ347" s="76"/>
      <c r="AK347" s="76"/>
      <c r="AL347" s="30"/>
      <c r="AM347" s="79"/>
      <c r="AN347" s="79"/>
      <c r="AO347" s="79"/>
    </row>
    <row r="348" hidden="1">
      <c r="A348" s="12" t="s">
        <v>74</v>
      </c>
      <c r="B348" s="64"/>
      <c r="C348" s="12" t="s">
        <v>248</v>
      </c>
      <c r="D348" s="12" t="str">
        <f>vlookup(C348,'List of Chargers'!$A$2:$B$5,2,FALSE)</f>
        <v>Roam Hub</v>
      </c>
      <c r="E348" s="12" t="s">
        <v>73</v>
      </c>
      <c r="F348" s="12" t="s">
        <v>75</v>
      </c>
      <c r="G348" s="12">
        <v>346.0</v>
      </c>
      <c r="H348" s="13" t="str">
        <f t="shared" si="1"/>
        <v>#RH-KE-A-346</v>
      </c>
      <c r="I348" s="13" t="str">
        <f t="shared" si="2"/>
        <v>FO-NBI-00#RH-KE-A-346</v>
      </c>
      <c r="J348" s="25"/>
      <c r="K348" s="66"/>
      <c r="L348" s="31"/>
      <c r="M348" s="31"/>
      <c r="N348" s="26" t="str">
        <f t="shared" si="3"/>
        <v>Roam Hub - </v>
      </c>
      <c r="O348" s="26" t="str">
        <f t="shared" si="4"/>
        <v>FO-NBI-00#RH-KE-A-346: Roam Hub - </v>
      </c>
      <c r="R348" s="53"/>
      <c r="S348" s="78" t="b">
        <v>0</v>
      </c>
      <c r="T348" s="78" t="b">
        <v>0</v>
      </c>
      <c r="U348" s="78" t="b">
        <v>0</v>
      </c>
      <c r="V348" s="30" t="b">
        <v>0</v>
      </c>
      <c r="W348" s="30" t="b">
        <v>0</v>
      </c>
      <c r="X348" s="30"/>
      <c r="Y348" s="30"/>
      <c r="Z348" s="30"/>
      <c r="AA348" s="30"/>
      <c r="AB348" s="30"/>
      <c r="AC348" s="50"/>
      <c r="AD348" s="30"/>
      <c r="AE348" s="12">
        <f t="shared" si="5"/>
        <v>0</v>
      </c>
      <c r="AF348" s="70">
        <f t="shared" si="6"/>
        <v>0</v>
      </c>
      <c r="AG348" s="76"/>
      <c r="AH348" s="76"/>
      <c r="AI348" s="76"/>
      <c r="AJ348" s="76"/>
      <c r="AK348" s="76"/>
      <c r="AL348" s="30"/>
      <c r="AM348" s="79"/>
      <c r="AN348" s="79"/>
      <c r="AO348" s="79"/>
    </row>
    <row r="349" hidden="1">
      <c r="A349" s="12" t="s">
        <v>74</v>
      </c>
      <c r="B349" s="64"/>
      <c r="C349" s="12" t="s">
        <v>248</v>
      </c>
      <c r="D349" s="12" t="str">
        <f>vlookup(C349,'List of Chargers'!$A$2:$B$5,2,FALSE)</f>
        <v>Roam Hub</v>
      </c>
      <c r="E349" s="12" t="s">
        <v>73</v>
      </c>
      <c r="F349" s="12" t="s">
        <v>75</v>
      </c>
      <c r="G349" s="12">
        <v>347.0</v>
      </c>
      <c r="H349" s="13" t="str">
        <f t="shared" si="1"/>
        <v>#RH-KE-A-347</v>
      </c>
      <c r="I349" s="13" t="str">
        <f t="shared" si="2"/>
        <v>FO-NBI-00#RH-KE-A-347</v>
      </c>
      <c r="J349" s="25"/>
      <c r="K349" s="66"/>
      <c r="L349" s="31"/>
      <c r="M349" s="31"/>
      <c r="N349" s="26" t="str">
        <f t="shared" si="3"/>
        <v>Roam Hub - </v>
      </c>
      <c r="O349" s="26" t="str">
        <f t="shared" si="4"/>
        <v>FO-NBI-00#RH-KE-A-347: Roam Hub - </v>
      </c>
      <c r="R349" s="53"/>
      <c r="S349" s="78" t="b">
        <v>0</v>
      </c>
      <c r="T349" s="78" t="b">
        <v>0</v>
      </c>
      <c r="U349" s="78" t="b">
        <v>0</v>
      </c>
      <c r="V349" s="30" t="b">
        <v>0</v>
      </c>
      <c r="W349" s="30" t="b">
        <v>0</v>
      </c>
      <c r="X349" s="30"/>
      <c r="Y349" s="30"/>
      <c r="Z349" s="30"/>
      <c r="AA349" s="30"/>
      <c r="AB349" s="30"/>
      <c r="AC349" s="50"/>
      <c r="AD349" s="30"/>
      <c r="AE349" s="12">
        <f t="shared" si="5"/>
        <v>0</v>
      </c>
      <c r="AF349" s="70">
        <f t="shared" si="6"/>
        <v>0</v>
      </c>
      <c r="AG349" s="76"/>
      <c r="AH349" s="76"/>
      <c r="AI349" s="76"/>
      <c r="AJ349" s="76"/>
      <c r="AK349" s="76"/>
      <c r="AL349" s="30"/>
      <c r="AM349" s="79"/>
      <c r="AN349" s="79"/>
      <c r="AO349" s="79"/>
    </row>
    <row r="350" hidden="1">
      <c r="A350" s="12" t="s">
        <v>74</v>
      </c>
      <c r="B350" s="64"/>
      <c r="C350" s="12" t="s">
        <v>248</v>
      </c>
      <c r="D350" s="12" t="str">
        <f>vlookup(C350,'List of Chargers'!$A$2:$B$5,2,FALSE)</f>
        <v>Roam Hub</v>
      </c>
      <c r="E350" s="12" t="s">
        <v>73</v>
      </c>
      <c r="F350" s="12" t="s">
        <v>75</v>
      </c>
      <c r="G350" s="12">
        <v>348.0</v>
      </c>
      <c r="H350" s="13" t="str">
        <f t="shared" si="1"/>
        <v>#RH-KE-A-348</v>
      </c>
      <c r="I350" s="13" t="str">
        <f t="shared" si="2"/>
        <v>FO-NBI-00#RH-KE-A-348</v>
      </c>
      <c r="J350" s="25"/>
      <c r="K350" s="66"/>
      <c r="L350" s="31"/>
      <c r="M350" s="31"/>
      <c r="N350" s="26" t="str">
        <f t="shared" si="3"/>
        <v>Roam Hub - </v>
      </c>
      <c r="O350" s="26" t="str">
        <f t="shared" si="4"/>
        <v>FO-NBI-00#RH-KE-A-348: Roam Hub - </v>
      </c>
      <c r="R350" s="53"/>
      <c r="S350" s="78" t="b">
        <v>0</v>
      </c>
      <c r="T350" s="78" t="b">
        <v>0</v>
      </c>
      <c r="U350" s="78" t="b">
        <v>0</v>
      </c>
      <c r="V350" s="30" t="b">
        <v>0</v>
      </c>
      <c r="W350" s="30" t="b">
        <v>0</v>
      </c>
      <c r="X350" s="30"/>
      <c r="Y350" s="30"/>
      <c r="Z350" s="30"/>
      <c r="AA350" s="30"/>
      <c r="AB350" s="30"/>
      <c r="AC350" s="50"/>
      <c r="AD350" s="30"/>
      <c r="AE350" s="12">
        <f t="shared" si="5"/>
        <v>0</v>
      </c>
      <c r="AF350" s="70">
        <f t="shared" si="6"/>
        <v>0</v>
      </c>
      <c r="AG350" s="76"/>
      <c r="AH350" s="76"/>
      <c r="AI350" s="76"/>
      <c r="AJ350" s="76"/>
      <c r="AK350" s="76"/>
      <c r="AL350" s="30"/>
      <c r="AM350" s="79"/>
      <c r="AN350" s="79"/>
      <c r="AO350" s="79"/>
    </row>
    <row r="351" hidden="1">
      <c r="A351" s="12" t="s">
        <v>74</v>
      </c>
      <c r="B351" s="64"/>
      <c r="C351" s="12" t="s">
        <v>248</v>
      </c>
      <c r="D351" s="12" t="str">
        <f>vlookup(C351,'List of Chargers'!$A$2:$B$5,2,FALSE)</f>
        <v>Roam Hub</v>
      </c>
      <c r="E351" s="12" t="s">
        <v>73</v>
      </c>
      <c r="F351" s="12" t="s">
        <v>75</v>
      </c>
      <c r="G351" s="12">
        <v>349.0</v>
      </c>
      <c r="H351" s="13" t="str">
        <f t="shared" si="1"/>
        <v>#RH-KE-A-349</v>
      </c>
      <c r="I351" s="13" t="str">
        <f t="shared" si="2"/>
        <v>FO-NBI-00#RH-KE-A-349</v>
      </c>
      <c r="J351" s="25"/>
      <c r="K351" s="66"/>
      <c r="L351" s="31"/>
      <c r="M351" s="31"/>
      <c r="N351" s="26" t="str">
        <f t="shared" si="3"/>
        <v>Roam Hub - </v>
      </c>
      <c r="O351" s="26" t="str">
        <f t="shared" si="4"/>
        <v>FO-NBI-00#RH-KE-A-349: Roam Hub - </v>
      </c>
      <c r="R351" s="53"/>
      <c r="S351" s="78" t="b">
        <v>0</v>
      </c>
      <c r="T351" s="78" t="b">
        <v>0</v>
      </c>
      <c r="U351" s="78" t="b">
        <v>0</v>
      </c>
      <c r="V351" s="30" t="b">
        <v>0</v>
      </c>
      <c r="W351" s="30" t="b">
        <v>0</v>
      </c>
      <c r="X351" s="30"/>
      <c r="Y351" s="30"/>
      <c r="Z351" s="30"/>
      <c r="AA351" s="30"/>
      <c r="AB351" s="30"/>
      <c r="AC351" s="50"/>
      <c r="AD351" s="30"/>
      <c r="AE351" s="12">
        <f t="shared" si="5"/>
        <v>0</v>
      </c>
      <c r="AF351" s="70">
        <f t="shared" si="6"/>
        <v>0</v>
      </c>
      <c r="AG351" s="76"/>
      <c r="AH351" s="76"/>
      <c r="AI351" s="76"/>
      <c r="AJ351" s="76"/>
      <c r="AK351" s="76"/>
      <c r="AL351" s="30"/>
      <c r="AM351" s="79"/>
      <c r="AN351" s="79"/>
      <c r="AO351" s="79"/>
    </row>
    <row r="352" hidden="1">
      <c r="A352" s="12" t="s">
        <v>74</v>
      </c>
      <c r="B352" s="64"/>
      <c r="C352" s="12" t="s">
        <v>248</v>
      </c>
      <c r="D352" s="12" t="str">
        <f>vlookup(C352,'List of Chargers'!$A$2:$B$5,2,FALSE)</f>
        <v>Roam Hub</v>
      </c>
      <c r="E352" s="12" t="s">
        <v>73</v>
      </c>
      <c r="F352" s="12" t="s">
        <v>75</v>
      </c>
      <c r="G352" s="12">
        <v>350.0</v>
      </c>
      <c r="H352" s="13" t="str">
        <f t="shared" si="1"/>
        <v>#RH-KE-A-350</v>
      </c>
      <c r="I352" s="13" t="str">
        <f t="shared" si="2"/>
        <v>FO-NBI-00#RH-KE-A-350</v>
      </c>
      <c r="J352" s="25"/>
      <c r="K352" s="66"/>
      <c r="L352" s="31"/>
      <c r="M352" s="31"/>
      <c r="N352" s="26" t="str">
        <f t="shared" si="3"/>
        <v>Roam Hub - </v>
      </c>
      <c r="O352" s="26" t="str">
        <f t="shared" si="4"/>
        <v>FO-NBI-00#RH-KE-A-350: Roam Hub - </v>
      </c>
      <c r="R352" s="53"/>
      <c r="S352" s="78" t="b">
        <v>0</v>
      </c>
      <c r="T352" s="78" t="b">
        <v>0</v>
      </c>
      <c r="U352" s="78" t="b">
        <v>0</v>
      </c>
      <c r="V352" s="30" t="b">
        <v>0</v>
      </c>
      <c r="W352" s="30" t="b">
        <v>0</v>
      </c>
      <c r="X352" s="30"/>
      <c r="Y352" s="30"/>
      <c r="Z352" s="30"/>
      <c r="AA352" s="30"/>
      <c r="AB352" s="30"/>
      <c r="AC352" s="50"/>
      <c r="AD352" s="30"/>
      <c r="AE352" s="12">
        <f t="shared" si="5"/>
        <v>0</v>
      </c>
      <c r="AF352" s="70">
        <f t="shared" si="6"/>
        <v>0</v>
      </c>
      <c r="AG352" s="76"/>
      <c r="AH352" s="76"/>
      <c r="AI352" s="76"/>
      <c r="AJ352" s="76"/>
      <c r="AK352" s="76"/>
      <c r="AL352" s="30"/>
      <c r="AM352" s="79"/>
      <c r="AN352" s="79"/>
      <c r="AO352" s="79"/>
    </row>
    <row r="353" hidden="1">
      <c r="A353" s="12" t="s">
        <v>74</v>
      </c>
      <c r="B353" s="64"/>
      <c r="C353" s="12" t="s">
        <v>248</v>
      </c>
      <c r="D353" s="12" t="str">
        <f>vlookup(C353,'List of Chargers'!$A$2:$B$5,2,FALSE)</f>
        <v>Roam Hub</v>
      </c>
      <c r="E353" s="12" t="s">
        <v>73</v>
      </c>
      <c r="F353" s="12" t="s">
        <v>75</v>
      </c>
      <c r="G353" s="12">
        <v>351.0</v>
      </c>
      <c r="H353" s="13" t="str">
        <f t="shared" si="1"/>
        <v>#RH-KE-A-351</v>
      </c>
      <c r="I353" s="13" t="str">
        <f t="shared" si="2"/>
        <v>FO-NBI-00#RH-KE-A-351</v>
      </c>
      <c r="J353" s="25"/>
      <c r="K353" s="66"/>
      <c r="L353" s="31"/>
      <c r="M353" s="31"/>
      <c r="N353" s="26" t="str">
        <f t="shared" si="3"/>
        <v>Roam Hub - </v>
      </c>
      <c r="O353" s="26" t="str">
        <f t="shared" si="4"/>
        <v>FO-NBI-00#RH-KE-A-351: Roam Hub - </v>
      </c>
      <c r="R353" s="53"/>
      <c r="S353" s="78" t="b">
        <v>0</v>
      </c>
      <c r="T353" s="78" t="b">
        <v>0</v>
      </c>
      <c r="U353" s="78" t="b">
        <v>0</v>
      </c>
      <c r="V353" s="30" t="b">
        <v>0</v>
      </c>
      <c r="W353" s="30" t="b">
        <v>0</v>
      </c>
      <c r="X353" s="30"/>
      <c r="Y353" s="30"/>
      <c r="Z353" s="30"/>
      <c r="AA353" s="30"/>
      <c r="AB353" s="30"/>
      <c r="AC353" s="50"/>
      <c r="AD353" s="30"/>
      <c r="AE353" s="12">
        <f t="shared" si="5"/>
        <v>0</v>
      </c>
      <c r="AF353" s="70">
        <f t="shared" si="6"/>
        <v>0</v>
      </c>
      <c r="AG353" s="76"/>
      <c r="AH353" s="76"/>
      <c r="AI353" s="76"/>
      <c r="AJ353" s="76"/>
      <c r="AK353" s="76"/>
      <c r="AL353" s="30"/>
      <c r="AM353" s="79"/>
      <c r="AN353" s="79"/>
      <c r="AO353" s="79"/>
    </row>
    <row r="354" hidden="1">
      <c r="A354" s="12" t="s">
        <v>74</v>
      </c>
      <c r="B354" s="64"/>
      <c r="C354" s="12" t="s">
        <v>248</v>
      </c>
      <c r="D354" s="12" t="str">
        <f>vlookup(C354,'List of Chargers'!$A$2:$B$5,2,FALSE)</f>
        <v>Roam Hub</v>
      </c>
      <c r="E354" s="12" t="s">
        <v>73</v>
      </c>
      <c r="F354" s="12" t="s">
        <v>75</v>
      </c>
      <c r="G354" s="12">
        <v>352.0</v>
      </c>
      <c r="H354" s="13" t="str">
        <f t="shared" si="1"/>
        <v>#RH-KE-A-352</v>
      </c>
      <c r="I354" s="13" t="str">
        <f t="shared" si="2"/>
        <v>FO-NBI-00#RH-KE-A-352</v>
      </c>
      <c r="J354" s="25"/>
      <c r="K354" s="66"/>
      <c r="L354" s="31"/>
      <c r="M354" s="31"/>
      <c r="N354" s="26" t="str">
        <f t="shared" si="3"/>
        <v>Roam Hub - </v>
      </c>
      <c r="O354" s="26" t="str">
        <f t="shared" si="4"/>
        <v>FO-NBI-00#RH-KE-A-352: Roam Hub - </v>
      </c>
      <c r="R354" s="53"/>
      <c r="S354" s="78" t="b">
        <v>0</v>
      </c>
      <c r="T354" s="78" t="b">
        <v>0</v>
      </c>
      <c r="U354" s="78" t="b">
        <v>0</v>
      </c>
      <c r="V354" s="30" t="b">
        <v>0</v>
      </c>
      <c r="W354" s="30" t="b">
        <v>0</v>
      </c>
      <c r="X354" s="30"/>
      <c r="Y354" s="30"/>
      <c r="Z354" s="30"/>
      <c r="AA354" s="30"/>
      <c r="AB354" s="30"/>
      <c r="AC354" s="50"/>
      <c r="AD354" s="30"/>
      <c r="AE354" s="12">
        <f t="shared" si="5"/>
        <v>0</v>
      </c>
      <c r="AF354" s="70">
        <f t="shared" si="6"/>
        <v>0</v>
      </c>
      <c r="AG354" s="76"/>
      <c r="AH354" s="76"/>
      <c r="AI354" s="76"/>
      <c r="AJ354" s="76"/>
      <c r="AK354" s="76"/>
      <c r="AL354" s="30"/>
      <c r="AM354" s="79"/>
      <c r="AN354" s="79"/>
      <c r="AO354" s="79"/>
    </row>
    <row r="355" hidden="1">
      <c r="A355" s="12" t="s">
        <v>74</v>
      </c>
      <c r="B355" s="64"/>
      <c r="C355" s="12" t="s">
        <v>248</v>
      </c>
      <c r="D355" s="12" t="str">
        <f>vlookup(C355,'List of Chargers'!$A$2:$B$5,2,FALSE)</f>
        <v>Roam Hub</v>
      </c>
      <c r="E355" s="12" t="s">
        <v>73</v>
      </c>
      <c r="F355" s="12" t="s">
        <v>75</v>
      </c>
      <c r="G355" s="12">
        <v>353.0</v>
      </c>
      <c r="H355" s="13" t="str">
        <f t="shared" si="1"/>
        <v>#RH-KE-A-353</v>
      </c>
      <c r="I355" s="13" t="str">
        <f t="shared" si="2"/>
        <v>FO-NBI-00#RH-KE-A-353</v>
      </c>
      <c r="J355" s="25"/>
      <c r="K355" s="66"/>
      <c r="L355" s="31"/>
      <c r="M355" s="31"/>
      <c r="N355" s="26" t="str">
        <f t="shared" si="3"/>
        <v>Roam Hub - </v>
      </c>
      <c r="O355" s="26" t="str">
        <f t="shared" si="4"/>
        <v>FO-NBI-00#RH-KE-A-353: Roam Hub - </v>
      </c>
      <c r="R355" s="53"/>
      <c r="S355" s="78" t="b">
        <v>0</v>
      </c>
      <c r="T355" s="78" t="b">
        <v>0</v>
      </c>
      <c r="U355" s="78" t="b">
        <v>0</v>
      </c>
      <c r="V355" s="30" t="b">
        <v>0</v>
      </c>
      <c r="W355" s="30" t="b">
        <v>0</v>
      </c>
      <c r="X355" s="30"/>
      <c r="Y355" s="30"/>
      <c r="Z355" s="30"/>
      <c r="AA355" s="30"/>
      <c r="AB355" s="30"/>
      <c r="AC355" s="50"/>
      <c r="AD355" s="30"/>
      <c r="AE355" s="12">
        <f t="shared" si="5"/>
        <v>0</v>
      </c>
      <c r="AF355" s="70">
        <f t="shared" si="6"/>
        <v>0</v>
      </c>
      <c r="AG355" s="76"/>
      <c r="AH355" s="76"/>
      <c r="AI355" s="76"/>
      <c r="AJ355" s="76"/>
      <c r="AK355" s="76"/>
      <c r="AL355" s="30"/>
      <c r="AM355" s="79"/>
      <c r="AN355" s="79"/>
      <c r="AO355" s="79"/>
    </row>
    <row r="356" hidden="1">
      <c r="A356" s="12" t="s">
        <v>74</v>
      </c>
      <c r="B356" s="64"/>
      <c r="C356" s="12" t="s">
        <v>248</v>
      </c>
      <c r="D356" s="12" t="str">
        <f>vlookup(C356,'List of Chargers'!$A$2:$B$5,2,FALSE)</f>
        <v>Roam Hub</v>
      </c>
      <c r="E356" s="12" t="s">
        <v>73</v>
      </c>
      <c r="F356" s="12" t="s">
        <v>75</v>
      </c>
      <c r="G356" s="12">
        <v>354.0</v>
      </c>
      <c r="H356" s="13" t="str">
        <f t="shared" si="1"/>
        <v>#RH-KE-A-354</v>
      </c>
      <c r="I356" s="13" t="str">
        <f t="shared" si="2"/>
        <v>FO-NBI-00#RH-KE-A-354</v>
      </c>
      <c r="J356" s="25"/>
      <c r="K356" s="66"/>
      <c r="L356" s="31"/>
      <c r="M356" s="31"/>
      <c r="N356" s="26" t="str">
        <f t="shared" si="3"/>
        <v>Roam Hub - </v>
      </c>
      <c r="O356" s="26" t="str">
        <f t="shared" si="4"/>
        <v>FO-NBI-00#RH-KE-A-354: Roam Hub - </v>
      </c>
      <c r="R356" s="53"/>
      <c r="S356" s="78" t="b">
        <v>0</v>
      </c>
      <c r="T356" s="78" t="b">
        <v>0</v>
      </c>
      <c r="U356" s="78" t="b">
        <v>0</v>
      </c>
      <c r="V356" s="30" t="b">
        <v>0</v>
      </c>
      <c r="W356" s="30" t="b">
        <v>0</v>
      </c>
      <c r="X356" s="30"/>
      <c r="Y356" s="30"/>
      <c r="Z356" s="30"/>
      <c r="AA356" s="30"/>
      <c r="AB356" s="30"/>
      <c r="AC356" s="50"/>
      <c r="AD356" s="30"/>
      <c r="AE356" s="12">
        <f t="shared" si="5"/>
        <v>0</v>
      </c>
      <c r="AF356" s="70">
        <f t="shared" si="6"/>
        <v>0</v>
      </c>
      <c r="AG356" s="76"/>
      <c r="AH356" s="76"/>
      <c r="AI356" s="76"/>
      <c r="AJ356" s="76"/>
      <c r="AK356" s="76"/>
      <c r="AL356" s="30"/>
      <c r="AM356" s="79"/>
      <c r="AN356" s="79"/>
      <c r="AO356" s="79"/>
    </row>
    <row r="357" hidden="1">
      <c r="A357" s="12" t="s">
        <v>74</v>
      </c>
      <c r="B357" s="64"/>
      <c r="C357" s="12" t="s">
        <v>248</v>
      </c>
      <c r="D357" s="12" t="str">
        <f>vlookup(C357,'List of Chargers'!$A$2:$B$5,2,FALSE)</f>
        <v>Roam Hub</v>
      </c>
      <c r="E357" s="12" t="s">
        <v>73</v>
      </c>
      <c r="F357" s="12" t="s">
        <v>75</v>
      </c>
      <c r="G357" s="12">
        <v>355.0</v>
      </c>
      <c r="H357" s="13" t="str">
        <f t="shared" si="1"/>
        <v>#RH-KE-A-355</v>
      </c>
      <c r="I357" s="13" t="str">
        <f t="shared" si="2"/>
        <v>FO-NBI-00#RH-KE-A-355</v>
      </c>
      <c r="J357" s="25"/>
      <c r="K357" s="66"/>
      <c r="L357" s="31"/>
      <c r="M357" s="31"/>
      <c r="N357" s="26" t="str">
        <f t="shared" si="3"/>
        <v>Roam Hub - </v>
      </c>
      <c r="O357" s="26" t="str">
        <f t="shared" si="4"/>
        <v>FO-NBI-00#RH-KE-A-355: Roam Hub - </v>
      </c>
      <c r="R357" s="53"/>
      <c r="S357" s="78" t="b">
        <v>0</v>
      </c>
      <c r="T357" s="78" t="b">
        <v>0</v>
      </c>
      <c r="U357" s="78" t="b">
        <v>0</v>
      </c>
      <c r="V357" s="30" t="b">
        <v>0</v>
      </c>
      <c r="W357" s="30" t="b">
        <v>0</v>
      </c>
      <c r="X357" s="30"/>
      <c r="Y357" s="30"/>
      <c r="Z357" s="30"/>
      <c r="AA357" s="30"/>
      <c r="AB357" s="30"/>
      <c r="AC357" s="50"/>
      <c r="AD357" s="30"/>
      <c r="AE357" s="12">
        <f t="shared" si="5"/>
        <v>0</v>
      </c>
      <c r="AF357" s="70">
        <f t="shared" si="6"/>
        <v>0</v>
      </c>
      <c r="AG357" s="76"/>
      <c r="AH357" s="76"/>
      <c r="AI357" s="76"/>
      <c r="AJ357" s="76"/>
      <c r="AK357" s="76"/>
      <c r="AL357" s="30"/>
      <c r="AM357" s="79"/>
      <c r="AN357" s="79"/>
      <c r="AO357" s="79"/>
    </row>
    <row r="358" hidden="1">
      <c r="A358" s="12" t="s">
        <v>74</v>
      </c>
      <c r="B358" s="64"/>
      <c r="C358" s="12" t="s">
        <v>248</v>
      </c>
      <c r="D358" s="12" t="str">
        <f>vlookup(C358,'List of Chargers'!$A$2:$B$5,2,FALSE)</f>
        <v>Roam Hub</v>
      </c>
      <c r="E358" s="12" t="s">
        <v>73</v>
      </c>
      <c r="F358" s="12" t="s">
        <v>75</v>
      </c>
      <c r="G358" s="12">
        <v>356.0</v>
      </c>
      <c r="H358" s="13" t="str">
        <f t="shared" si="1"/>
        <v>#RH-KE-A-356</v>
      </c>
      <c r="I358" s="13" t="str">
        <f t="shared" si="2"/>
        <v>FO-NBI-00#RH-KE-A-356</v>
      </c>
      <c r="J358" s="25"/>
      <c r="K358" s="66"/>
      <c r="L358" s="31"/>
      <c r="M358" s="31"/>
      <c r="N358" s="26" t="str">
        <f t="shared" si="3"/>
        <v>Roam Hub - </v>
      </c>
      <c r="O358" s="26" t="str">
        <f t="shared" si="4"/>
        <v>FO-NBI-00#RH-KE-A-356: Roam Hub - </v>
      </c>
      <c r="R358" s="53"/>
      <c r="S358" s="78" t="b">
        <v>0</v>
      </c>
      <c r="T358" s="78" t="b">
        <v>0</v>
      </c>
      <c r="U358" s="78" t="b">
        <v>0</v>
      </c>
      <c r="V358" s="30" t="b">
        <v>0</v>
      </c>
      <c r="W358" s="30" t="b">
        <v>0</v>
      </c>
      <c r="X358" s="30"/>
      <c r="Y358" s="30"/>
      <c r="Z358" s="30"/>
      <c r="AA358" s="30"/>
      <c r="AB358" s="30"/>
      <c r="AC358" s="50"/>
      <c r="AD358" s="30"/>
      <c r="AE358" s="12">
        <f t="shared" si="5"/>
        <v>0</v>
      </c>
      <c r="AF358" s="70">
        <f t="shared" si="6"/>
        <v>0</v>
      </c>
      <c r="AG358" s="76"/>
      <c r="AH358" s="76"/>
      <c r="AI358" s="76"/>
      <c r="AJ358" s="76"/>
      <c r="AK358" s="76"/>
      <c r="AL358" s="30"/>
      <c r="AM358" s="79"/>
      <c r="AN358" s="79"/>
      <c r="AO358" s="79"/>
    </row>
    <row r="359" hidden="1">
      <c r="A359" s="12" t="s">
        <v>74</v>
      </c>
      <c r="B359" s="64"/>
      <c r="C359" s="12" t="s">
        <v>248</v>
      </c>
      <c r="D359" s="12" t="str">
        <f>vlookup(C359,'List of Chargers'!$A$2:$B$5,2,FALSE)</f>
        <v>Roam Hub</v>
      </c>
      <c r="E359" s="12" t="s">
        <v>73</v>
      </c>
      <c r="F359" s="12" t="s">
        <v>75</v>
      </c>
      <c r="G359" s="12">
        <v>357.0</v>
      </c>
      <c r="H359" s="13" t="str">
        <f t="shared" si="1"/>
        <v>#RH-KE-A-357</v>
      </c>
      <c r="I359" s="13" t="str">
        <f t="shared" si="2"/>
        <v>FO-NBI-00#RH-KE-A-357</v>
      </c>
      <c r="J359" s="25"/>
      <c r="K359" s="66"/>
      <c r="L359" s="31"/>
      <c r="M359" s="31"/>
      <c r="N359" s="26" t="str">
        <f t="shared" si="3"/>
        <v>Roam Hub - </v>
      </c>
      <c r="O359" s="26" t="str">
        <f t="shared" si="4"/>
        <v>FO-NBI-00#RH-KE-A-357: Roam Hub - </v>
      </c>
      <c r="R359" s="53"/>
      <c r="S359" s="78" t="b">
        <v>0</v>
      </c>
      <c r="T359" s="78" t="b">
        <v>0</v>
      </c>
      <c r="U359" s="78" t="b">
        <v>0</v>
      </c>
      <c r="V359" s="30" t="b">
        <v>0</v>
      </c>
      <c r="W359" s="30" t="b">
        <v>0</v>
      </c>
      <c r="X359" s="30"/>
      <c r="Y359" s="30"/>
      <c r="Z359" s="30"/>
      <c r="AA359" s="30"/>
      <c r="AB359" s="30"/>
      <c r="AC359" s="50"/>
      <c r="AD359" s="30"/>
      <c r="AE359" s="12">
        <f t="shared" si="5"/>
        <v>0</v>
      </c>
      <c r="AF359" s="70">
        <f t="shared" si="6"/>
        <v>0</v>
      </c>
      <c r="AG359" s="76"/>
      <c r="AH359" s="76"/>
      <c r="AI359" s="76"/>
      <c r="AJ359" s="76"/>
      <c r="AK359" s="76"/>
      <c r="AL359" s="30"/>
      <c r="AM359" s="79"/>
      <c r="AN359" s="79"/>
      <c r="AO359" s="79"/>
    </row>
    <row r="360" hidden="1">
      <c r="A360" s="12" t="s">
        <v>74</v>
      </c>
      <c r="B360" s="64"/>
      <c r="C360" s="12" t="s">
        <v>248</v>
      </c>
      <c r="D360" s="12" t="str">
        <f>vlookup(C360,'List of Chargers'!$A$2:$B$5,2,FALSE)</f>
        <v>Roam Hub</v>
      </c>
      <c r="E360" s="12" t="s">
        <v>73</v>
      </c>
      <c r="F360" s="12" t="s">
        <v>75</v>
      </c>
      <c r="G360" s="12">
        <v>358.0</v>
      </c>
      <c r="H360" s="13" t="str">
        <f t="shared" si="1"/>
        <v>#RH-KE-A-358</v>
      </c>
      <c r="I360" s="13" t="str">
        <f t="shared" si="2"/>
        <v>FO-NBI-00#RH-KE-A-358</v>
      </c>
      <c r="J360" s="25"/>
      <c r="K360" s="66"/>
      <c r="L360" s="31"/>
      <c r="M360" s="31"/>
      <c r="N360" s="26" t="str">
        <f t="shared" si="3"/>
        <v>Roam Hub - </v>
      </c>
      <c r="O360" s="26" t="str">
        <f t="shared" si="4"/>
        <v>FO-NBI-00#RH-KE-A-358: Roam Hub - </v>
      </c>
      <c r="R360" s="53"/>
      <c r="S360" s="78" t="b">
        <v>0</v>
      </c>
      <c r="T360" s="78" t="b">
        <v>0</v>
      </c>
      <c r="U360" s="78" t="b">
        <v>0</v>
      </c>
      <c r="V360" s="30" t="b">
        <v>0</v>
      </c>
      <c r="W360" s="30" t="b">
        <v>0</v>
      </c>
      <c r="X360" s="30"/>
      <c r="Y360" s="30"/>
      <c r="Z360" s="30"/>
      <c r="AA360" s="30"/>
      <c r="AB360" s="30"/>
      <c r="AC360" s="50"/>
      <c r="AD360" s="30"/>
      <c r="AE360" s="12">
        <f t="shared" si="5"/>
        <v>0</v>
      </c>
      <c r="AF360" s="70">
        <f t="shared" si="6"/>
        <v>0</v>
      </c>
      <c r="AG360" s="76"/>
      <c r="AH360" s="76"/>
      <c r="AI360" s="76"/>
      <c r="AJ360" s="76"/>
      <c r="AK360" s="76"/>
      <c r="AL360" s="30"/>
      <c r="AM360" s="79"/>
      <c r="AN360" s="79"/>
      <c r="AO360" s="79"/>
    </row>
    <row r="361" hidden="1">
      <c r="A361" s="12" t="s">
        <v>74</v>
      </c>
      <c r="B361" s="64"/>
      <c r="C361" s="12" t="s">
        <v>248</v>
      </c>
      <c r="D361" s="12" t="str">
        <f>vlookup(C361,'List of Chargers'!$A$2:$B$5,2,FALSE)</f>
        <v>Roam Hub</v>
      </c>
      <c r="E361" s="12" t="s">
        <v>73</v>
      </c>
      <c r="F361" s="12" t="s">
        <v>75</v>
      </c>
      <c r="G361" s="12">
        <v>359.0</v>
      </c>
      <c r="H361" s="13" t="str">
        <f t="shared" si="1"/>
        <v>#RH-KE-A-359</v>
      </c>
      <c r="I361" s="13" t="str">
        <f t="shared" si="2"/>
        <v>FO-NBI-00#RH-KE-A-359</v>
      </c>
      <c r="J361" s="25"/>
      <c r="K361" s="66"/>
      <c r="L361" s="31"/>
      <c r="M361" s="31"/>
      <c r="N361" s="26" t="str">
        <f t="shared" si="3"/>
        <v>Roam Hub - </v>
      </c>
      <c r="O361" s="26" t="str">
        <f t="shared" si="4"/>
        <v>FO-NBI-00#RH-KE-A-359: Roam Hub - </v>
      </c>
      <c r="R361" s="53"/>
      <c r="S361" s="78" t="b">
        <v>0</v>
      </c>
      <c r="T361" s="78" t="b">
        <v>0</v>
      </c>
      <c r="U361" s="78" t="b">
        <v>0</v>
      </c>
      <c r="V361" s="30" t="b">
        <v>0</v>
      </c>
      <c r="W361" s="30" t="b">
        <v>0</v>
      </c>
      <c r="X361" s="30"/>
      <c r="Y361" s="30"/>
      <c r="Z361" s="30"/>
      <c r="AA361" s="30"/>
      <c r="AB361" s="30"/>
      <c r="AC361" s="50"/>
      <c r="AD361" s="30"/>
      <c r="AE361" s="12">
        <f t="shared" si="5"/>
        <v>0</v>
      </c>
      <c r="AF361" s="70">
        <f t="shared" si="6"/>
        <v>0</v>
      </c>
      <c r="AG361" s="76"/>
      <c r="AH361" s="76"/>
      <c r="AI361" s="76"/>
      <c r="AJ361" s="76"/>
      <c r="AK361" s="76"/>
      <c r="AL361" s="30"/>
      <c r="AM361" s="79"/>
      <c r="AN361" s="79"/>
      <c r="AO361" s="79"/>
    </row>
    <row r="362" hidden="1">
      <c r="A362" s="12" t="s">
        <v>74</v>
      </c>
      <c r="B362" s="64"/>
      <c r="C362" s="12" t="s">
        <v>248</v>
      </c>
      <c r="D362" s="12" t="str">
        <f>vlookup(C362,'List of Chargers'!$A$2:$B$5,2,FALSE)</f>
        <v>Roam Hub</v>
      </c>
      <c r="E362" s="12" t="s">
        <v>73</v>
      </c>
      <c r="F362" s="12" t="s">
        <v>75</v>
      </c>
      <c r="G362" s="12">
        <v>360.0</v>
      </c>
      <c r="H362" s="13" t="str">
        <f t="shared" si="1"/>
        <v>#RH-KE-A-360</v>
      </c>
      <c r="I362" s="13" t="str">
        <f t="shared" si="2"/>
        <v>FO-NBI-00#RH-KE-A-360</v>
      </c>
      <c r="J362" s="25"/>
      <c r="K362" s="66"/>
      <c r="L362" s="31"/>
      <c r="M362" s="31"/>
      <c r="N362" s="26" t="str">
        <f t="shared" si="3"/>
        <v>Roam Hub - </v>
      </c>
      <c r="O362" s="26" t="str">
        <f t="shared" si="4"/>
        <v>FO-NBI-00#RH-KE-A-360: Roam Hub - </v>
      </c>
      <c r="R362" s="53"/>
      <c r="S362" s="78" t="b">
        <v>0</v>
      </c>
      <c r="T362" s="78" t="b">
        <v>0</v>
      </c>
      <c r="U362" s="78" t="b">
        <v>0</v>
      </c>
      <c r="V362" s="30" t="b">
        <v>0</v>
      </c>
      <c r="W362" s="30" t="b">
        <v>0</v>
      </c>
      <c r="X362" s="30"/>
      <c r="Y362" s="30"/>
      <c r="Z362" s="30"/>
      <c r="AA362" s="30"/>
      <c r="AB362" s="30"/>
      <c r="AC362" s="50"/>
      <c r="AD362" s="30"/>
      <c r="AE362" s="12">
        <f t="shared" si="5"/>
        <v>0</v>
      </c>
      <c r="AF362" s="70">
        <f t="shared" si="6"/>
        <v>0</v>
      </c>
      <c r="AG362" s="76"/>
      <c r="AH362" s="76"/>
      <c r="AI362" s="76"/>
      <c r="AJ362" s="76"/>
      <c r="AK362" s="76"/>
      <c r="AL362" s="30"/>
      <c r="AM362" s="79"/>
      <c r="AN362" s="79"/>
      <c r="AO362" s="79"/>
    </row>
    <row r="363" hidden="1">
      <c r="A363" s="12" t="s">
        <v>74</v>
      </c>
      <c r="B363" s="64"/>
      <c r="C363" s="12" t="s">
        <v>248</v>
      </c>
      <c r="D363" s="12" t="str">
        <f>vlookup(C363,'List of Chargers'!$A$2:$B$5,2,FALSE)</f>
        <v>Roam Hub</v>
      </c>
      <c r="E363" s="12" t="s">
        <v>73</v>
      </c>
      <c r="F363" s="12" t="s">
        <v>75</v>
      </c>
      <c r="G363" s="12">
        <v>361.0</v>
      </c>
      <c r="H363" s="13" t="str">
        <f t="shared" si="1"/>
        <v>#RH-KE-A-361</v>
      </c>
      <c r="I363" s="13" t="str">
        <f t="shared" si="2"/>
        <v>FO-NBI-00#RH-KE-A-361</v>
      </c>
      <c r="J363" s="25"/>
      <c r="K363" s="66"/>
      <c r="L363" s="31"/>
      <c r="M363" s="31"/>
      <c r="N363" s="26" t="str">
        <f t="shared" si="3"/>
        <v>Roam Hub - </v>
      </c>
      <c r="O363" s="26" t="str">
        <f t="shared" si="4"/>
        <v>FO-NBI-00#RH-KE-A-361: Roam Hub - </v>
      </c>
      <c r="R363" s="53"/>
      <c r="S363" s="78" t="b">
        <v>0</v>
      </c>
      <c r="T363" s="78" t="b">
        <v>0</v>
      </c>
      <c r="U363" s="78" t="b">
        <v>0</v>
      </c>
      <c r="V363" s="30" t="b">
        <v>0</v>
      </c>
      <c r="W363" s="30" t="b">
        <v>0</v>
      </c>
      <c r="X363" s="30"/>
      <c r="Y363" s="30"/>
      <c r="Z363" s="30"/>
      <c r="AA363" s="30"/>
      <c r="AB363" s="30"/>
      <c r="AC363" s="50"/>
      <c r="AD363" s="30"/>
      <c r="AE363" s="12">
        <f t="shared" si="5"/>
        <v>0</v>
      </c>
      <c r="AF363" s="70">
        <f t="shared" si="6"/>
        <v>0</v>
      </c>
      <c r="AG363" s="76"/>
      <c r="AH363" s="76"/>
      <c r="AI363" s="76"/>
      <c r="AJ363" s="76"/>
      <c r="AK363" s="76"/>
      <c r="AL363" s="30"/>
      <c r="AM363" s="79"/>
      <c r="AN363" s="79"/>
      <c r="AO363" s="79"/>
    </row>
    <row r="364" hidden="1">
      <c r="A364" s="12" t="s">
        <v>74</v>
      </c>
      <c r="B364" s="64"/>
      <c r="C364" s="12" t="s">
        <v>248</v>
      </c>
      <c r="D364" s="12" t="str">
        <f>vlookup(C364,'List of Chargers'!$A$2:$B$5,2,FALSE)</f>
        <v>Roam Hub</v>
      </c>
      <c r="E364" s="12" t="s">
        <v>73</v>
      </c>
      <c r="F364" s="12" t="s">
        <v>75</v>
      </c>
      <c r="G364" s="12">
        <v>362.0</v>
      </c>
      <c r="H364" s="13" t="str">
        <f t="shared" si="1"/>
        <v>#RH-KE-A-362</v>
      </c>
      <c r="I364" s="13" t="str">
        <f t="shared" si="2"/>
        <v>FO-NBI-00#RH-KE-A-362</v>
      </c>
      <c r="J364" s="25"/>
      <c r="K364" s="66"/>
      <c r="L364" s="31"/>
      <c r="M364" s="31"/>
      <c r="N364" s="26" t="str">
        <f t="shared" si="3"/>
        <v>Roam Hub - </v>
      </c>
      <c r="O364" s="26" t="str">
        <f t="shared" si="4"/>
        <v>FO-NBI-00#RH-KE-A-362: Roam Hub - </v>
      </c>
      <c r="R364" s="53"/>
      <c r="S364" s="78" t="b">
        <v>0</v>
      </c>
      <c r="T364" s="78" t="b">
        <v>0</v>
      </c>
      <c r="U364" s="78" t="b">
        <v>0</v>
      </c>
      <c r="V364" s="30" t="b">
        <v>0</v>
      </c>
      <c r="W364" s="30" t="b">
        <v>0</v>
      </c>
      <c r="X364" s="30"/>
      <c r="Y364" s="30"/>
      <c r="Z364" s="30"/>
      <c r="AA364" s="30"/>
      <c r="AB364" s="30"/>
      <c r="AC364" s="50"/>
      <c r="AD364" s="30"/>
      <c r="AE364" s="12">
        <f t="shared" si="5"/>
        <v>0</v>
      </c>
      <c r="AF364" s="70">
        <f t="shared" si="6"/>
        <v>0</v>
      </c>
      <c r="AG364" s="76"/>
      <c r="AH364" s="76"/>
      <c r="AI364" s="76"/>
      <c r="AJ364" s="76"/>
      <c r="AK364" s="76"/>
      <c r="AL364" s="30"/>
      <c r="AM364" s="79"/>
      <c r="AN364" s="79"/>
      <c r="AO364" s="79"/>
    </row>
    <row r="365" hidden="1">
      <c r="A365" s="12" t="s">
        <v>74</v>
      </c>
      <c r="B365" s="64"/>
      <c r="C365" s="12" t="s">
        <v>248</v>
      </c>
      <c r="D365" s="12" t="str">
        <f>vlookup(C365,'List of Chargers'!$A$2:$B$5,2,FALSE)</f>
        <v>Roam Hub</v>
      </c>
      <c r="E365" s="12" t="s">
        <v>73</v>
      </c>
      <c r="F365" s="12" t="s">
        <v>75</v>
      </c>
      <c r="G365" s="12">
        <v>363.0</v>
      </c>
      <c r="H365" s="13" t="str">
        <f t="shared" si="1"/>
        <v>#RH-KE-A-363</v>
      </c>
      <c r="I365" s="13" t="str">
        <f t="shared" si="2"/>
        <v>FO-NBI-00#RH-KE-A-363</v>
      </c>
      <c r="J365" s="25"/>
      <c r="K365" s="66"/>
      <c r="L365" s="31"/>
      <c r="M365" s="31"/>
      <c r="N365" s="26" t="str">
        <f t="shared" si="3"/>
        <v>Roam Hub - </v>
      </c>
      <c r="O365" s="26" t="str">
        <f t="shared" si="4"/>
        <v>FO-NBI-00#RH-KE-A-363: Roam Hub - </v>
      </c>
      <c r="R365" s="53"/>
      <c r="S365" s="78" t="b">
        <v>0</v>
      </c>
      <c r="T365" s="78" t="b">
        <v>0</v>
      </c>
      <c r="U365" s="78" t="b">
        <v>0</v>
      </c>
      <c r="V365" s="30" t="b">
        <v>0</v>
      </c>
      <c r="W365" s="30" t="b">
        <v>0</v>
      </c>
      <c r="X365" s="30"/>
      <c r="Y365" s="30"/>
      <c r="Z365" s="30"/>
      <c r="AA365" s="30"/>
      <c r="AB365" s="30"/>
      <c r="AC365" s="50"/>
      <c r="AD365" s="30"/>
      <c r="AE365" s="12">
        <f t="shared" si="5"/>
        <v>0</v>
      </c>
      <c r="AF365" s="70">
        <f t="shared" si="6"/>
        <v>0</v>
      </c>
      <c r="AG365" s="76"/>
      <c r="AH365" s="76"/>
      <c r="AI365" s="76"/>
      <c r="AJ365" s="76"/>
      <c r="AK365" s="76"/>
      <c r="AL365" s="30"/>
      <c r="AM365" s="79"/>
      <c r="AN365" s="79"/>
      <c r="AO365" s="79"/>
    </row>
    <row r="366" hidden="1">
      <c r="A366" s="12" t="s">
        <v>74</v>
      </c>
      <c r="B366" s="64"/>
      <c r="C366" s="12" t="s">
        <v>248</v>
      </c>
      <c r="D366" s="12" t="str">
        <f>vlookup(C366,'List of Chargers'!$A$2:$B$5,2,FALSE)</f>
        <v>Roam Hub</v>
      </c>
      <c r="E366" s="12" t="s">
        <v>73</v>
      </c>
      <c r="F366" s="12" t="s">
        <v>75</v>
      </c>
      <c r="G366" s="12">
        <v>364.0</v>
      </c>
      <c r="H366" s="13" t="str">
        <f t="shared" si="1"/>
        <v>#RH-KE-A-364</v>
      </c>
      <c r="I366" s="13" t="str">
        <f t="shared" si="2"/>
        <v>FO-NBI-00#RH-KE-A-364</v>
      </c>
      <c r="J366" s="25"/>
      <c r="K366" s="66"/>
      <c r="L366" s="31"/>
      <c r="M366" s="31"/>
      <c r="N366" s="26" t="str">
        <f t="shared" si="3"/>
        <v>Roam Hub - </v>
      </c>
      <c r="O366" s="26" t="str">
        <f t="shared" si="4"/>
        <v>FO-NBI-00#RH-KE-A-364: Roam Hub - </v>
      </c>
      <c r="R366" s="53"/>
      <c r="S366" s="78" t="b">
        <v>0</v>
      </c>
      <c r="T366" s="78" t="b">
        <v>0</v>
      </c>
      <c r="U366" s="78" t="b">
        <v>0</v>
      </c>
      <c r="V366" s="30" t="b">
        <v>0</v>
      </c>
      <c r="W366" s="30" t="b">
        <v>0</v>
      </c>
      <c r="X366" s="30"/>
      <c r="Y366" s="30"/>
      <c r="Z366" s="30"/>
      <c r="AA366" s="30"/>
      <c r="AB366" s="30"/>
      <c r="AC366" s="50"/>
      <c r="AD366" s="30"/>
      <c r="AE366" s="12">
        <f t="shared" si="5"/>
        <v>0</v>
      </c>
      <c r="AF366" s="70">
        <f t="shared" si="6"/>
        <v>0</v>
      </c>
      <c r="AG366" s="76"/>
      <c r="AH366" s="76"/>
      <c r="AI366" s="76"/>
      <c r="AJ366" s="76"/>
      <c r="AK366" s="76"/>
      <c r="AL366" s="30"/>
      <c r="AM366" s="79"/>
      <c r="AN366" s="79"/>
      <c r="AO366" s="79"/>
    </row>
    <row r="367" hidden="1">
      <c r="A367" s="12" t="s">
        <v>74</v>
      </c>
      <c r="B367" s="64"/>
      <c r="C367" s="12" t="s">
        <v>248</v>
      </c>
      <c r="D367" s="12" t="str">
        <f>vlookup(C367,'List of Chargers'!$A$2:$B$5,2,FALSE)</f>
        <v>Roam Hub</v>
      </c>
      <c r="E367" s="12" t="s">
        <v>73</v>
      </c>
      <c r="F367" s="12" t="s">
        <v>75</v>
      </c>
      <c r="G367" s="12">
        <v>365.0</v>
      </c>
      <c r="H367" s="13" t="str">
        <f t="shared" si="1"/>
        <v>#RH-KE-A-365</v>
      </c>
      <c r="I367" s="13" t="str">
        <f t="shared" si="2"/>
        <v>FO-NBI-00#RH-KE-A-365</v>
      </c>
      <c r="J367" s="25"/>
      <c r="K367" s="66"/>
      <c r="L367" s="31"/>
      <c r="M367" s="31"/>
      <c r="N367" s="26" t="str">
        <f t="shared" si="3"/>
        <v>Roam Hub - </v>
      </c>
      <c r="O367" s="26" t="str">
        <f t="shared" si="4"/>
        <v>FO-NBI-00#RH-KE-A-365: Roam Hub - </v>
      </c>
      <c r="R367" s="53"/>
      <c r="S367" s="78" t="b">
        <v>0</v>
      </c>
      <c r="T367" s="78" t="b">
        <v>0</v>
      </c>
      <c r="U367" s="78" t="b">
        <v>0</v>
      </c>
      <c r="V367" s="30" t="b">
        <v>0</v>
      </c>
      <c r="W367" s="30" t="b">
        <v>0</v>
      </c>
      <c r="X367" s="30"/>
      <c r="Y367" s="30"/>
      <c r="Z367" s="30"/>
      <c r="AA367" s="30"/>
      <c r="AB367" s="30"/>
      <c r="AC367" s="50"/>
      <c r="AD367" s="30"/>
      <c r="AE367" s="12">
        <f t="shared" si="5"/>
        <v>0</v>
      </c>
      <c r="AF367" s="70">
        <f t="shared" si="6"/>
        <v>0</v>
      </c>
      <c r="AG367" s="76"/>
      <c r="AH367" s="76"/>
      <c r="AI367" s="76"/>
      <c r="AJ367" s="76"/>
      <c r="AK367" s="76"/>
      <c r="AL367" s="30"/>
      <c r="AM367" s="79"/>
      <c r="AN367" s="79"/>
      <c r="AO367" s="79"/>
    </row>
    <row r="368" hidden="1">
      <c r="A368" s="12" t="s">
        <v>74</v>
      </c>
      <c r="B368" s="64"/>
      <c r="C368" s="12" t="s">
        <v>248</v>
      </c>
      <c r="D368" s="12" t="str">
        <f>vlookup(C368,'List of Chargers'!$A$2:$B$5,2,FALSE)</f>
        <v>Roam Hub</v>
      </c>
      <c r="E368" s="12" t="s">
        <v>73</v>
      </c>
      <c r="F368" s="12" t="s">
        <v>75</v>
      </c>
      <c r="G368" s="12">
        <v>366.0</v>
      </c>
      <c r="H368" s="13" t="str">
        <f t="shared" si="1"/>
        <v>#RH-KE-A-366</v>
      </c>
      <c r="I368" s="13" t="str">
        <f t="shared" si="2"/>
        <v>FO-NBI-00#RH-KE-A-366</v>
      </c>
      <c r="J368" s="25"/>
      <c r="K368" s="66"/>
      <c r="L368" s="31"/>
      <c r="M368" s="31"/>
      <c r="N368" s="26" t="str">
        <f t="shared" si="3"/>
        <v>Roam Hub - </v>
      </c>
      <c r="O368" s="26" t="str">
        <f t="shared" si="4"/>
        <v>FO-NBI-00#RH-KE-A-366: Roam Hub - </v>
      </c>
      <c r="R368" s="53"/>
      <c r="S368" s="78" t="b">
        <v>0</v>
      </c>
      <c r="T368" s="78" t="b">
        <v>0</v>
      </c>
      <c r="U368" s="78" t="b">
        <v>0</v>
      </c>
      <c r="V368" s="30" t="b">
        <v>0</v>
      </c>
      <c r="W368" s="30" t="b">
        <v>0</v>
      </c>
      <c r="X368" s="30"/>
      <c r="Y368" s="30"/>
      <c r="Z368" s="30"/>
      <c r="AA368" s="30"/>
      <c r="AB368" s="30"/>
      <c r="AC368" s="50"/>
      <c r="AD368" s="30"/>
      <c r="AE368" s="12">
        <f t="shared" si="5"/>
        <v>0</v>
      </c>
      <c r="AF368" s="70">
        <f t="shared" si="6"/>
        <v>0</v>
      </c>
      <c r="AG368" s="76"/>
      <c r="AH368" s="76"/>
      <c r="AI368" s="76"/>
      <c r="AJ368" s="76"/>
      <c r="AK368" s="76"/>
      <c r="AL368" s="30"/>
      <c r="AM368" s="79"/>
      <c r="AN368" s="79"/>
      <c r="AO368" s="79"/>
    </row>
    <row r="369" hidden="1">
      <c r="A369" s="12" t="s">
        <v>74</v>
      </c>
      <c r="B369" s="64"/>
      <c r="C369" s="12" t="s">
        <v>248</v>
      </c>
      <c r="D369" s="12" t="str">
        <f>vlookup(C369,'List of Chargers'!$A$2:$B$5,2,FALSE)</f>
        <v>Roam Hub</v>
      </c>
      <c r="E369" s="12" t="s">
        <v>73</v>
      </c>
      <c r="F369" s="12" t="s">
        <v>75</v>
      </c>
      <c r="G369" s="12">
        <v>367.0</v>
      </c>
      <c r="H369" s="13" t="str">
        <f t="shared" si="1"/>
        <v>#RH-KE-A-367</v>
      </c>
      <c r="I369" s="13" t="str">
        <f t="shared" si="2"/>
        <v>FO-NBI-00#RH-KE-A-367</v>
      </c>
      <c r="J369" s="25"/>
      <c r="K369" s="66"/>
      <c r="L369" s="31"/>
      <c r="M369" s="31"/>
      <c r="N369" s="26" t="str">
        <f t="shared" si="3"/>
        <v>Roam Hub - </v>
      </c>
      <c r="O369" s="26" t="str">
        <f t="shared" si="4"/>
        <v>FO-NBI-00#RH-KE-A-367: Roam Hub - </v>
      </c>
      <c r="R369" s="53"/>
      <c r="S369" s="78" t="b">
        <v>0</v>
      </c>
      <c r="T369" s="78" t="b">
        <v>0</v>
      </c>
      <c r="U369" s="78" t="b">
        <v>0</v>
      </c>
      <c r="V369" s="30" t="b">
        <v>0</v>
      </c>
      <c r="W369" s="30" t="b">
        <v>0</v>
      </c>
      <c r="X369" s="30"/>
      <c r="Y369" s="30"/>
      <c r="Z369" s="30"/>
      <c r="AA369" s="30"/>
      <c r="AB369" s="30"/>
      <c r="AC369" s="50"/>
      <c r="AD369" s="30"/>
      <c r="AE369" s="12">
        <f t="shared" si="5"/>
        <v>0</v>
      </c>
      <c r="AF369" s="70">
        <f t="shared" si="6"/>
        <v>0</v>
      </c>
      <c r="AG369" s="76"/>
      <c r="AH369" s="76"/>
      <c r="AI369" s="76"/>
      <c r="AJ369" s="76"/>
      <c r="AK369" s="76"/>
      <c r="AL369" s="30"/>
      <c r="AM369" s="79"/>
      <c r="AN369" s="79"/>
      <c r="AO369" s="79"/>
    </row>
    <row r="370" hidden="1">
      <c r="A370" s="12" t="s">
        <v>74</v>
      </c>
      <c r="B370" s="64"/>
      <c r="C370" s="12" t="s">
        <v>248</v>
      </c>
      <c r="D370" s="12" t="str">
        <f>vlookup(C370,'List of Chargers'!$A$2:$B$5,2,FALSE)</f>
        <v>Roam Hub</v>
      </c>
      <c r="E370" s="12" t="s">
        <v>73</v>
      </c>
      <c r="F370" s="12" t="s">
        <v>75</v>
      </c>
      <c r="G370" s="12">
        <v>368.0</v>
      </c>
      <c r="H370" s="13" t="str">
        <f t="shared" si="1"/>
        <v>#RH-KE-A-368</v>
      </c>
      <c r="I370" s="13" t="str">
        <f t="shared" si="2"/>
        <v>FO-NBI-00#RH-KE-A-368</v>
      </c>
      <c r="J370" s="25"/>
      <c r="K370" s="66"/>
      <c r="L370" s="31"/>
      <c r="M370" s="31"/>
      <c r="N370" s="26" t="str">
        <f t="shared" si="3"/>
        <v>Roam Hub - </v>
      </c>
      <c r="O370" s="26" t="str">
        <f t="shared" si="4"/>
        <v>FO-NBI-00#RH-KE-A-368: Roam Hub - </v>
      </c>
      <c r="R370" s="53"/>
      <c r="S370" s="78" t="b">
        <v>0</v>
      </c>
      <c r="T370" s="78" t="b">
        <v>0</v>
      </c>
      <c r="U370" s="78" t="b">
        <v>0</v>
      </c>
      <c r="V370" s="30" t="b">
        <v>0</v>
      </c>
      <c r="W370" s="30" t="b">
        <v>0</v>
      </c>
      <c r="X370" s="30"/>
      <c r="Y370" s="30"/>
      <c r="Z370" s="30"/>
      <c r="AA370" s="30"/>
      <c r="AB370" s="30"/>
      <c r="AC370" s="50"/>
      <c r="AD370" s="30"/>
      <c r="AE370" s="12">
        <f t="shared" si="5"/>
        <v>0</v>
      </c>
      <c r="AF370" s="70">
        <f t="shared" si="6"/>
        <v>0</v>
      </c>
      <c r="AG370" s="76"/>
      <c r="AH370" s="76"/>
      <c r="AI370" s="76"/>
      <c r="AJ370" s="76"/>
      <c r="AK370" s="76"/>
      <c r="AL370" s="30"/>
      <c r="AM370" s="79"/>
      <c r="AN370" s="79"/>
      <c r="AO370" s="79"/>
    </row>
    <row r="371" hidden="1">
      <c r="A371" s="12" t="s">
        <v>74</v>
      </c>
      <c r="B371" s="64"/>
      <c r="C371" s="12" t="s">
        <v>248</v>
      </c>
      <c r="D371" s="12" t="str">
        <f>vlookup(C371,'List of Chargers'!$A$2:$B$5,2,FALSE)</f>
        <v>Roam Hub</v>
      </c>
      <c r="E371" s="12" t="s">
        <v>73</v>
      </c>
      <c r="F371" s="12" t="s">
        <v>75</v>
      </c>
      <c r="G371" s="12">
        <v>369.0</v>
      </c>
      <c r="H371" s="13" t="str">
        <f t="shared" si="1"/>
        <v>#RH-KE-A-369</v>
      </c>
      <c r="I371" s="13" t="str">
        <f t="shared" si="2"/>
        <v>FO-NBI-00#RH-KE-A-369</v>
      </c>
      <c r="J371" s="25"/>
      <c r="K371" s="66"/>
      <c r="L371" s="31"/>
      <c r="M371" s="31"/>
      <c r="N371" s="26" t="str">
        <f t="shared" si="3"/>
        <v>Roam Hub - </v>
      </c>
      <c r="O371" s="26" t="str">
        <f t="shared" si="4"/>
        <v>FO-NBI-00#RH-KE-A-369: Roam Hub - </v>
      </c>
      <c r="R371" s="53"/>
      <c r="S371" s="78" t="b">
        <v>0</v>
      </c>
      <c r="T371" s="78" t="b">
        <v>0</v>
      </c>
      <c r="U371" s="78" t="b">
        <v>0</v>
      </c>
      <c r="V371" s="30" t="b">
        <v>0</v>
      </c>
      <c r="W371" s="30" t="b">
        <v>0</v>
      </c>
      <c r="X371" s="30"/>
      <c r="Y371" s="30"/>
      <c r="Z371" s="30"/>
      <c r="AA371" s="30"/>
      <c r="AB371" s="30"/>
      <c r="AC371" s="50"/>
      <c r="AD371" s="30"/>
      <c r="AE371" s="12">
        <f t="shared" si="5"/>
        <v>0</v>
      </c>
      <c r="AF371" s="70">
        <f t="shared" si="6"/>
        <v>0</v>
      </c>
      <c r="AG371" s="76"/>
      <c r="AH371" s="76"/>
      <c r="AI371" s="76"/>
      <c r="AJ371" s="76"/>
      <c r="AK371" s="76"/>
      <c r="AL371" s="30"/>
      <c r="AM371" s="79"/>
      <c r="AN371" s="79"/>
      <c r="AO371" s="79"/>
    </row>
    <row r="372" hidden="1">
      <c r="A372" s="12" t="s">
        <v>74</v>
      </c>
      <c r="B372" s="64"/>
      <c r="C372" s="12" t="s">
        <v>248</v>
      </c>
      <c r="D372" s="12" t="str">
        <f>vlookup(C372,'List of Chargers'!$A$2:$B$5,2,FALSE)</f>
        <v>Roam Hub</v>
      </c>
      <c r="E372" s="12" t="s">
        <v>73</v>
      </c>
      <c r="F372" s="12" t="s">
        <v>75</v>
      </c>
      <c r="G372" s="12">
        <v>370.0</v>
      </c>
      <c r="H372" s="13" t="str">
        <f t="shared" si="1"/>
        <v>#RH-KE-A-370</v>
      </c>
      <c r="I372" s="13" t="str">
        <f t="shared" si="2"/>
        <v>FO-NBI-00#RH-KE-A-370</v>
      </c>
      <c r="J372" s="25"/>
      <c r="K372" s="66"/>
      <c r="L372" s="31"/>
      <c r="M372" s="31"/>
      <c r="N372" s="26" t="str">
        <f t="shared" si="3"/>
        <v>Roam Hub - </v>
      </c>
      <c r="O372" s="26" t="str">
        <f t="shared" si="4"/>
        <v>FO-NBI-00#RH-KE-A-370: Roam Hub - </v>
      </c>
      <c r="R372" s="53"/>
      <c r="S372" s="78" t="b">
        <v>0</v>
      </c>
      <c r="T372" s="78" t="b">
        <v>0</v>
      </c>
      <c r="U372" s="78" t="b">
        <v>0</v>
      </c>
      <c r="V372" s="30" t="b">
        <v>0</v>
      </c>
      <c r="W372" s="30" t="b">
        <v>0</v>
      </c>
      <c r="X372" s="30"/>
      <c r="Y372" s="30"/>
      <c r="Z372" s="30"/>
      <c r="AA372" s="30"/>
      <c r="AB372" s="30"/>
      <c r="AC372" s="50"/>
      <c r="AD372" s="30"/>
      <c r="AE372" s="12">
        <f t="shared" si="5"/>
        <v>0</v>
      </c>
      <c r="AF372" s="70">
        <f t="shared" si="6"/>
        <v>0</v>
      </c>
      <c r="AG372" s="76"/>
      <c r="AH372" s="76"/>
      <c r="AI372" s="76"/>
      <c r="AJ372" s="76"/>
      <c r="AK372" s="76"/>
      <c r="AL372" s="30"/>
      <c r="AM372" s="79"/>
      <c r="AN372" s="79"/>
      <c r="AO372" s="79"/>
    </row>
    <row r="373" hidden="1">
      <c r="A373" s="12" t="s">
        <v>74</v>
      </c>
      <c r="B373" s="64"/>
      <c r="C373" s="12" t="s">
        <v>248</v>
      </c>
      <c r="D373" s="12" t="str">
        <f>vlookup(C373,'List of Chargers'!$A$2:$B$5,2,FALSE)</f>
        <v>Roam Hub</v>
      </c>
      <c r="E373" s="12" t="s">
        <v>73</v>
      </c>
      <c r="F373" s="12" t="s">
        <v>75</v>
      </c>
      <c r="G373" s="12">
        <v>371.0</v>
      </c>
      <c r="H373" s="13" t="str">
        <f t="shared" si="1"/>
        <v>#RH-KE-A-371</v>
      </c>
      <c r="I373" s="13" t="str">
        <f t="shared" si="2"/>
        <v>FO-NBI-00#RH-KE-A-371</v>
      </c>
      <c r="J373" s="25"/>
      <c r="K373" s="66"/>
      <c r="L373" s="31"/>
      <c r="M373" s="31"/>
      <c r="N373" s="26" t="str">
        <f t="shared" si="3"/>
        <v>Roam Hub - </v>
      </c>
      <c r="O373" s="26" t="str">
        <f t="shared" si="4"/>
        <v>FO-NBI-00#RH-KE-A-371: Roam Hub - </v>
      </c>
      <c r="R373" s="53"/>
      <c r="S373" s="78" t="b">
        <v>0</v>
      </c>
      <c r="T373" s="78" t="b">
        <v>0</v>
      </c>
      <c r="U373" s="78" t="b">
        <v>0</v>
      </c>
      <c r="V373" s="30" t="b">
        <v>0</v>
      </c>
      <c r="W373" s="30" t="b">
        <v>0</v>
      </c>
      <c r="X373" s="30"/>
      <c r="Y373" s="30"/>
      <c r="Z373" s="30"/>
      <c r="AA373" s="30"/>
      <c r="AB373" s="30"/>
      <c r="AC373" s="50"/>
      <c r="AD373" s="30"/>
      <c r="AE373" s="12">
        <f t="shared" si="5"/>
        <v>0</v>
      </c>
      <c r="AF373" s="70">
        <f t="shared" si="6"/>
        <v>0</v>
      </c>
      <c r="AG373" s="76"/>
      <c r="AH373" s="76"/>
      <c r="AI373" s="76"/>
      <c r="AJ373" s="76"/>
      <c r="AK373" s="76"/>
      <c r="AL373" s="30"/>
      <c r="AM373" s="79"/>
      <c r="AN373" s="79"/>
      <c r="AO373" s="79"/>
    </row>
    <row r="374" hidden="1">
      <c r="A374" s="12" t="s">
        <v>74</v>
      </c>
      <c r="B374" s="64"/>
      <c r="C374" s="12" t="s">
        <v>248</v>
      </c>
      <c r="D374" s="12" t="str">
        <f>vlookup(C374,'List of Chargers'!$A$2:$B$5,2,FALSE)</f>
        <v>Roam Hub</v>
      </c>
      <c r="E374" s="12" t="s">
        <v>73</v>
      </c>
      <c r="F374" s="12" t="s">
        <v>75</v>
      </c>
      <c r="G374" s="12">
        <v>372.0</v>
      </c>
      <c r="H374" s="13" t="str">
        <f t="shared" si="1"/>
        <v>#RH-KE-A-372</v>
      </c>
      <c r="I374" s="13" t="str">
        <f t="shared" si="2"/>
        <v>FO-NBI-00#RH-KE-A-372</v>
      </c>
      <c r="J374" s="25"/>
      <c r="K374" s="66"/>
      <c r="L374" s="31"/>
      <c r="M374" s="31"/>
      <c r="N374" s="26" t="str">
        <f t="shared" si="3"/>
        <v>Roam Hub - </v>
      </c>
      <c r="O374" s="26" t="str">
        <f t="shared" si="4"/>
        <v>FO-NBI-00#RH-KE-A-372: Roam Hub - </v>
      </c>
      <c r="R374" s="53"/>
      <c r="S374" s="78" t="b">
        <v>0</v>
      </c>
      <c r="T374" s="78" t="b">
        <v>0</v>
      </c>
      <c r="U374" s="78" t="b">
        <v>0</v>
      </c>
      <c r="V374" s="30" t="b">
        <v>0</v>
      </c>
      <c r="W374" s="30" t="b">
        <v>0</v>
      </c>
      <c r="X374" s="30"/>
      <c r="Y374" s="30"/>
      <c r="Z374" s="30"/>
      <c r="AA374" s="30"/>
      <c r="AB374" s="30"/>
      <c r="AC374" s="50"/>
      <c r="AD374" s="30"/>
      <c r="AE374" s="12">
        <f t="shared" si="5"/>
        <v>0</v>
      </c>
      <c r="AF374" s="70">
        <f t="shared" si="6"/>
        <v>0</v>
      </c>
      <c r="AG374" s="76"/>
      <c r="AH374" s="76"/>
      <c r="AI374" s="76"/>
      <c r="AJ374" s="76"/>
      <c r="AK374" s="76"/>
      <c r="AL374" s="30"/>
      <c r="AM374" s="79"/>
      <c r="AN374" s="79"/>
      <c r="AO374" s="79"/>
    </row>
    <row r="375" hidden="1">
      <c r="A375" s="12" t="s">
        <v>74</v>
      </c>
      <c r="B375" s="64"/>
      <c r="C375" s="12" t="s">
        <v>248</v>
      </c>
      <c r="D375" s="12" t="str">
        <f>vlookup(C375,'List of Chargers'!$A$2:$B$5,2,FALSE)</f>
        <v>Roam Hub</v>
      </c>
      <c r="E375" s="12" t="s">
        <v>73</v>
      </c>
      <c r="F375" s="12" t="s">
        <v>75</v>
      </c>
      <c r="G375" s="12">
        <v>373.0</v>
      </c>
      <c r="H375" s="13" t="str">
        <f t="shared" si="1"/>
        <v>#RH-KE-A-373</v>
      </c>
      <c r="I375" s="13" t="str">
        <f t="shared" si="2"/>
        <v>FO-NBI-00#RH-KE-A-373</v>
      </c>
      <c r="J375" s="25"/>
      <c r="K375" s="66"/>
      <c r="L375" s="31"/>
      <c r="M375" s="31"/>
      <c r="N375" s="26" t="str">
        <f t="shared" si="3"/>
        <v>Roam Hub - </v>
      </c>
      <c r="O375" s="26" t="str">
        <f t="shared" si="4"/>
        <v>FO-NBI-00#RH-KE-A-373: Roam Hub - </v>
      </c>
      <c r="R375" s="53"/>
      <c r="S375" s="78" t="b">
        <v>0</v>
      </c>
      <c r="T375" s="78" t="b">
        <v>0</v>
      </c>
      <c r="U375" s="78" t="b">
        <v>0</v>
      </c>
      <c r="V375" s="30" t="b">
        <v>0</v>
      </c>
      <c r="W375" s="30" t="b">
        <v>0</v>
      </c>
      <c r="X375" s="30"/>
      <c r="Y375" s="30"/>
      <c r="Z375" s="30"/>
      <c r="AA375" s="30"/>
      <c r="AB375" s="30"/>
      <c r="AC375" s="50"/>
      <c r="AD375" s="30"/>
      <c r="AE375" s="12">
        <f t="shared" si="5"/>
        <v>0</v>
      </c>
      <c r="AF375" s="70">
        <f t="shared" si="6"/>
        <v>0</v>
      </c>
      <c r="AG375" s="76"/>
      <c r="AH375" s="76"/>
      <c r="AI375" s="76"/>
      <c r="AJ375" s="76"/>
      <c r="AK375" s="76"/>
      <c r="AL375" s="30"/>
      <c r="AM375" s="79"/>
      <c r="AN375" s="79"/>
      <c r="AO375" s="79"/>
    </row>
    <row r="376" hidden="1">
      <c r="A376" s="12" t="s">
        <v>74</v>
      </c>
      <c r="B376" s="64"/>
      <c r="C376" s="12" t="s">
        <v>248</v>
      </c>
      <c r="D376" s="12" t="str">
        <f>vlookup(C376,'List of Chargers'!$A$2:$B$5,2,FALSE)</f>
        <v>Roam Hub</v>
      </c>
      <c r="E376" s="12" t="s">
        <v>73</v>
      </c>
      <c r="F376" s="12" t="s">
        <v>75</v>
      </c>
      <c r="G376" s="12">
        <v>374.0</v>
      </c>
      <c r="H376" s="13" t="str">
        <f t="shared" si="1"/>
        <v>#RH-KE-A-374</v>
      </c>
      <c r="I376" s="13" t="str">
        <f t="shared" si="2"/>
        <v>FO-NBI-00#RH-KE-A-374</v>
      </c>
      <c r="J376" s="25"/>
      <c r="K376" s="66"/>
      <c r="L376" s="31"/>
      <c r="M376" s="31"/>
      <c r="N376" s="26" t="str">
        <f t="shared" si="3"/>
        <v>Roam Hub - </v>
      </c>
      <c r="O376" s="26" t="str">
        <f t="shared" si="4"/>
        <v>FO-NBI-00#RH-KE-A-374: Roam Hub - </v>
      </c>
      <c r="R376" s="53"/>
      <c r="S376" s="78" t="b">
        <v>0</v>
      </c>
      <c r="T376" s="78" t="b">
        <v>0</v>
      </c>
      <c r="U376" s="78" t="b">
        <v>0</v>
      </c>
      <c r="V376" s="30" t="b">
        <v>0</v>
      </c>
      <c r="W376" s="30" t="b">
        <v>0</v>
      </c>
      <c r="X376" s="30"/>
      <c r="Y376" s="30"/>
      <c r="Z376" s="30"/>
      <c r="AA376" s="30"/>
      <c r="AB376" s="30"/>
      <c r="AC376" s="50"/>
      <c r="AD376" s="30"/>
      <c r="AE376" s="12">
        <f t="shared" si="5"/>
        <v>0</v>
      </c>
      <c r="AF376" s="70">
        <f t="shared" si="6"/>
        <v>0</v>
      </c>
      <c r="AG376" s="76"/>
      <c r="AH376" s="76"/>
      <c r="AI376" s="76"/>
      <c r="AJ376" s="76"/>
      <c r="AK376" s="76"/>
      <c r="AL376" s="30"/>
      <c r="AM376" s="79"/>
      <c r="AN376" s="79"/>
      <c r="AO376" s="79"/>
    </row>
    <row r="377" hidden="1">
      <c r="A377" s="12" t="s">
        <v>74</v>
      </c>
      <c r="B377" s="64"/>
      <c r="C377" s="12" t="s">
        <v>248</v>
      </c>
      <c r="D377" s="12" t="str">
        <f>vlookup(C377,'List of Chargers'!$A$2:$B$5,2,FALSE)</f>
        <v>Roam Hub</v>
      </c>
      <c r="E377" s="12" t="s">
        <v>73</v>
      </c>
      <c r="F377" s="12" t="s">
        <v>75</v>
      </c>
      <c r="G377" s="12">
        <v>375.0</v>
      </c>
      <c r="H377" s="13" t="str">
        <f t="shared" si="1"/>
        <v>#RH-KE-A-375</v>
      </c>
      <c r="I377" s="13" t="str">
        <f t="shared" si="2"/>
        <v>FO-NBI-00#RH-KE-A-375</v>
      </c>
      <c r="J377" s="25"/>
      <c r="K377" s="66"/>
      <c r="L377" s="31"/>
      <c r="M377" s="31"/>
      <c r="N377" s="26" t="str">
        <f t="shared" si="3"/>
        <v>Roam Hub - </v>
      </c>
      <c r="O377" s="26" t="str">
        <f t="shared" si="4"/>
        <v>FO-NBI-00#RH-KE-A-375: Roam Hub - </v>
      </c>
      <c r="R377" s="53"/>
      <c r="S377" s="78" t="b">
        <v>0</v>
      </c>
      <c r="T377" s="78" t="b">
        <v>0</v>
      </c>
      <c r="U377" s="78" t="b">
        <v>0</v>
      </c>
      <c r="V377" s="30" t="b">
        <v>0</v>
      </c>
      <c r="W377" s="30" t="b">
        <v>0</v>
      </c>
      <c r="X377" s="30"/>
      <c r="Y377" s="30"/>
      <c r="Z377" s="30"/>
      <c r="AA377" s="30"/>
      <c r="AB377" s="30"/>
      <c r="AC377" s="50"/>
      <c r="AD377" s="30"/>
      <c r="AE377" s="12">
        <f t="shared" si="5"/>
        <v>0</v>
      </c>
      <c r="AF377" s="70">
        <f t="shared" si="6"/>
        <v>0</v>
      </c>
      <c r="AG377" s="76"/>
      <c r="AH377" s="76"/>
      <c r="AI377" s="76"/>
      <c r="AJ377" s="76"/>
      <c r="AK377" s="76"/>
      <c r="AL377" s="30"/>
      <c r="AM377" s="79"/>
      <c r="AN377" s="79"/>
      <c r="AO377" s="79"/>
    </row>
    <row r="378" hidden="1">
      <c r="A378" s="12" t="s">
        <v>74</v>
      </c>
      <c r="B378" s="64"/>
      <c r="C378" s="12" t="s">
        <v>248</v>
      </c>
      <c r="D378" s="12" t="str">
        <f>vlookup(C378,'List of Chargers'!$A$2:$B$5,2,FALSE)</f>
        <v>Roam Hub</v>
      </c>
      <c r="E378" s="12" t="s">
        <v>73</v>
      </c>
      <c r="F378" s="12" t="s">
        <v>75</v>
      </c>
      <c r="G378" s="12">
        <v>376.0</v>
      </c>
      <c r="H378" s="13" t="str">
        <f t="shared" si="1"/>
        <v>#RH-KE-A-376</v>
      </c>
      <c r="I378" s="13" t="str">
        <f t="shared" si="2"/>
        <v>FO-NBI-00#RH-KE-A-376</v>
      </c>
      <c r="J378" s="25"/>
      <c r="K378" s="66"/>
      <c r="L378" s="31"/>
      <c r="M378" s="31"/>
      <c r="N378" s="26" t="str">
        <f t="shared" si="3"/>
        <v>Roam Hub - </v>
      </c>
      <c r="O378" s="26" t="str">
        <f t="shared" si="4"/>
        <v>FO-NBI-00#RH-KE-A-376: Roam Hub - </v>
      </c>
      <c r="R378" s="53"/>
      <c r="S378" s="78" t="b">
        <v>0</v>
      </c>
      <c r="T378" s="78" t="b">
        <v>0</v>
      </c>
      <c r="U378" s="78" t="b">
        <v>0</v>
      </c>
      <c r="V378" s="30" t="b">
        <v>0</v>
      </c>
      <c r="W378" s="30" t="b">
        <v>0</v>
      </c>
      <c r="X378" s="30"/>
      <c r="Y378" s="30"/>
      <c r="Z378" s="30"/>
      <c r="AA378" s="30"/>
      <c r="AB378" s="30"/>
      <c r="AC378" s="50"/>
      <c r="AD378" s="30"/>
      <c r="AE378" s="12">
        <f t="shared" si="5"/>
        <v>0</v>
      </c>
      <c r="AF378" s="70">
        <f t="shared" si="6"/>
        <v>0</v>
      </c>
      <c r="AG378" s="76"/>
      <c r="AH378" s="76"/>
      <c r="AI378" s="76"/>
      <c r="AJ378" s="76"/>
      <c r="AK378" s="76"/>
      <c r="AL378" s="30"/>
      <c r="AM378" s="79"/>
      <c r="AN378" s="79"/>
      <c r="AO378" s="79"/>
    </row>
    <row r="379" hidden="1">
      <c r="A379" s="12" t="s">
        <v>74</v>
      </c>
      <c r="B379" s="64"/>
      <c r="C379" s="12" t="s">
        <v>248</v>
      </c>
      <c r="D379" s="12" t="str">
        <f>vlookup(C379,'List of Chargers'!$A$2:$B$5,2,FALSE)</f>
        <v>Roam Hub</v>
      </c>
      <c r="E379" s="12" t="s">
        <v>73</v>
      </c>
      <c r="F379" s="12" t="s">
        <v>75</v>
      </c>
      <c r="G379" s="12">
        <v>377.0</v>
      </c>
      <c r="H379" s="13" t="str">
        <f t="shared" si="1"/>
        <v>#RH-KE-A-377</v>
      </c>
      <c r="I379" s="13" t="str">
        <f t="shared" si="2"/>
        <v>FO-NBI-00#RH-KE-A-377</v>
      </c>
      <c r="J379" s="25"/>
      <c r="K379" s="66"/>
      <c r="L379" s="31"/>
      <c r="M379" s="31"/>
      <c r="N379" s="26" t="str">
        <f t="shared" si="3"/>
        <v>Roam Hub - </v>
      </c>
      <c r="O379" s="26" t="str">
        <f t="shared" si="4"/>
        <v>FO-NBI-00#RH-KE-A-377: Roam Hub - </v>
      </c>
      <c r="R379" s="53"/>
      <c r="S379" s="78" t="b">
        <v>0</v>
      </c>
      <c r="T379" s="78" t="b">
        <v>0</v>
      </c>
      <c r="U379" s="78" t="b">
        <v>0</v>
      </c>
      <c r="V379" s="30" t="b">
        <v>0</v>
      </c>
      <c r="W379" s="30" t="b">
        <v>0</v>
      </c>
      <c r="X379" s="30"/>
      <c r="Y379" s="30"/>
      <c r="Z379" s="30"/>
      <c r="AA379" s="30"/>
      <c r="AB379" s="30"/>
      <c r="AC379" s="50"/>
      <c r="AD379" s="30"/>
      <c r="AE379" s="12">
        <f t="shared" si="5"/>
        <v>0</v>
      </c>
      <c r="AF379" s="70">
        <f t="shared" si="6"/>
        <v>0</v>
      </c>
      <c r="AG379" s="76"/>
      <c r="AH379" s="76"/>
      <c r="AI379" s="76"/>
      <c r="AJ379" s="76"/>
      <c r="AK379" s="76"/>
      <c r="AL379" s="30"/>
      <c r="AM379" s="79"/>
      <c r="AN379" s="79"/>
      <c r="AO379" s="79"/>
    </row>
    <row r="380" hidden="1">
      <c r="A380" s="12" t="s">
        <v>74</v>
      </c>
      <c r="B380" s="64"/>
      <c r="C380" s="12" t="s">
        <v>248</v>
      </c>
      <c r="D380" s="12" t="str">
        <f>vlookup(C380,'List of Chargers'!$A$2:$B$5,2,FALSE)</f>
        <v>Roam Hub</v>
      </c>
      <c r="E380" s="12" t="s">
        <v>73</v>
      </c>
      <c r="F380" s="12" t="s">
        <v>75</v>
      </c>
      <c r="G380" s="12">
        <v>378.0</v>
      </c>
      <c r="H380" s="13" t="str">
        <f t="shared" si="1"/>
        <v>#RH-KE-A-378</v>
      </c>
      <c r="I380" s="13" t="str">
        <f t="shared" si="2"/>
        <v>FO-NBI-00#RH-KE-A-378</v>
      </c>
      <c r="J380" s="25"/>
      <c r="K380" s="66"/>
      <c r="L380" s="31"/>
      <c r="M380" s="31"/>
      <c r="N380" s="26" t="str">
        <f t="shared" si="3"/>
        <v>Roam Hub - </v>
      </c>
      <c r="O380" s="26" t="str">
        <f t="shared" si="4"/>
        <v>FO-NBI-00#RH-KE-A-378: Roam Hub - </v>
      </c>
      <c r="R380" s="53"/>
      <c r="S380" s="78" t="b">
        <v>0</v>
      </c>
      <c r="T380" s="78" t="b">
        <v>0</v>
      </c>
      <c r="U380" s="78" t="b">
        <v>0</v>
      </c>
      <c r="V380" s="30" t="b">
        <v>0</v>
      </c>
      <c r="W380" s="30" t="b">
        <v>0</v>
      </c>
      <c r="X380" s="30"/>
      <c r="Y380" s="30"/>
      <c r="Z380" s="30"/>
      <c r="AA380" s="30"/>
      <c r="AB380" s="30"/>
      <c r="AC380" s="50"/>
      <c r="AD380" s="30"/>
      <c r="AE380" s="12">
        <f t="shared" si="5"/>
        <v>0</v>
      </c>
      <c r="AF380" s="70">
        <f t="shared" si="6"/>
        <v>0</v>
      </c>
      <c r="AG380" s="76"/>
      <c r="AH380" s="76"/>
      <c r="AI380" s="76"/>
      <c r="AJ380" s="76"/>
      <c r="AK380" s="76"/>
      <c r="AL380" s="30"/>
      <c r="AM380" s="79"/>
      <c r="AN380" s="79"/>
      <c r="AO380" s="79"/>
    </row>
    <row r="381" hidden="1">
      <c r="A381" s="12" t="s">
        <v>74</v>
      </c>
      <c r="B381" s="64"/>
      <c r="C381" s="12" t="s">
        <v>248</v>
      </c>
      <c r="D381" s="12" t="str">
        <f>vlookup(C381,'List of Chargers'!$A$2:$B$5,2,FALSE)</f>
        <v>Roam Hub</v>
      </c>
      <c r="E381" s="12" t="s">
        <v>73</v>
      </c>
      <c r="F381" s="12" t="s">
        <v>75</v>
      </c>
      <c r="G381" s="12">
        <v>379.0</v>
      </c>
      <c r="H381" s="13" t="str">
        <f t="shared" si="1"/>
        <v>#RH-KE-A-379</v>
      </c>
      <c r="I381" s="13" t="str">
        <f t="shared" si="2"/>
        <v>FO-NBI-00#RH-KE-A-379</v>
      </c>
      <c r="J381" s="25"/>
      <c r="K381" s="66"/>
      <c r="L381" s="31"/>
      <c r="M381" s="31"/>
      <c r="N381" s="26" t="str">
        <f t="shared" si="3"/>
        <v>Roam Hub - </v>
      </c>
      <c r="O381" s="26" t="str">
        <f t="shared" si="4"/>
        <v>FO-NBI-00#RH-KE-A-379: Roam Hub - </v>
      </c>
      <c r="R381" s="53"/>
      <c r="S381" s="78" t="b">
        <v>0</v>
      </c>
      <c r="T381" s="78" t="b">
        <v>0</v>
      </c>
      <c r="U381" s="78" t="b">
        <v>0</v>
      </c>
      <c r="V381" s="30" t="b">
        <v>0</v>
      </c>
      <c r="W381" s="30" t="b">
        <v>0</v>
      </c>
      <c r="X381" s="30"/>
      <c r="Y381" s="30"/>
      <c r="Z381" s="30"/>
      <c r="AA381" s="30"/>
      <c r="AB381" s="30"/>
      <c r="AC381" s="50"/>
      <c r="AD381" s="30"/>
      <c r="AE381" s="12">
        <f t="shared" si="5"/>
        <v>0</v>
      </c>
      <c r="AF381" s="70">
        <f t="shared" si="6"/>
        <v>0</v>
      </c>
      <c r="AG381" s="76"/>
      <c r="AH381" s="76"/>
      <c r="AI381" s="76"/>
      <c r="AJ381" s="76"/>
      <c r="AK381" s="76"/>
      <c r="AL381" s="30"/>
      <c r="AM381" s="79"/>
      <c r="AN381" s="79"/>
      <c r="AO381" s="79"/>
    </row>
    <row r="382" hidden="1">
      <c r="A382" s="12" t="s">
        <v>74</v>
      </c>
      <c r="B382" s="64"/>
      <c r="C382" s="12" t="s">
        <v>248</v>
      </c>
      <c r="D382" s="12" t="str">
        <f>vlookup(C382,'List of Chargers'!$A$2:$B$5,2,FALSE)</f>
        <v>Roam Hub</v>
      </c>
      <c r="E382" s="12" t="s">
        <v>73</v>
      </c>
      <c r="F382" s="12" t="s">
        <v>75</v>
      </c>
      <c r="G382" s="12">
        <v>380.0</v>
      </c>
      <c r="H382" s="13" t="str">
        <f t="shared" si="1"/>
        <v>#RH-KE-A-380</v>
      </c>
      <c r="I382" s="13" t="str">
        <f t="shared" si="2"/>
        <v>FO-NBI-00#RH-KE-A-380</v>
      </c>
      <c r="J382" s="25"/>
      <c r="K382" s="66"/>
      <c r="L382" s="31"/>
      <c r="M382" s="31"/>
      <c r="N382" s="26" t="str">
        <f t="shared" si="3"/>
        <v>Roam Hub - </v>
      </c>
      <c r="O382" s="26" t="str">
        <f t="shared" si="4"/>
        <v>FO-NBI-00#RH-KE-A-380: Roam Hub - </v>
      </c>
      <c r="R382" s="53"/>
      <c r="S382" s="78" t="b">
        <v>0</v>
      </c>
      <c r="T382" s="78" t="b">
        <v>0</v>
      </c>
      <c r="U382" s="78" t="b">
        <v>0</v>
      </c>
      <c r="V382" s="30" t="b">
        <v>0</v>
      </c>
      <c r="W382" s="30" t="b">
        <v>0</v>
      </c>
      <c r="X382" s="30"/>
      <c r="Y382" s="30"/>
      <c r="Z382" s="30"/>
      <c r="AA382" s="30"/>
      <c r="AB382" s="30"/>
      <c r="AC382" s="50"/>
      <c r="AD382" s="30"/>
      <c r="AE382" s="12">
        <f t="shared" si="5"/>
        <v>0</v>
      </c>
      <c r="AF382" s="70">
        <f t="shared" si="6"/>
        <v>0</v>
      </c>
      <c r="AG382" s="76"/>
      <c r="AH382" s="76"/>
      <c r="AI382" s="76"/>
      <c r="AJ382" s="76"/>
      <c r="AK382" s="76"/>
      <c r="AL382" s="30"/>
      <c r="AM382" s="79"/>
      <c r="AN382" s="79"/>
      <c r="AO382" s="79"/>
    </row>
    <row r="383" hidden="1">
      <c r="A383" s="12" t="s">
        <v>74</v>
      </c>
      <c r="B383" s="64"/>
      <c r="C383" s="12" t="s">
        <v>248</v>
      </c>
      <c r="D383" s="12" t="str">
        <f>vlookup(C383,'List of Chargers'!$A$2:$B$5,2,FALSE)</f>
        <v>Roam Hub</v>
      </c>
      <c r="E383" s="12" t="s">
        <v>73</v>
      </c>
      <c r="F383" s="12" t="s">
        <v>75</v>
      </c>
      <c r="G383" s="12">
        <v>381.0</v>
      </c>
      <c r="H383" s="13" t="str">
        <f t="shared" si="1"/>
        <v>#RH-KE-A-381</v>
      </c>
      <c r="I383" s="13" t="str">
        <f t="shared" si="2"/>
        <v>FO-NBI-00#RH-KE-A-381</v>
      </c>
      <c r="J383" s="25"/>
      <c r="K383" s="66"/>
      <c r="L383" s="31"/>
      <c r="M383" s="31"/>
      <c r="N383" s="26" t="str">
        <f t="shared" si="3"/>
        <v>Roam Hub - </v>
      </c>
      <c r="O383" s="26" t="str">
        <f t="shared" si="4"/>
        <v>FO-NBI-00#RH-KE-A-381: Roam Hub - </v>
      </c>
      <c r="R383" s="53"/>
      <c r="S383" s="78" t="b">
        <v>0</v>
      </c>
      <c r="T383" s="78" t="b">
        <v>0</v>
      </c>
      <c r="U383" s="78" t="b">
        <v>0</v>
      </c>
      <c r="V383" s="30" t="b">
        <v>0</v>
      </c>
      <c r="W383" s="30" t="b">
        <v>0</v>
      </c>
      <c r="X383" s="30"/>
      <c r="Y383" s="30"/>
      <c r="Z383" s="30"/>
      <c r="AA383" s="30"/>
      <c r="AB383" s="30"/>
      <c r="AC383" s="50"/>
      <c r="AD383" s="30"/>
      <c r="AE383" s="12">
        <f t="shared" si="5"/>
        <v>0</v>
      </c>
      <c r="AF383" s="70">
        <f t="shared" si="6"/>
        <v>0</v>
      </c>
      <c r="AG383" s="76"/>
      <c r="AH383" s="76"/>
      <c r="AI383" s="76"/>
      <c r="AJ383" s="76"/>
      <c r="AK383" s="76"/>
      <c r="AL383" s="30"/>
      <c r="AM383" s="79"/>
      <c r="AN383" s="79"/>
      <c r="AO383" s="79"/>
    </row>
    <row r="384" hidden="1">
      <c r="A384" s="12" t="s">
        <v>74</v>
      </c>
      <c r="B384" s="64"/>
      <c r="C384" s="12" t="s">
        <v>248</v>
      </c>
      <c r="D384" s="12" t="str">
        <f>vlookup(C384,'List of Chargers'!$A$2:$B$5,2,FALSE)</f>
        <v>Roam Hub</v>
      </c>
      <c r="E384" s="12" t="s">
        <v>73</v>
      </c>
      <c r="F384" s="12" t="s">
        <v>75</v>
      </c>
      <c r="G384" s="12">
        <v>382.0</v>
      </c>
      <c r="H384" s="13" t="str">
        <f t="shared" si="1"/>
        <v>#RH-KE-A-382</v>
      </c>
      <c r="I384" s="13" t="str">
        <f t="shared" si="2"/>
        <v>FO-NBI-00#RH-KE-A-382</v>
      </c>
      <c r="J384" s="25"/>
      <c r="K384" s="66"/>
      <c r="L384" s="31"/>
      <c r="M384" s="31"/>
      <c r="N384" s="26" t="str">
        <f t="shared" si="3"/>
        <v>Roam Hub - </v>
      </c>
      <c r="O384" s="26" t="str">
        <f t="shared" si="4"/>
        <v>FO-NBI-00#RH-KE-A-382: Roam Hub - </v>
      </c>
      <c r="R384" s="53"/>
      <c r="S384" s="78" t="b">
        <v>0</v>
      </c>
      <c r="T384" s="78" t="b">
        <v>0</v>
      </c>
      <c r="U384" s="78" t="b">
        <v>0</v>
      </c>
      <c r="V384" s="30" t="b">
        <v>0</v>
      </c>
      <c r="W384" s="30" t="b">
        <v>0</v>
      </c>
      <c r="X384" s="30"/>
      <c r="Y384" s="30"/>
      <c r="Z384" s="30"/>
      <c r="AA384" s="30"/>
      <c r="AB384" s="30"/>
      <c r="AC384" s="50"/>
      <c r="AD384" s="30"/>
      <c r="AE384" s="12">
        <f t="shared" si="5"/>
        <v>0</v>
      </c>
      <c r="AF384" s="70">
        <f t="shared" si="6"/>
        <v>0</v>
      </c>
      <c r="AG384" s="76"/>
      <c r="AH384" s="76"/>
      <c r="AI384" s="76"/>
      <c r="AJ384" s="76"/>
      <c r="AK384" s="76"/>
      <c r="AL384" s="30"/>
      <c r="AM384" s="79"/>
      <c r="AN384" s="79"/>
      <c r="AO384" s="79"/>
    </row>
    <row r="385" hidden="1">
      <c r="A385" s="12" t="s">
        <v>74</v>
      </c>
      <c r="B385" s="64"/>
      <c r="C385" s="12" t="s">
        <v>248</v>
      </c>
      <c r="D385" s="12" t="str">
        <f>vlookup(C385,'List of Chargers'!$A$2:$B$5,2,FALSE)</f>
        <v>Roam Hub</v>
      </c>
      <c r="E385" s="12" t="s">
        <v>73</v>
      </c>
      <c r="F385" s="12" t="s">
        <v>75</v>
      </c>
      <c r="G385" s="12">
        <v>383.0</v>
      </c>
      <c r="H385" s="13" t="str">
        <f t="shared" si="1"/>
        <v>#RH-KE-A-383</v>
      </c>
      <c r="I385" s="13" t="str">
        <f t="shared" si="2"/>
        <v>FO-NBI-00#RH-KE-A-383</v>
      </c>
      <c r="J385" s="25"/>
      <c r="K385" s="66"/>
      <c r="L385" s="31"/>
      <c r="M385" s="31"/>
      <c r="N385" s="26" t="str">
        <f t="shared" si="3"/>
        <v>Roam Hub - </v>
      </c>
      <c r="O385" s="26" t="str">
        <f t="shared" si="4"/>
        <v>FO-NBI-00#RH-KE-A-383: Roam Hub - </v>
      </c>
      <c r="R385" s="53"/>
      <c r="S385" s="78" t="b">
        <v>0</v>
      </c>
      <c r="T385" s="78" t="b">
        <v>0</v>
      </c>
      <c r="U385" s="78" t="b">
        <v>0</v>
      </c>
      <c r="V385" s="30" t="b">
        <v>0</v>
      </c>
      <c r="W385" s="30" t="b">
        <v>0</v>
      </c>
      <c r="X385" s="30"/>
      <c r="Y385" s="30"/>
      <c r="Z385" s="30"/>
      <c r="AA385" s="30"/>
      <c r="AB385" s="30"/>
      <c r="AC385" s="50"/>
      <c r="AD385" s="30"/>
      <c r="AE385" s="12">
        <f t="shared" si="5"/>
        <v>0</v>
      </c>
      <c r="AF385" s="70">
        <f t="shared" si="6"/>
        <v>0</v>
      </c>
      <c r="AG385" s="76"/>
      <c r="AH385" s="76"/>
      <c r="AI385" s="76"/>
      <c r="AJ385" s="76"/>
      <c r="AK385" s="76"/>
      <c r="AL385" s="30"/>
      <c r="AM385" s="79"/>
      <c r="AN385" s="79"/>
      <c r="AO385" s="79"/>
    </row>
    <row r="386" hidden="1">
      <c r="A386" s="12" t="s">
        <v>74</v>
      </c>
      <c r="B386" s="64"/>
      <c r="C386" s="12" t="s">
        <v>248</v>
      </c>
      <c r="D386" s="12" t="str">
        <f>vlookup(C386,'List of Chargers'!$A$2:$B$5,2,FALSE)</f>
        <v>Roam Hub</v>
      </c>
      <c r="E386" s="12" t="s">
        <v>73</v>
      </c>
      <c r="F386" s="12" t="s">
        <v>75</v>
      </c>
      <c r="G386" s="12">
        <v>384.0</v>
      </c>
      <c r="H386" s="13" t="str">
        <f t="shared" si="1"/>
        <v>#RH-KE-A-384</v>
      </c>
      <c r="I386" s="13" t="str">
        <f t="shared" si="2"/>
        <v>FO-NBI-00#RH-KE-A-384</v>
      </c>
      <c r="J386" s="25"/>
      <c r="K386" s="66"/>
      <c r="L386" s="31"/>
      <c r="M386" s="31"/>
      <c r="N386" s="26" t="str">
        <f t="shared" si="3"/>
        <v>Roam Hub - </v>
      </c>
      <c r="O386" s="26" t="str">
        <f t="shared" si="4"/>
        <v>FO-NBI-00#RH-KE-A-384: Roam Hub - </v>
      </c>
      <c r="R386" s="53"/>
      <c r="S386" s="78" t="b">
        <v>0</v>
      </c>
      <c r="T386" s="78" t="b">
        <v>0</v>
      </c>
      <c r="U386" s="78" t="b">
        <v>0</v>
      </c>
      <c r="V386" s="30" t="b">
        <v>0</v>
      </c>
      <c r="W386" s="30" t="b">
        <v>0</v>
      </c>
      <c r="X386" s="30"/>
      <c r="Y386" s="30"/>
      <c r="Z386" s="30"/>
      <c r="AA386" s="30"/>
      <c r="AB386" s="30"/>
      <c r="AC386" s="50"/>
      <c r="AD386" s="30"/>
      <c r="AE386" s="12">
        <f t="shared" si="5"/>
        <v>0</v>
      </c>
      <c r="AF386" s="70">
        <f t="shared" si="6"/>
        <v>0</v>
      </c>
      <c r="AG386" s="76"/>
      <c r="AH386" s="76"/>
      <c r="AI386" s="76"/>
      <c r="AJ386" s="76"/>
      <c r="AK386" s="76"/>
      <c r="AL386" s="30"/>
      <c r="AM386" s="79"/>
      <c r="AN386" s="79"/>
      <c r="AO386" s="79"/>
    </row>
    <row r="387" hidden="1">
      <c r="A387" s="12" t="s">
        <v>74</v>
      </c>
      <c r="B387" s="64"/>
      <c r="C387" s="12" t="s">
        <v>248</v>
      </c>
      <c r="D387" s="12" t="str">
        <f>vlookup(C387,'List of Chargers'!$A$2:$B$5,2,FALSE)</f>
        <v>Roam Hub</v>
      </c>
      <c r="E387" s="12" t="s">
        <v>73</v>
      </c>
      <c r="F387" s="12" t="s">
        <v>75</v>
      </c>
      <c r="G387" s="12">
        <v>385.0</v>
      </c>
      <c r="H387" s="13" t="str">
        <f t="shared" si="1"/>
        <v>#RH-KE-A-385</v>
      </c>
      <c r="I387" s="13" t="str">
        <f t="shared" si="2"/>
        <v>FO-NBI-00#RH-KE-A-385</v>
      </c>
      <c r="J387" s="25"/>
      <c r="K387" s="66"/>
      <c r="L387" s="31"/>
      <c r="M387" s="31"/>
      <c r="N387" s="26" t="str">
        <f t="shared" si="3"/>
        <v>Roam Hub - </v>
      </c>
      <c r="O387" s="26" t="str">
        <f t="shared" si="4"/>
        <v>FO-NBI-00#RH-KE-A-385: Roam Hub - </v>
      </c>
      <c r="R387" s="53"/>
      <c r="S387" s="78" t="b">
        <v>0</v>
      </c>
      <c r="T387" s="78" t="b">
        <v>0</v>
      </c>
      <c r="U387" s="78" t="b">
        <v>0</v>
      </c>
      <c r="V387" s="30" t="b">
        <v>0</v>
      </c>
      <c r="W387" s="30" t="b">
        <v>0</v>
      </c>
      <c r="X387" s="30"/>
      <c r="Y387" s="30"/>
      <c r="Z387" s="30"/>
      <c r="AA387" s="30"/>
      <c r="AB387" s="30"/>
      <c r="AC387" s="50"/>
      <c r="AD387" s="30"/>
      <c r="AE387" s="12">
        <f t="shared" si="5"/>
        <v>0</v>
      </c>
      <c r="AF387" s="70">
        <f t="shared" si="6"/>
        <v>0</v>
      </c>
      <c r="AG387" s="76"/>
      <c r="AH387" s="76"/>
      <c r="AI387" s="76"/>
      <c r="AJ387" s="76"/>
      <c r="AK387" s="76"/>
      <c r="AL387" s="30"/>
      <c r="AM387" s="79"/>
      <c r="AN387" s="79"/>
      <c r="AO387" s="79"/>
    </row>
    <row r="388" hidden="1">
      <c r="A388" s="12" t="s">
        <v>74</v>
      </c>
      <c r="B388" s="64"/>
      <c r="C388" s="12" t="s">
        <v>248</v>
      </c>
      <c r="D388" s="12" t="str">
        <f>vlookup(C388,'List of Chargers'!$A$2:$B$5,2,FALSE)</f>
        <v>Roam Hub</v>
      </c>
      <c r="E388" s="12" t="s">
        <v>73</v>
      </c>
      <c r="F388" s="12" t="s">
        <v>75</v>
      </c>
      <c r="G388" s="12">
        <v>386.0</v>
      </c>
      <c r="H388" s="13" t="str">
        <f t="shared" si="1"/>
        <v>#RH-KE-A-386</v>
      </c>
      <c r="I388" s="13" t="str">
        <f t="shared" si="2"/>
        <v>FO-NBI-00#RH-KE-A-386</v>
      </c>
      <c r="J388" s="25"/>
      <c r="K388" s="66"/>
      <c r="L388" s="31"/>
      <c r="M388" s="31"/>
      <c r="N388" s="26" t="str">
        <f t="shared" si="3"/>
        <v>Roam Hub - </v>
      </c>
      <c r="O388" s="26" t="str">
        <f t="shared" si="4"/>
        <v>FO-NBI-00#RH-KE-A-386: Roam Hub - </v>
      </c>
      <c r="R388" s="53"/>
      <c r="S388" s="78" t="b">
        <v>0</v>
      </c>
      <c r="T388" s="78" t="b">
        <v>0</v>
      </c>
      <c r="U388" s="78" t="b">
        <v>0</v>
      </c>
      <c r="V388" s="30" t="b">
        <v>0</v>
      </c>
      <c r="W388" s="30" t="b">
        <v>0</v>
      </c>
      <c r="X388" s="30"/>
      <c r="Y388" s="30"/>
      <c r="Z388" s="30"/>
      <c r="AA388" s="30"/>
      <c r="AB388" s="30"/>
      <c r="AC388" s="50"/>
      <c r="AD388" s="30"/>
      <c r="AE388" s="12">
        <f t="shared" si="5"/>
        <v>0</v>
      </c>
      <c r="AF388" s="70">
        <f t="shared" si="6"/>
        <v>0</v>
      </c>
      <c r="AG388" s="76"/>
      <c r="AH388" s="76"/>
      <c r="AI388" s="76"/>
      <c r="AJ388" s="76"/>
      <c r="AK388" s="76"/>
      <c r="AL388" s="30"/>
      <c r="AM388" s="79"/>
      <c r="AN388" s="79"/>
      <c r="AO388" s="79"/>
    </row>
    <row r="389" hidden="1">
      <c r="A389" s="12" t="s">
        <v>74</v>
      </c>
      <c r="B389" s="64"/>
      <c r="C389" s="12" t="s">
        <v>248</v>
      </c>
      <c r="D389" s="12" t="str">
        <f>vlookup(C389,'List of Chargers'!$A$2:$B$5,2,FALSE)</f>
        <v>Roam Hub</v>
      </c>
      <c r="E389" s="12" t="s">
        <v>73</v>
      </c>
      <c r="F389" s="12" t="s">
        <v>75</v>
      </c>
      <c r="G389" s="12">
        <v>387.0</v>
      </c>
      <c r="H389" s="13" t="str">
        <f t="shared" si="1"/>
        <v>#RH-KE-A-387</v>
      </c>
      <c r="I389" s="13" t="str">
        <f t="shared" si="2"/>
        <v>FO-NBI-00#RH-KE-A-387</v>
      </c>
      <c r="J389" s="25"/>
      <c r="K389" s="66"/>
      <c r="L389" s="31"/>
      <c r="M389" s="31"/>
      <c r="N389" s="26" t="str">
        <f t="shared" si="3"/>
        <v>Roam Hub - </v>
      </c>
      <c r="O389" s="26" t="str">
        <f t="shared" si="4"/>
        <v>FO-NBI-00#RH-KE-A-387: Roam Hub - </v>
      </c>
      <c r="R389" s="53"/>
      <c r="S389" s="78" t="b">
        <v>0</v>
      </c>
      <c r="T389" s="78" t="b">
        <v>0</v>
      </c>
      <c r="U389" s="78" t="b">
        <v>0</v>
      </c>
      <c r="V389" s="30" t="b">
        <v>0</v>
      </c>
      <c r="W389" s="30" t="b">
        <v>0</v>
      </c>
      <c r="X389" s="30"/>
      <c r="Y389" s="30"/>
      <c r="Z389" s="30"/>
      <c r="AA389" s="30"/>
      <c r="AB389" s="30"/>
      <c r="AC389" s="50"/>
      <c r="AD389" s="30"/>
      <c r="AE389" s="12">
        <f t="shared" si="5"/>
        <v>0</v>
      </c>
      <c r="AF389" s="70">
        <f t="shared" si="6"/>
        <v>0</v>
      </c>
      <c r="AG389" s="76"/>
      <c r="AH389" s="76"/>
      <c r="AI389" s="76"/>
      <c r="AJ389" s="76"/>
      <c r="AK389" s="76"/>
      <c r="AL389" s="30"/>
      <c r="AM389" s="79"/>
      <c r="AN389" s="79"/>
      <c r="AO389" s="79"/>
    </row>
    <row r="390" hidden="1">
      <c r="A390" s="12" t="s">
        <v>74</v>
      </c>
      <c r="B390" s="64"/>
      <c r="C390" s="12" t="s">
        <v>248</v>
      </c>
      <c r="D390" s="12" t="str">
        <f>vlookup(C390,'List of Chargers'!$A$2:$B$5,2,FALSE)</f>
        <v>Roam Hub</v>
      </c>
      <c r="E390" s="12" t="s">
        <v>73</v>
      </c>
      <c r="F390" s="12" t="s">
        <v>75</v>
      </c>
      <c r="G390" s="12">
        <v>388.0</v>
      </c>
      <c r="H390" s="13" t="str">
        <f t="shared" si="1"/>
        <v>#RH-KE-A-388</v>
      </c>
      <c r="I390" s="13" t="str">
        <f t="shared" si="2"/>
        <v>FO-NBI-00#RH-KE-A-388</v>
      </c>
      <c r="J390" s="25"/>
      <c r="K390" s="66"/>
      <c r="L390" s="31"/>
      <c r="M390" s="31"/>
      <c r="N390" s="26" t="str">
        <f t="shared" si="3"/>
        <v>Roam Hub - </v>
      </c>
      <c r="O390" s="26" t="str">
        <f t="shared" si="4"/>
        <v>FO-NBI-00#RH-KE-A-388: Roam Hub - </v>
      </c>
      <c r="R390" s="53"/>
      <c r="S390" s="78" t="b">
        <v>0</v>
      </c>
      <c r="T390" s="78" t="b">
        <v>0</v>
      </c>
      <c r="U390" s="78" t="b">
        <v>0</v>
      </c>
      <c r="V390" s="30" t="b">
        <v>0</v>
      </c>
      <c r="W390" s="30" t="b">
        <v>0</v>
      </c>
      <c r="X390" s="30"/>
      <c r="Y390" s="30"/>
      <c r="Z390" s="30"/>
      <c r="AA390" s="30"/>
      <c r="AB390" s="30"/>
      <c r="AC390" s="50"/>
      <c r="AD390" s="30"/>
      <c r="AE390" s="12">
        <f t="shared" si="5"/>
        <v>0</v>
      </c>
      <c r="AF390" s="70">
        <f t="shared" si="6"/>
        <v>0</v>
      </c>
      <c r="AG390" s="76"/>
      <c r="AH390" s="76"/>
      <c r="AI390" s="76"/>
      <c r="AJ390" s="76"/>
      <c r="AK390" s="76"/>
      <c r="AL390" s="30"/>
      <c r="AM390" s="79"/>
      <c r="AN390" s="79"/>
      <c r="AO390" s="79"/>
    </row>
    <row r="391" hidden="1">
      <c r="A391" s="12" t="s">
        <v>74</v>
      </c>
      <c r="B391" s="64"/>
      <c r="C391" s="12" t="s">
        <v>248</v>
      </c>
      <c r="D391" s="12" t="str">
        <f>vlookup(C391,'List of Chargers'!$A$2:$B$5,2,FALSE)</f>
        <v>Roam Hub</v>
      </c>
      <c r="E391" s="12" t="s">
        <v>73</v>
      </c>
      <c r="F391" s="12" t="s">
        <v>75</v>
      </c>
      <c r="G391" s="12">
        <v>389.0</v>
      </c>
      <c r="H391" s="13" t="str">
        <f t="shared" si="1"/>
        <v>#RH-KE-A-389</v>
      </c>
      <c r="I391" s="13" t="str">
        <f t="shared" si="2"/>
        <v>FO-NBI-00#RH-KE-A-389</v>
      </c>
      <c r="J391" s="25"/>
      <c r="K391" s="66"/>
      <c r="L391" s="31"/>
      <c r="M391" s="31"/>
      <c r="N391" s="26" t="str">
        <f t="shared" si="3"/>
        <v>Roam Hub - </v>
      </c>
      <c r="O391" s="26" t="str">
        <f t="shared" si="4"/>
        <v>FO-NBI-00#RH-KE-A-389: Roam Hub - </v>
      </c>
      <c r="R391" s="53"/>
      <c r="S391" s="78" t="b">
        <v>0</v>
      </c>
      <c r="T391" s="78" t="b">
        <v>0</v>
      </c>
      <c r="U391" s="78" t="b">
        <v>0</v>
      </c>
      <c r="V391" s="30" t="b">
        <v>0</v>
      </c>
      <c r="W391" s="30" t="b">
        <v>0</v>
      </c>
      <c r="X391" s="30"/>
      <c r="Y391" s="30"/>
      <c r="Z391" s="30"/>
      <c r="AA391" s="30"/>
      <c r="AB391" s="30"/>
      <c r="AC391" s="50"/>
      <c r="AD391" s="30"/>
      <c r="AE391" s="12">
        <f t="shared" si="5"/>
        <v>0</v>
      </c>
      <c r="AF391" s="70">
        <f t="shared" si="6"/>
        <v>0</v>
      </c>
      <c r="AG391" s="76"/>
      <c r="AH391" s="76"/>
      <c r="AI391" s="76"/>
      <c r="AJ391" s="76"/>
      <c r="AK391" s="76"/>
      <c r="AL391" s="30"/>
      <c r="AM391" s="79"/>
      <c r="AN391" s="79"/>
      <c r="AO391" s="79"/>
    </row>
    <row r="392" hidden="1">
      <c r="A392" s="12" t="s">
        <v>74</v>
      </c>
      <c r="B392" s="64"/>
      <c r="C392" s="12" t="s">
        <v>248</v>
      </c>
      <c r="D392" s="12" t="str">
        <f>vlookup(C392,'List of Chargers'!$A$2:$B$5,2,FALSE)</f>
        <v>Roam Hub</v>
      </c>
      <c r="E392" s="12" t="s">
        <v>73</v>
      </c>
      <c r="F392" s="12" t="s">
        <v>75</v>
      </c>
      <c r="G392" s="12">
        <v>390.0</v>
      </c>
      <c r="H392" s="13" t="str">
        <f t="shared" si="1"/>
        <v>#RH-KE-A-390</v>
      </c>
      <c r="I392" s="13" t="str">
        <f t="shared" si="2"/>
        <v>FO-NBI-00#RH-KE-A-390</v>
      </c>
      <c r="J392" s="25"/>
      <c r="K392" s="66"/>
      <c r="L392" s="31"/>
      <c r="M392" s="31"/>
      <c r="N392" s="26" t="str">
        <f t="shared" si="3"/>
        <v>Roam Hub - </v>
      </c>
      <c r="O392" s="26" t="str">
        <f t="shared" si="4"/>
        <v>FO-NBI-00#RH-KE-A-390: Roam Hub - </v>
      </c>
      <c r="R392" s="53"/>
      <c r="S392" s="78" t="b">
        <v>0</v>
      </c>
      <c r="T392" s="78" t="b">
        <v>0</v>
      </c>
      <c r="U392" s="78" t="b">
        <v>0</v>
      </c>
      <c r="V392" s="30" t="b">
        <v>0</v>
      </c>
      <c r="W392" s="30" t="b">
        <v>0</v>
      </c>
      <c r="X392" s="30"/>
      <c r="Y392" s="30"/>
      <c r="Z392" s="30"/>
      <c r="AA392" s="30"/>
      <c r="AB392" s="30"/>
      <c r="AC392" s="50"/>
      <c r="AD392" s="30"/>
      <c r="AE392" s="12">
        <f t="shared" si="5"/>
        <v>0</v>
      </c>
      <c r="AF392" s="70">
        <f t="shared" si="6"/>
        <v>0</v>
      </c>
      <c r="AG392" s="76"/>
      <c r="AH392" s="76"/>
      <c r="AI392" s="76"/>
      <c r="AJ392" s="76"/>
      <c r="AK392" s="76"/>
      <c r="AL392" s="30"/>
      <c r="AM392" s="79"/>
      <c r="AN392" s="79"/>
      <c r="AO392" s="79"/>
    </row>
    <row r="393" hidden="1">
      <c r="A393" s="12" t="s">
        <v>74</v>
      </c>
      <c r="B393" s="64"/>
      <c r="C393" s="12" t="s">
        <v>248</v>
      </c>
      <c r="D393" s="12" t="str">
        <f>vlookup(C393,'List of Chargers'!$A$2:$B$5,2,FALSE)</f>
        <v>Roam Hub</v>
      </c>
      <c r="E393" s="12" t="s">
        <v>73</v>
      </c>
      <c r="F393" s="12" t="s">
        <v>75</v>
      </c>
      <c r="G393" s="12">
        <v>391.0</v>
      </c>
      <c r="H393" s="13" t="str">
        <f t="shared" si="1"/>
        <v>#RH-KE-A-391</v>
      </c>
      <c r="I393" s="13" t="str">
        <f t="shared" si="2"/>
        <v>FO-NBI-00#RH-KE-A-391</v>
      </c>
      <c r="J393" s="25"/>
      <c r="K393" s="66"/>
      <c r="L393" s="31"/>
      <c r="M393" s="31"/>
      <c r="N393" s="26" t="str">
        <f t="shared" si="3"/>
        <v>Roam Hub - </v>
      </c>
      <c r="O393" s="26" t="str">
        <f t="shared" si="4"/>
        <v>FO-NBI-00#RH-KE-A-391: Roam Hub - </v>
      </c>
      <c r="R393" s="53"/>
      <c r="S393" s="78" t="b">
        <v>0</v>
      </c>
      <c r="T393" s="78" t="b">
        <v>0</v>
      </c>
      <c r="U393" s="78" t="b">
        <v>0</v>
      </c>
      <c r="V393" s="30" t="b">
        <v>0</v>
      </c>
      <c r="W393" s="30" t="b">
        <v>0</v>
      </c>
      <c r="X393" s="30"/>
      <c r="Y393" s="30"/>
      <c r="Z393" s="30"/>
      <c r="AA393" s="30"/>
      <c r="AB393" s="30"/>
      <c r="AC393" s="50"/>
      <c r="AD393" s="30"/>
      <c r="AE393" s="12">
        <f t="shared" si="5"/>
        <v>0</v>
      </c>
      <c r="AF393" s="70">
        <f t="shared" si="6"/>
        <v>0</v>
      </c>
      <c r="AG393" s="76"/>
      <c r="AH393" s="76"/>
      <c r="AI393" s="76"/>
      <c r="AJ393" s="76"/>
      <c r="AK393" s="76"/>
      <c r="AL393" s="30"/>
      <c r="AM393" s="79"/>
      <c r="AN393" s="79"/>
      <c r="AO393" s="79"/>
    </row>
    <row r="394" hidden="1">
      <c r="A394" s="12" t="s">
        <v>74</v>
      </c>
      <c r="B394" s="64"/>
      <c r="C394" s="12" t="s">
        <v>248</v>
      </c>
      <c r="D394" s="12" t="str">
        <f>vlookup(C394,'List of Chargers'!$A$2:$B$5,2,FALSE)</f>
        <v>Roam Hub</v>
      </c>
      <c r="E394" s="12" t="s">
        <v>73</v>
      </c>
      <c r="F394" s="12" t="s">
        <v>75</v>
      </c>
      <c r="G394" s="12">
        <v>392.0</v>
      </c>
      <c r="H394" s="13" t="str">
        <f t="shared" si="1"/>
        <v>#RH-KE-A-392</v>
      </c>
      <c r="I394" s="13" t="str">
        <f t="shared" si="2"/>
        <v>FO-NBI-00#RH-KE-A-392</v>
      </c>
      <c r="J394" s="25"/>
      <c r="K394" s="66"/>
      <c r="L394" s="31"/>
      <c r="M394" s="31"/>
      <c r="N394" s="26" t="str">
        <f t="shared" si="3"/>
        <v>Roam Hub - </v>
      </c>
      <c r="O394" s="26" t="str">
        <f t="shared" si="4"/>
        <v>FO-NBI-00#RH-KE-A-392: Roam Hub - </v>
      </c>
      <c r="R394" s="53"/>
      <c r="S394" s="78" t="b">
        <v>0</v>
      </c>
      <c r="T394" s="78" t="b">
        <v>0</v>
      </c>
      <c r="U394" s="78" t="b">
        <v>0</v>
      </c>
      <c r="V394" s="30" t="b">
        <v>0</v>
      </c>
      <c r="W394" s="30" t="b">
        <v>0</v>
      </c>
      <c r="X394" s="30"/>
      <c r="Y394" s="30"/>
      <c r="Z394" s="30"/>
      <c r="AA394" s="30"/>
      <c r="AB394" s="30"/>
      <c r="AC394" s="50"/>
      <c r="AD394" s="30"/>
      <c r="AE394" s="12">
        <f t="shared" si="5"/>
        <v>0</v>
      </c>
      <c r="AF394" s="70">
        <f t="shared" si="6"/>
        <v>0</v>
      </c>
      <c r="AG394" s="76"/>
      <c r="AH394" s="76"/>
      <c r="AI394" s="76"/>
      <c r="AJ394" s="76"/>
      <c r="AK394" s="76"/>
      <c r="AL394" s="30"/>
      <c r="AM394" s="79"/>
      <c r="AN394" s="79"/>
      <c r="AO394" s="79"/>
    </row>
    <row r="395" hidden="1">
      <c r="A395" s="12" t="s">
        <v>74</v>
      </c>
      <c r="B395" s="64"/>
      <c r="C395" s="12" t="s">
        <v>248</v>
      </c>
      <c r="D395" s="12" t="str">
        <f>vlookup(C395,'List of Chargers'!$A$2:$B$5,2,FALSE)</f>
        <v>Roam Hub</v>
      </c>
      <c r="E395" s="12" t="s">
        <v>73</v>
      </c>
      <c r="F395" s="12" t="s">
        <v>75</v>
      </c>
      <c r="G395" s="12">
        <v>393.0</v>
      </c>
      <c r="H395" s="13" t="str">
        <f t="shared" si="1"/>
        <v>#RH-KE-A-393</v>
      </c>
      <c r="I395" s="13" t="str">
        <f t="shared" si="2"/>
        <v>FO-NBI-00#RH-KE-A-393</v>
      </c>
      <c r="J395" s="25"/>
      <c r="K395" s="66"/>
      <c r="L395" s="31"/>
      <c r="M395" s="31"/>
      <c r="N395" s="26" t="str">
        <f t="shared" si="3"/>
        <v>Roam Hub - </v>
      </c>
      <c r="O395" s="26" t="str">
        <f t="shared" si="4"/>
        <v>FO-NBI-00#RH-KE-A-393: Roam Hub - </v>
      </c>
      <c r="R395" s="53"/>
      <c r="S395" s="78" t="b">
        <v>0</v>
      </c>
      <c r="T395" s="78" t="b">
        <v>0</v>
      </c>
      <c r="U395" s="78" t="b">
        <v>0</v>
      </c>
      <c r="V395" s="30" t="b">
        <v>0</v>
      </c>
      <c r="W395" s="30" t="b">
        <v>0</v>
      </c>
      <c r="X395" s="30"/>
      <c r="Y395" s="30"/>
      <c r="Z395" s="30"/>
      <c r="AA395" s="30"/>
      <c r="AB395" s="30"/>
      <c r="AC395" s="50"/>
      <c r="AD395" s="30"/>
      <c r="AE395" s="12">
        <f t="shared" si="5"/>
        <v>0</v>
      </c>
      <c r="AF395" s="70">
        <f t="shared" si="6"/>
        <v>0</v>
      </c>
      <c r="AG395" s="76"/>
      <c r="AH395" s="76"/>
      <c r="AI395" s="76"/>
      <c r="AJ395" s="76"/>
      <c r="AK395" s="76"/>
      <c r="AL395" s="30"/>
      <c r="AM395" s="79"/>
      <c r="AN395" s="79"/>
      <c r="AO395" s="79"/>
    </row>
    <row r="396" hidden="1">
      <c r="A396" s="12" t="s">
        <v>74</v>
      </c>
      <c r="B396" s="64"/>
      <c r="C396" s="12" t="s">
        <v>248</v>
      </c>
      <c r="D396" s="12" t="str">
        <f>vlookup(C396,'List of Chargers'!$A$2:$B$5,2,FALSE)</f>
        <v>Roam Hub</v>
      </c>
      <c r="E396" s="12" t="s">
        <v>73</v>
      </c>
      <c r="F396" s="12" t="s">
        <v>75</v>
      </c>
      <c r="G396" s="12">
        <v>394.0</v>
      </c>
      <c r="H396" s="13" t="str">
        <f t="shared" si="1"/>
        <v>#RH-KE-A-394</v>
      </c>
      <c r="I396" s="13" t="str">
        <f t="shared" si="2"/>
        <v>FO-NBI-00#RH-KE-A-394</v>
      </c>
      <c r="J396" s="25"/>
      <c r="K396" s="66"/>
      <c r="L396" s="31"/>
      <c r="M396" s="31"/>
      <c r="N396" s="26" t="str">
        <f t="shared" si="3"/>
        <v>Roam Hub - </v>
      </c>
      <c r="O396" s="26" t="str">
        <f t="shared" si="4"/>
        <v>FO-NBI-00#RH-KE-A-394: Roam Hub - </v>
      </c>
      <c r="R396" s="53"/>
      <c r="S396" s="78" t="b">
        <v>0</v>
      </c>
      <c r="T396" s="78" t="b">
        <v>0</v>
      </c>
      <c r="U396" s="78" t="b">
        <v>0</v>
      </c>
      <c r="V396" s="30" t="b">
        <v>0</v>
      </c>
      <c r="W396" s="30" t="b">
        <v>0</v>
      </c>
      <c r="X396" s="30"/>
      <c r="Y396" s="30"/>
      <c r="Z396" s="30"/>
      <c r="AA396" s="30"/>
      <c r="AB396" s="30"/>
      <c r="AC396" s="50"/>
      <c r="AD396" s="30"/>
      <c r="AE396" s="12">
        <f t="shared" si="5"/>
        <v>0</v>
      </c>
      <c r="AF396" s="70">
        <f t="shared" si="6"/>
        <v>0</v>
      </c>
      <c r="AG396" s="76"/>
      <c r="AH396" s="76"/>
      <c r="AI396" s="76"/>
      <c r="AJ396" s="76"/>
      <c r="AK396" s="76"/>
      <c r="AL396" s="30"/>
      <c r="AM396" s="79"/>
      <c r="AN396" s="79"/>
      <c r="AO396" s="79"/>
    </row>
    <row r="397" hidden="1">
      <c r="A397" s="12" t="s">
        <v>74</v>
      </c>
      <c r="B397" s="64"/>
      <c r="C397" s="12" t="s">
        <v>248</v>
      </c>
      <c r="D397" s="12" t="str">
        <f>vlookup(C397,'List of Chargers'!$A$2:$B$5,2,FALSE)</f>
        <v>Roam Hub</v>
      </c>
      <c r="E397" s="12" t="s">
        <v>73</v>
      </c>
      <c r="F397" s="12" t="s">
        <v>75</v>
      </c>
      <c r="G397" s="12">
        <v>395.0</v>
      </c>
      <c r="H397" s="13" t="str">
        <f t="shared" si="1"/>
        <v>#RH-KE-A-395</v>
      </c>
      <c r="I397" s="13" t="str">
        <f t="shared" si="2"/>
        <v>FO-NBI-00#RH-KE-A-395</v>
      </c>
      <c r="J397" s="25"/>
      <c r="K397" s="66"/>
      <c r="L397" s="31"/>
      <c r="M397" s="31"/>
      <c r="N397" s="26" t="str">
        <f t="shared" si="3"/>
        <v>Roam Hub - </v>
      </c>
      <c r="O397" s="26" t="str">
        <f t="shared" si="4"/>
        <v>FO-NBI-00#RH-KE-A-395: Roam Hub - </v>
      </c>
      <c r="R397" s="53"/>
      <c r="S397" s="78" t="b">
        <v>0</v>
      </c>
      <c r="T397" s="78" t="b">
        <v>0</v>
      </c>
      <c r="U397" s="78" t="b">
        <v>0</v>
      </c>
      <c r="V397" s="30" t="b">
        <v>0</v>
      </c>
      <c r="W397" s="30" t="b">
        <v>0</v>
      </c>
      <c r="X397" s="30"/>
      <c r="Y397" s="30"/>
      <c r="Z397" s="30"/>
      <c r="AA397" s="30"/>
      <c r="AB397" s="30"/>
      <c r="AC397" s="50"/>
      <c r="AD397" s="30"/>
      <c r="AE397" s="12">
        <f t="shared" si="5"/>
        <v>0</v>
      </c>
      <c r="AF397" s="70">
        <f t="shared" si="6"/>
        <v>0</v>
      </c>
      <c r="AG397" s="76"/>
      <c r="AH397" s="76"/>
      <c r="AI397" s="76"/>
      <c r="AJ397" s="76"/>
      <c r="AK397" s="76"/>
      <c r="AL397" s="30"/>
      <c r="AM397" s="79"/>
      <c r="AN397" s="79"/>
      <c r="AO397" s="79"/>
    </row>
    <row r="398" hidden="1">
      <c r="A398" s="12" t="s">
        <v>74</v>
      </c>
      <c r="B398" s="64"/>
      <c r="C398" s="12" t="s">
        <v>248</v>
      </c>
      <c r="D398" s="12" t="str">
        <f>vlookup(C398,'List of Chargers'!$A$2:$B$5,2,FALSE)</f>
        <v>Roam Hub</v>
      </c>
      <c r="E398" s="12" t="s">
        <v>73</v>
      </c>
      <c r="F398" s="12" t="s">
        <v>75</v>
      </c>
      <c r="G398" s="12">
        <v>396.0</v>
      </c>
      <c r="H398" s="13" t="str">
        <f t="shared" si="1"/>
        <v>#RH-KE-A-396</v>
      </c>
      <c r="I398" s="13" t="str">
        <f t="shared" si="2"/>
        <v>FO-NBI-00#RH-KE-A-396</v>
      </c>
      <c r="J398" s="25"/>
      <c r="K398" s="66"/>
      <c r="L398" s="31"/>
      <c r="M398" s="31"/>
      <c r="N398" s="26" t="str">
        <f t="shared" si="3"/>
        <v>Roam Hub - </v>
      </c>
      <c r="O398" s="26" t="str">
        <f t="shared" si="4"/>
        <v>FO-NBI-00#RH-KE-A-396: Roam Hub - </v>
      </c>
      <c r="R398" s="53"/>
      <c r="S398" s="78" t="b">
        <v>0</v>
      </c>
      <c r="T398" s="78" t="b">
        <v>0</v>
      </c>
      <c r="U398" s="78" t="b">
        <v>0</v>
      </c>
      <c r="V398" s="30" t="b">
        <v>0</v>
      </c>
      <c r="W398" s="30" t="b">
        <v>0</v>
      </c>
      <c r="X398" s="30"/>
      <c r="Y398" s="30"/>
      <c r="Z398" s="30"/>
      <c r="AA398" s="30"/>
      <c r="AB398" s="30"/>
      <c r="AC398" s="50"/>
      <c r="AD398" s="30"/>
      <c r="AE398" s="12">
        <f t="shared" si="5"/>
        <v>0</v>
      </c>
      <c r="AF398" s="70">
        <f t="shared" si="6"/>
        <v>0</v>
      </c>
      <c r="AG398" s="76"/>
      <c r="AH398" s="76"/>
      <c r="AI398" s="76"/>
      <c r="AJ398" s="76"/>
      <c r="AK398" s="76"/>
      <c r="AL398" s="30"/>
      <c r="AM398" s="79"/>
      <c r="AN398" s="79"/>
      <c r="AO398" s="79"/>
    </row>
    <row r="399" hidden="1">
      <c r="A399" s="12" t="s">
        <v>74</v>
      </c>
      <c r="B399" s="64"/>
      <c r="C399" s="12" t="s">
        <v>248</v>
      </c>
      <c r="D399" s="12" t="str">
        <f>vlookup(C399,'List of Chargers'!$A$2:$B$5,2,FALSE)</f>
        <v>Roam Hub</v>
      </c>
      <c r="E399" s="12" t="s">
        <v>73</v>
      </c>
      <c r="F399" s="12" t="s">
        <v>75</v>
      </c>
      <c r="G399" s="12">
        <v>397.0</v>
      </c>
      <c r="H399" s="13" t="str">
        <f t="shared" si="1"/>
        <v>#RH-KE-A-397</v>
      </c>
      <c r="I399" s="13" t="str">
        <f t="shared" si="2"/>
        <v>FO-NBI-00#RH-KE-A-397</v>
      </c>
      <c r="J399" s="25"/>
      <c r="K399" s="66"/>
      <c r="L399" s="31"/>
      <c r="M399" s="31"/>
      <c r="N399" s="26" t="str">
        <f t="shared" si="3"/>
        <v>Roam Hub - </v>
      </c>
      <c r="O399" s="26" t="str">
        <f t="shared" si="4"/>
        <v>FO-NBI-00#RH-KE-A-397: Roam Hub - </v>
      </c>
      <c r="R399" s="53"/>
      <c r="S399" s="78" t="b">
        <v>0</v>
      </c>
      <c r="T399" s="78" t="b">
        <v>0</v>
      </c>
      <c r="U399" s="78" t="b">
        <v>0</v>
      </c>
      <c r="V399" s="30" t="b">
        <v>0</v>
      </c>
      <c r="W399" s="30" t="b">
        <v>0</v>
      </c>
      <c r="X399" s="30"/>
      <c r="Y399" s="30"/>
      <c r="Z399" s="30"/>
      <c r="AA399" s="30"/>
      <c r="AB399" s="30"/>
      <c r="AC399" s="50"/>
      <c r="AD399" s="30"/>
      <c r="AE399" s="12">
        <f t="shared" si="5"/>
        <v>0</v>
      </c>
      <c r="AF399" s="70">
        <f t="shared" si="6"/>
        <v>0</v>
      </c>
      <c r="AG399" s="76"/>
      <c r="AH399" s="76"/>
      <c r="AI399" s="76"/>
      <c r="AJ399" s="76"/>
      <c r="AK399" s="76"/>
      <c r="AL399" s="30"/>
      <c r="AM399" s="79"/>
      <c r="AN399" s="79"/>
      <c r="AO399" s="79"/>
    </row>
    <row r="400" hidden="1">
      <c r="A400" s="12" t="s">
        <v>74</v>
      </c>
      <c r="B400" s="64"/>
      <c r="C400" s="12" t="s">
        <v>248</v>
      </c>
      <c r="D400" s="12" t="str">
        <f>vlookup(C400,'List of Chargers'!$A$2:$B$5,2,FALSE)</f>
        <v>Roam Hub</v>
      </c>
      <c r="E400" s="12" t="s">
        <v>73</v>
      </c>
      <c r="F400" s="12" t="s">
        <v>75</v>
      </c>
      <c r="G400" s="12">
        <v>398.0</v>
      </c>
      <c r="H400" s="13" t="str">
        <f t="shared" si="1"/>
        <v>#RH-KE-A-398</v>
      </c>
      <c r="I400" s="13" t="str">
        <f t="shared" si="2"/>
        <v>FO-NBI-00#RH-KE-A-398</v>
      </c>
      <c r="J400" s="25"/>
      <c r="K400" s="66"/>
      <c r="L400" s="31"/>
      <c r="M400" s="31"/>
      <c r="N400" s="26" t="str">
        <f t="shared" si="3"/>
        <v>Roam Hub - </v>
      </c>
      <c r="O400" s="26" t="str">
        <f t="shared" si="4"/>
        <v>FO-NBI-00#RH-KE-A-398: Roam Hub - </v>
      </c>
      <c r="R400" s="53"/>
      <c r="S400" s="78" t="b">
        <v>0</v>
      </c>
      <c r="T400" s="78" t="b">
        <v>0</v>
      </c>
      <c r="U400" s="78" t="b">
        <v>0</v>
      </c>
      <c r="V400" s="30" t="b">
        <v>0</v>
      </c>
      <c r="W400" s="30" t="b">
        <v>0</v>
      </c>
      <c r="X400" s="30"/>
      <c r="Y400" s="30"/>
      <c r="Z400" s="30"/>
      <c r="AA400" s="30"/>
      <c r="AB400" s="30"/>
      <c r="AC400" s="50"/>
      <c r="AD400" s="30"/>
      <c r="AE400" s="12">
        <f t="shared" si="5"/>
        <v>0</v>
      </c>
      <c r="AF400" s="70">
        <f t="shared" si="6"/>
        <v>0</v>
      </c>
      <c r="AG400" s="76"/>
      <c r="AH400" s="76"/>
      <c r="AI400" s="76"/>
      <c r="AJ400" s="76"/>
      <c r="AK400" s="76"/>
      <c r="AL400" s="30"/>
      <c r="AM400" s="79"/>
      <c r="AN400" s="79"/>
      <c r="AO400" s="79"/>
    </row>
    <row r="401" hidden="1">
      <c r="A401" s="12" t="s">
        <v>74</v>
      </c>
      <c r="B401" s="64"/>
      <c r="C401" s="12" t="s">
        <v>248</v>
      </c>
      <c r="D401" s="12" t="str">
        <f>vlookup(C401,'List of Chargers'!$A$2:$B$5,2,FALSE)</f>
        <v>Roam Hub</v>
      </c>
      <c r="E401" s="12" t="s">
        <v>73</v>
      </c>
      <c r="F401" s="12" t="s">
        <v>75</v>
      </c>
      <c r="G401" s="12">
        <v>399.0</v>
      </c>
      <c r="H401" s="13" t="str">
        <f t="shared" si="1"/>
        <v>#RH-KE-A-399</v>
      </c>
      <c r="I401" s="13" t="str">
        <f t="shared" si="2"/>
        <v>FO-NBI-00#RH-KE-A-399</v>
      </c>
      <c r="J401" s="25"/>
      <c r="K401" s="66"/>
      <c r="L401" s="31"/>
      <c r="M401" s="31"/>
      <c r="N401" s="26" t="str">
        <f t="shared" si="3"/>
        <v>Roam Hub - </v>
      </c>
      <c r="O401" s="26" t="str">
        <f t="shared" si="4"/>
        <v>FO-NBI-00#RH-KE-A-399: Roam Hub - </v>
      </c>
      <c r="R401" s="53"/>
      <c r="S401" s="78" t="b">
        <v>0</v>
      </c>
      <c r="T401" s="78" t="b">
        <v>0</v>
      </c>
      <c r="U401" s="78" t="b">
        <v>0</v>
      </c>
      <c r="V401" s="30" t="b">
        <v>0</v>
      </c>
      <c r="W401" s="30" t="b">
        <v>0</v>
      </c>
      <c r="X401" s="30"/>
      <c r="Y401" s="30"/>
      <c r="Z401" s="30"/>
      <c r="AA401" s="30"/>
      <c r="AB401" s="30"/>
      <c r="AC401" s="50"/>
      <c r="AD401" s="30"/>
      <c r="AE401" s="12">
        <f t="shared" si="5"/>
        <v>0</v>
      </c>
      <c r="AF401" s="70">
        <f t="shared" si="6"/>
        <v>0</v>
      </c>
      <c r="AG401" s="76"/>
      <c r="AH401" s="76"/>
      <c r="AI401" s="76"/>
      <c r="AJ401" s="76"/>
      <c r="AK401" s="76"/>
      <c r="AL401" s="30"/>
      <c r="AM401" s="79"/>
      <c r="AN401" s="79"/>
      <c r="AO401" s="79"/>
    </row>
    <row r="402" hidden="1">
      <c r="A402" s="12" t="s">
        <v>74</v>
      </c>
      <c r="B402" s="64"/>
      <c r="C402" s="12" t="s">
        <v>248</v>
      </c>
      <c r="D402" s="12" t="str">
        <f>vlookup(C402,'List of Chargers'!$A$2:$B$5,2,FALSE)</f>
        <v>Roam Hub</v>
      </c>
      <c r="E402" s="12" t="s">
        <v>73</v>
      </c>
      <c r="F402" s="12" t="s">
        <v>75</v>
      </c>
      <c r="G402" s="12">
        <v>400.0</v>
      </c>
      <c r="H402" s="13" t="str">
        <f t="shared" si="1"/>
        <v>#RH-KE-A-400</v>
      </c>
      <c r="I402" s="13" t="str">
        <f t="shared" si="2"/>
        <v>FO-NBI-00#RH-KE-A-400</v>
      </c>
      <c r="J402" s="25"/>
      <c r="K402" s="66"/>
      <c r="L402" s="31"/>
      <c r="M402" s="31"/>
      <c r="N402" s="26" t="str">
        <f t="shared" si="3"/>
        <v>Roam Hub - </v>
      </c>
      <c r="O402" s="26" t="str">
        <f t="shared" si="4"/>
        <v>FO-NBI-00#RH-KE-A-400: Roam Hub - </v>
      </c>
      <c r="R402" s="53"/>
      <c r="S402" s="78" t="b">
        <v>0</v>
      </c>
      <c r="T402" s="78" t="b">
        <v>0</v>
      </c>
      <c r="U402" s="78" t="b">
        <v>0</v>
      </c>
      <c r="V402" s="30" t="b">
        <v>0</v>
      </c>
      <c r="W402" s="30" t="b">
        <v>0</v>
      </c>
      <c r="X402" s="30"/>
      <c r="Y402" s="30"/>
      <c r="Z402" s="30"/>
      <c r="AA402" s="30"/>
      <c r="AB402" s="30"/>
      <c r="AC402" s="50"/>
      <c r="AD402" s="30"/>
      <c r="AE402" s="12">
        <f t="shared" si="5"/>
        <v>0</v>
      </c>
      <c r="AF402" s="70">
        <f t="shared" si="6"/>
        <v>0</v>
      </c>
      <c r="AG402" s="76"/>
      <c r="AH402" s="76"/>
      <c r="AI402" s="76"/>
      <c r="AJ402" s="76"/>
      <c r="AK402" s="76"/>
      <c r="AL402" s="30"/>
      <c r="AM402" s="79"/>
      <c r="AN402" s="79"/>
      <c r="AO402" s="79"/>
    </row>
    <row r="403" hidden="1">
      <c r="A403" s="12" t="s">
        <v>74</v>
      </c>
      <c r="B403" s="64"/>
      <c r="C403" s="12" t="s">
        <v>248</v>
      </c>
      <c r="D403" s="12" t="str">
        <f>vlookup(C403,'List of Chargers'!$A$2:$B$5,2,FALSE)</f>
        <v>Roam Hub</v>
      </c>
      <c r="E403" s="12" t="s">
        <v>73</v>
      </c>
      <c r="F403" s="12" t="s">
        <v>75</v>
      </c>
      <c r="G403" s="12">
        <v>401.0</v>
      </c>
      <c r="H403" s="13" t="str">
        <f t="shared" si="1"/>
        <v>#RH-KE-A-401</v>
      </c>
      <c r="I403" s="13" t="str">
        <f t="shared" si="2"/>
        <v>FO-NBI-00#RH-KE-A-401</v>
      </c>
      <c r="J403" s="25"/>
      <c r="K403" s="66"/>
      <c r="L403" s="31"/>
      <c r="M403" s="31"/>
      <c r="N403" s="26" t="str">
        <f t="shared" si="3"/>
        <v>Roam Hub - </v>
      </c>
      <c r="O403" s="26" t="str">
        <f t="shared" si="4"/>
        <v>FO-NBI-00#RH-KE-A-401: Roam Hub - </v>
      </c>
      <c r="R403" s="53"/>
      <c r="S403" s="78" t="b">
        <v>0</v>
      </c>
      <c r="T403" s="78" t="b">
        <v>0</v>
      </c>
      <c r="U403" s="78" t="b">
        <v>0</v>
      </c>
      <c r="V403" s="30" t="b">
        <v>0</v>
      </c>
      <c r="W403" s="30" t="b">
        <v>0</v>
      </c>
      <c r="X403" s="30"/>
      <c r="Y403" s="30"/>
      <c r="Z403" s="30"/>
      <c r="AA403" s="30"/>
      <c r="AB403" s="30"/>
      <c r="AC403" s="50"/>
      <c r="AD403" s="30"/>
      <c r="AE403" s="12">
        <f t="shared" si="5"/>
        <v>0</v>
      </c>
      <c r="AF403" s="70">
        <f t="shared" si="6"/>
        <v>0</v>
      </c>
      <c r="AG403" s="76"/>
      <c r="AH403" s="76"/>
      <c r="AI403" s="76"/>
      <c r="AJ403" s="76"/>
      <c r="AK403" s="76"/>
      <c r="AL403" s="30"/>
      <c r="AM403" s="79"/>
      <c r="AN403" s="79"/>
      <c r="AO403" s="79"/>
    </row>
    <row r="404" hidden="1">
      <c r="A404" s="12" t="s">
        <v>74</v>
      </c>
      <c r="B404" s="64"/>
      <c r="C404" s="12" t="s">
        <v>248</v>
      </c>
      <c r="D404" s="12" t="str">
        <f>vlookup(C404,'List of Chargers'!$A$2:$B$5,2,FALSE)</f>
        <v>Roam Hub</v>
      </c>
      <c r="E404" s="12" t="s">
        <v>73</v>
      </c>
      <c r="F404" s="12" t="s">
        <v>75</v>
      </c>
      <c r="G404" s="12">
        <v>402.0</v>
      </c>
      <c r="H404" s="13" t="str">
        <f t="shared" si="1"/>
        <v>#RH-KE-A-402</v>
      </c>
      <c r="I404" s="13" t="str">
        <f t="shared" si="2"/>
        <v>FO-NBI-00#RH-KE-A-402</v>
      </c>
      <c r="J404" s="25"/>
      <c r="K404" s="66"/>
      <c r="L404" s="31"/>
      <c r="M404" s="31"/>
      <c r="N404" s="26" t="str">
        <f t="shared" si="3"/>
        <v>Roam Hub - </v>
      </c>
      <c r="O404" s="26" t="str">
        <f t="shared" si="4"/>
        <v>FO-NBI-00#RH-KE-A-402: Roam Hub - </v>
      </c>
      <c r="R404" s="53"/>
      <c r="S404" s="78" t="b">
        <v>0</v>
      </c>
      <c r="T404" s="78" t="b">
        <v>0</v>
      </c>
      <c r="U404" s="78" t="b">
        <v>0</v>
      </c>
      <c r="V404" s="30" t="b">
        <v>0</v>
      </c>
      <c r="W404" s="30" t="b">
        <v>0</v>
      </c>
      <c r="X404" s="30"/>
      <c r="Y404" s="30"/>
      <c r="Z404" s="30"/>
      <c r="AA404" s="30"/>
      <c r="AB404" s="30"/>
      <c r="AC404" s="50"/>
      <c r="AD404" s="30"/>
      <c r="AE404" s="12">
        <f t="shared" si="5"/>
        <v>0</v>
      </c>
      <c r="AF404" s="70">
        <f t="shared" si="6"/>
        <v>0</v>
      </c>
      <c r="AG404" s="76"/>
      <c r="AH404" s="76"/>
      <c r="AI404" s="76"/>
      <c r="AJ404" s="76"/>
      <c r="AK404" s="76"/>
      <c r="AL404" s="30"/>
      <c r="AM404" s="79"/>
      <c r="AN404" s="79"/>
      <c r="AO404" s="79"/>
    </row>
    <row r="405" hidden="1">
      <c r="A405" s="12" t="s">
        <v>74</v>
      </c>
      <c r="B405" s="64"/>
      <c r="C405" s="12" t="s">
        <v>248</v>
      </c>
      <c r="D405" s="12" t="str">
        <f>vlookup(C405,'List of Chargers'!$A$2:$B$5,2,FALSE)</f>
        <v>Roam Hub</v>
      </c>
      <c r="E405" s="12" t="s">
        <v>73</v>
      </c>
      <c r="F405" s="12" t="s">
        <v>75</v>
      </c>
      <c r="G405" s="12">
        <v>403.0</v>
      </c>
      <c r="H405" s="13" t="str">
        <f t="shared" si="1"/>
        <v>#RH-KE-A-403</v>
      </c>
      <c r="I405" s="13" t="str">
        <f t="shared" si="2"/>
        <v>FO-NBI-00#RH-KE-A-403</v>
      </c>
      <c r="J405" s="25"/>
      <c r="K405" s="66"/>
      <c r="L405" s="31"/>
      <c r="M405" s="31"/>
      <c r="N405" s="26" t="str">
        <f t="shared" si="3"/>
        <v>Roam Hub - </v>
      </c>
      <c r="O405" s="26" t="str">
        <f t="shared" si="4"/>
        <v>FO-NBI-00#RH-KE-A-403: Roam Hub - </v>
      </c>
      <c r="R405" s="53"/>
      <c r="S405" s="78" t="b">
        <v>0</v>
      </c>
      <c r="T405" s="78" t="b">
        <v>0</v>
      </c>
      <c r="U405" s="78" t="b">
        <v>0</v>
      </c>
      <c r="V405" s="30" t="b">
        <v>0</v>
      </c>
      <c r="W405" s="30" t="b">
        <v>0</v>
      </c>
      <c r="X405" s="30"/>
      <c r="Y405" s="30"/>
      <c r="Z405" s="30"/>
      <c r="AA405" s="30"/>
      <c r="AB405" s="30"/>
      <c r="AC405" s="50"/>
      <c r="AD405" s="30"/>
      <c r="AE405" s="12">
        <f t="shared" si="5"/>
        <v>0</v>
      </c>
      <c r="AF405" s="70">
        <f t="shared" si="6"/>
        <v>0</v>
      </c>
      <c r="AG405" s="76"/>
      <c r="AH405" s="76"/>
      <c r="AI405" s="76"/>
      <c r="AJ405" s="76"/>
      <c r="AK405" s="76"/>
      <c r="AL405" s="30"/>
      <c r="AM405" s="79"/>
      <c r="AN405" s="79"/>
      <c r="AO405" s="79"/>
    </row>
    <row r="406" hidden="1">
      <c r="A406" s="12" t="s">
        <v>74</v>
      </c>
      <c r="B406" s="64"/>
      <c r="C406" s="12" t="s">
        <v>248</v>
      </c>
      <c r="D406" s="12" t="str">
        <f>vlookup(C406,'List of Chargers'!$A$2:$B$5,2,FALSE)</f>
        <v>Roam Hub</v>
      </c>
      <c r="E406" s="12" t="s">
        <v>73</v>
      </c>
      <c r="F406" s="12" t="s">
        <v>75</v>
      </c>
      <c r="G406" s="12">
        <v>404.0</v>
      </c>
      <c r="H406" s="13" t="str">
        <f t="shared" si="1"/>
        <v>#RH-KE-A-404</v>
      </c>
      <c r="I406" s="13" t="str">
        <f t="shared" si="2"/>
        <v>FO-NBI-00#RH-KE-A-404</v>
      </c>
      <c r="J406" s="25"/>
      <c r="K406" s="66"/>
      <c r="L406" s="31"/>
      <c r="M406" s="31"/>
      <c r="N406" s="26" t="str">
        <f t="shared" si="3"/>
        <v>Roam Hub - </v>
      </c>
      <c r="O406" s="26" t="str">
        <f t="shared" si="4"/>
        <v>FO-NBI-00#RH-KE-A-404: Roam Hub - </v>
      </c>
      <c r="R406" s="53"/>
      <c r="S406" s="78" t="b">
        <v>0</v>
      </c>
      <c r="T406" s="78" t="b">
        <v>0</v>
      </c>
      <c r="U406" s="78" t="b">
        <v>0</v>
      </c>
      <c r="V406" s="30" t="b">
        <v>0</v>
      </c>
      <c r="W406" s="30" t="b">
        <v>0</v>
      </c>
      <c r="X406" s="30"/>
      <c r="Y406" s="30"/>
      <c r="Z406" s="30"/>
      <c r="AA406" s="30"/>
      <c r="AB406" s="30"/>
      <c r="AC406" s="50"/>
      <c r="AD406" s="30"/>
      <c r="AE406" s="12">
        <f t="shared" si="5"/>
        <v>0</v>
      </c>
      <c r="AF406" s="70">
        <f t="shared" si="6"/>
        <v>0</v>
      </c>
      <c r="AG406" s="76"/>
      <c r="AH406" s="76"/>
      <c r="AI406" s="76"/>
      <c r="AJ406" s="76"/>
      <c r="AK406" s="76"/>
      <c r="AL406" s="30"/>
      <c r="AM406" s="79"/>
      <c r="AN406" s="79"/>
      <c r="AO406" s="79"/>
    </row>
    <row r="407" hidden="1">
      <c r="A407" s="12" t="s">
        <v>74</v>
      </c>
      <c r="B407" s="64"/>
      <c r="C407" s="12" t="s">
        <v>248</v>
      </c>
      <c r="D407" s="12" t="str">
        <f>vlookup(C407,'List of Chargers'!$A$2:$B$5,2,FALSE)</f>
        <v>Roam Hub</v>
      </c>
      <c r="E407" s="12" t="s">
        <v>73</v>
      </c>
      <c r="F407" s="12" t="s">
        <v>75</v>
      </c>
      <c r="G407" s="12">
        <v>405.0</v>
      </c>
      <c r="H407" s="13" t="str">
        <f t="shared" si="1"/>
        <v>#RH-KE-A-405</v>
      </c>
      <c r="I407" s="13" t="str">
        <f t="shared" si="2"/>
        <v>FO-NBI-00#RH-KE-A-405</v>
      </c>
      <c r="J407" s="25"/>
      <c r="K407" s="66"/>
      <c r="L407" s="31"/>
      <c r="M407" s="31"/>
      <c r="N407" s="26" t="str">
        <f t="shared" si="3"/>
        <v>Roam Hub - </v>
      </c>
      <c r="O407" s="26" t="str">
        <f t="shared" si="4"/>
        <v>FO-NBI-00#RH-KE-A-405: Roam Hub - </v>
      </c>
      <c r="R407" s="53"/>
      <c r="S407" s="78" t="b">
        <v>0</v>
      </c>
      <c r="T407" s="78" t="b">
        <v>0</v>
      </c>
      <c r="U407" s="78" t="b">
        <v>0</v>
      </c>
      <c r="V407" s="30" t="b">
        <v>0</v>
      </c>
      <c r="W407" s="30" t="b">
        <v>0</v>
      </c>
      <c r="X407" s="30"/>
      <c r="Y407" s="30"/>
      <c r="Z407" s="30"/>
      <c r="AA407" s="30"/>
      <c r="AB407" s="30"/>
      <c r="AC407" s="50"/>
      <c r="AD407" s="30"/>
      <c r="AE407" s="12">
        <f t="shared" si="5"/>
        <v>0</v>
      </c>
      <c r="AF407" s="70">
        <f t="shared" si="6"/>
        <v>0</v>
      </c>
      <c r="AG407" s="76"/>
      <c r="AH407" s="76"/>
      <c r="AI407" s="76"/>
      <c r="AJ407" s="76"/>
      <c r="AK407" s="76"/>
      <c r="AL407" s="30"/>
      <c r="AM407" s="79"/>
      <c r="AN407" s="79"/>
      <c r="AO407" s="79"/>
    </row>
    <row r="408" hidden="1">
      <c r="A408" s="12" t="s">
        <v>74</v>
      </c>
      <c r="B408" s="64"/>
      <c r="C408" s="12" t="s">
        <v>248</v>
      </c>
      <c r="D408" s="12" t="str">
        <f>vlookup(C408,'List of Chargers'!$A$2:$B$5,2,FALSE)</f>
        <v>Roam Hub</v>
      </c>
      <c r="E408" s="12" t="s">
        <v>73</v>
      </c>
      <c r="F408" s="12" t="s">
        <v>75</v>
      </c>
      <c r="G408" s="12">
        <v>406.0</v>
      </c>
      <c r="H408" s="13" t="str">
        <f t="shared" si="1"/>
        <v>#RH-KE-A-406</v>
      </c>
      <c r="I408" s="13" t="str">
        <f t="shared" si="2"/>
        <v>FO-NBI-00#RH-KE-A-406</v>
      </c>
      <c r="J408" s="25"/>
      <c r="K408" s="66"/>
      <c r="L408" s="31"/>
      <c r="M408" s="31"/>
      <c r="N408" s="26" t="str">
        <f t="shared" si="3"/>
        <v>Roam Hub - </v>
      </c>
      <c r="O408" s="26" t="str">
        <f t="shared" si="4"/>
        <v>FO-NBI-00#RH-KE-A-406: Roam Hub - </v>
      </c>
      <c r="R408" s="53"/>
      <c r="S408" s="78" t="b">
        <v>0</v>
      </c>
      <c r="T408" s="78" t="b">
        <v>0</v>
      </c>
      <c r="U408" s="78" t="b">
        <v>0</v>
      </c>
      <c r="V408" s="30" t="b">
        <v>0</v>
      </c>
      <c r="W408" s="30" t="b">
        <v>0</v>
      </c>
      <c r="X408" s="30"/>
      <c r="Y408" s="30"/>
      <c r="Z408" s="30"/>
      <c r="AA408" s="30"/>
      <c r="AB408" s="30"/>
      <c r="AC408" s="50"/>
      <c r="AD408" s="30"/>
      <c r="AE408" s="12">
        <f t="shared" si="5"/>
        <v>0</v>
      </c>
      <c r="AF408" s="70">
        <f t="shared" si="6"/>
        <v>0</v>
      </c>
      <c r="AG408" s="76"/>
      <c r="AH408" s="76"/>
      <c r="AI408" s="76"/>
      <c r="AJ408" s="76"/>
      <c r="AK408" s="76"/>
      <c r="AL408" s="30"/>
      <c r="AM408" s="79"/>
      <c r="AN408" s="79"/>
      <c r="AO408" s="79"/>
    </row>
    <row r="409" hidden="1">
      <c r="A409" s="12" t="s">
        <v>74</v>
      </c>
      <c r="B409" s="64"/>
      <c r="C409" s="12" t="s">
        <v>248</v>
      </c>
      <c r="D409" s="12" t="str">
        <f>vlookup(C409,'List of Chargers'!$A$2:$B$5,2,FALSE)</f>
        <v>Roam Hub</v>
      </c>
      <c r="E409" s="12" t="s">
        <v>73</v>
      </c>
      <c r="F409" s="12" t="s">
        <v>75</v>
      </c>
      <c r="G409" s="12">
        <v>407.0</v>
      </c>
      <c r="H409" s="13" t="str">
        <f t="shared" si="1"/>
        <v>#RH-KE-A-407</v>
      </c>
      <c r="I409" s="13" t="str">
        <f t="shared" si="2"/>
        <v>FO-NBI-00#RH-KE-A-407</v>
      </c>
      <c r="J409" s="25"/>
      <c r="K409" s="66"/>
      <c r="L409" s="31"/>
      <c r="M409" s="31"/>
      <c r="N409" s="26" t="str">
        <f t="shared" si="3"/>
        <v>Roam Hub - </v>
      </c>
      <c r="O409" s="26" t="str">
        <f t="shared" si="4"/>
        <v>FO-NBI-00#RH-KE-A-407: Roam Hub - </v>
      </c>
      <c r="R409" s="53"/>
      <c r="S409" s="78" t="b">
        <v>0</v>
      </c>
      <c r="T409" s="78" t="b">
        <v>0</v>
      </c>
      <c r="U409" s="78" t="b">
        <v>0</v>
      </c>
      <c r="V409" s="30" t="b">
        <v>0</v>
      </c>
      <c r="W409" s="30" t="b">
        <v>0</v>
      </c>
      <c r="X409" s="30"/>
      <c r="Y409" s="30"/>
      <c r="Z409" s="30"/>
      <c r="AA409" s="30"/>
      <c r="AB409" s="30"/>
      <c r="AC409" s="50"/>
      <c r="AD409" s="30"/>
      <c r="AE409" s="12">
        <f t="shared" si="5"/>
        <v>0</v>
      </c>
      <c r="AF409" s="70">
        <f t="shared" si="6"/>
        <v>0</v>
      </c>
      <c r="AG409" s="76"/>
      <c r="AH409" s="76"/>
      <c r="AI409" s="76"/>
      <c r="AJ409" s="76"/>
      <c r="AK409" s="76"/>
      <c r="AL409" s="30"/>
      <c r="AM409" s="79"/>
      <c r="AN409" s="79"/>
      <c r="AO409" s="79"/>
    </row>
    <row r="410" hidden="1">
      <c r="A410" s="12" t="s">
        <v>74</v>
      </c>
      <c r="B410" s="64"/>
      <c r="C410" s="12" t="s">
        <v>248</v>
      </c>
      <c r="D410" s="12" t="str">
        <f>vlookup(C410,'List of Chargers'!$A$2:$B$5,2,FALSE)</f>
        <v>Roam Hub</v>
      </c>
      <c r="E410" s="12" t="s">
        <v>73</v>
      </c>
      <c r="F410" s="12" t="s">
        <v>75</v>
      </c>
      <c r="G410" s="12">
        <v>408.0</v>
      </c>
      <c r="H410" s="13" t="str">
        <f t="shared" si="1"/>
        <v>#RH-KE-A-408</v>
      </c>
      <c r="I410" s="13" t="str">
        <f t="shared" si="2"/>
        <v>FO-NBI-00#RH-KE-A-408</v>
      </c>
      <c r="J410" s="25"/>
      <c r="K410" s="66"/>
      <c r="L410" s="31"/>
      <c r="M410" s="31"/>
      <c r="N410" s="26" t="str">
        <f t="shared" si="3"/>
        <v>Roam Hub - </v>
      </c>
      <c r="O410" s="26" t="str">
        <f t="shared" si="4"/>
        <v>FO-NBI-00#RH-KE-A-408: Roam Hub - </v>
      </c>
      <c r="R410" s="53"/>
      <c r="S410" s="78" t="b">
        <v>0</v>
      </c>
      <c r="T410" s="78" t="b">
        <v>0</v>
      </c>
      <c r="U410" s="78" t="b">
        <v>0</v>
      </c>
      <c r="V410" s="30" t="b">
        <v>0</v>
      </c>
      <c r="W410" s="30" t="b">
        <v>0</v>
      </c>
      <c r="X410" s="30"/>
      <c r="Y410" s="30"/>
      <c r="Z410" s="30"/>
      <c r="AA410" s="30"/>
      <c r="AB410" s="30"/>
      <c r="AC410" s="50"/>
      <c r="AD410" s="30"/>
      <c r="AE410" s="12">
        <f t="shared" si="5"/>
        <v>0</v>
      </c>
      <c r="AF410" s="70">
        <f t="shared" si="6"/>
        <v>0</v>
      </c>
      <c r="AG410" s="76"/>
      <c r="AH410" s="76"/>
      <c r="AI410" s="76"/>
      <c r="AJ410" s="76"/>
      <c r="AK410" s="76"/>
      <c r="AL410" s="30"/>
      <c r="AM410" s="79"/>
      <c r="AN410" s="79"/>
      <c r="AO410" s="79"/>
    </row>
    <row r="411" hidden="1">
      <c r="A411" s="12" t="s">
        <v>74</v>
      </c>
      <c r="B411" s="64"/>
      <c r="C411" s="12" t="s">
        <v>248</v>
      </c>
      <c r="D411" s="12" t="str">
        <f>vlookup(C411,'List of Chargers'!$A$2:$B$5,2,FALSE)</f>
        <v>Roam Hub</v>
      </c>
      <c r="E411" s="12" t="s">
        <v>73</v>
      </c>
      <c r="F411" s="12" t="s">
        <v>75</v>
      </c>
      <c r="G411" s="12">
        <v>409.0</v>
      </c>
      <c r="H411" s="13" t="str">
        <f t="shared" si="1"/>
        <v>#RH-KE-A-409</v>
      </c>
      <c r="I411" s="13" t="str">
        <f t="shared" si="2"/>
        <v>FO-NBI-00#RH-KE-A-409</v>
      </c>
      <c r="J411" s="25"/>
      <c r="K411" s="66"/>
      <c r="L411" s="31"/>
      <c r="M411" s="31"/>
      <c r="N411" s="26" t="str">
        <f t="shared" si="3"/>
        <v>Roam Hub - </v>
      </c>
      <c r="O411" s="26" t="str">
        <f t="shared" si="4"/>
        <v>FO-NBI-00#RH-KE-A-409: Roam Hub - </v>
      </c>
      <c r="R411" s="53"/>
      <c r="S411" s="78" t="b">
        <v>0</v>
      </c>
      <c r="T411" s="78" t="b">
        <v>0</v>
      </c>
      <c r="U411" s="78" t="b">
        <v>0</v>
      </c>
      <c r="V411" s="30" t="b">
        <v>0</v>
      </c>
      <c r="W411" s="30" t="b">
        <v>0</v>
      </c>
      <c r="X411" s="30"/>
      <c r="Y411" s="30"/>
      <c r="Z411" s="30"/>
      <c r="AA411" s="30"/>
      <c r="AB411" s="30"/>
      <c r="AC411" s="50"/>
      <c r="AD411" s="30"/>
      <c r="AE411" s="12">
        <f t="shared" si="5"/>
        <v>0</v>
      </c>
      <c r="AF411" s="70">
        <f t="shared" si="6"/>
        <v>0</v>
      </c>
      <c r="AG411" s="76"/>
      <c r="AH411" s="76"/>
      <c r="AI411" s="76"/>
      <c r="AJ411" s="76"/>
      <c r="AK411" s="76"/>
      <c r="AL411" s="30"/>
      <c r="AM411" s="79"/>
      <c r="AN411" s="79"/>
      <c r="AO411" s="79"/>
    </row>
    <row r="412" hidden="1">
      <c r="A412" s="12" t="s">
        <v>74</v>
      </c>
      <c r="B412" s="64"/>
      <c r="C412" s="12" t="s">
        <v>248</v>
      </c>
      <c r="D412" s="12" t="str">
        <f>vlookup(C412,'List of Chargers'!$A$2:$B$5,2,FALSE)</f>
        <v>Roam Hub</v>
      </c>
      <c r="E412" s="12" t="s">
        <v>73</v>
      </c>
      <c r="F412" s="12" t="s">
        <v>75</v>
      </c>
      <c r="G412" s="12">
        <v>410.0</v>
      </c>
      <c r="H412" s="13" t="str">
        <f t="shared" si="1"/>
        <v>#RH-KE-A-410</v>
      </c>
      <c r="I412" s="13" t="str">
        <f t="shared" si="2"/>
        <v>FO-NBI-00#RH-KE-A-410</v>
      </c>
      <c r="J412" s="25"/>
      <c r="K412" s="66"/>
      <c r="L412" s="31"/>
      <c r="M412" s="31"/>
      <c r="N412" s="26" t="str">
        <f t="shared" si="3"/>
        <v>Roam Hub - </v>
      </c>
      <c r="O412" s="26" t="str">
        <f t="shared" si="4"/>
        <v>FO-NBI-00#RH-KE-A-410: Roam Hub - </v>
      </c>
      <c r="R412" s="53"/>
      <c r="S412" s="78" t="b">
        <v>0</v>
      </c>
      <c r="T412" s="78" t="b">
        <v>0</v>
      </c>
      <c r="U412" s="78" t="b">
        <v>0</v>
      </c>
      <c r="V412" s="30" t="b">
        <v>0</v>
      </c>
      <c r="W412" s="30" t="b">
        <v>0</v>
      </c>
      <c r="X412" s="30"/>
      <c r="Y412" s="30"/>
      <c r="Z412" s="30"/>
      <c r="AA412" s="30"/>
      <c r="AB412" s="30"/>
      <c r="AC412" s="50"/>
      <c r="AD412" s="30"/>
      <c r="AE412" s="12">
        <f t="shared" si="5"/>
        <v>0</v>
      </c>
      <c r="AF412" s="70">
        <f t="shared" si="6"/>
        <v>0</v>
      </c>
      <c r="AG412" s="76"/>
      <c r="AH412" s="76"/>
      <c r="AI412" s="76"/>
      <c r="AJ412" s="76"/>
      <c r="AK412" s="76"/>
      <c r="AL412" s="30"/>
      <c r="AM412" s="79"/>
      <c r="AN412" s="79"/>
      <c r="AO412" s="79"/>
    </row>
    <row r="413" hidden="1">
      <c r="A413" s="12" t="s">
        <v>74</v>
      </c>
      <c r="B413" s="64"/>
      <c r="C413" s="12" t="s">
        <v>248</v>
      </c>
      <c r="D413" s="12" t="str">
        <f>vlookup(C413,'List of Chargers'!$A$2:$B$5,2,FALSE)</f>
        <v>Roam Hub</v>
      </c>
      <c r="E413" s="12" t="s">
        <v>73</v>
      </c>
      <c r="F413" s="12" t="s">
        <v>75</v>
      </c>
      <c r="G413" s="12">
        <v>411.0</v>
      </c>
      <c r="H413" s="13" t="str">
        <f t="shared" si="1"/>
        <v>#RH-KE-A-411</v>
      </c>
      <c r="I413" s="13" t="str">
        <f t="shared" si="2"/>
        <v>FO-NBI-00#RH-KE-A-411</v>
      </c>
      <c r="J413" s="25"/>
      <c r="K413" s="66"/>
      <c r="L413" s="31"/>
      <c r="M413" s="31"/>
      <c r="N413" s="26" t="str">
        <f t="shared" si="3"/>
        <v>Roam Hub - </v>
      </c>
      <c r="O413" s="26" t="str">
        <f t="shared" si="4"/>
        <v>FO-NBI-00#RH-KE-A-411: Roam Hub - </v>
      </c>
      <c r="R413" s="53"/>
      <c r="S413" s="78" t="b">
        <v>0</v>
      </c>
      <c r="T413" s="78" t="b">
        <v>0</v>
      </c>
      <c r="U413" s="78" t="b">
        <v>0</v>
      </c>
      <c r="V413" s="30" t="b">
        <v>0</v>
      </c>
      <c r="W413" s="30" t="b">
        <v>0</v>
      </c>
      <c r="X413" s="30"/>
      <c r="Y413" s="30"/>
      <c r="Z413" s="30"/>
      <c r="AA413" s="30"/>
      <c r="AB413" s="30"/>
      <c r="AC413" s="50"/>
      <c r="AD413" s="30"/>
      <c r="AE413" s="12">
        <f t="shared" si="5"/>
        <v>0</v>
      </c>
      <c r="AF413" s="70">
        <f t="shared" si="6"/>
        <v>0</v>
      </c>
      <c r="AG413" s="76"/>
      <c r="AH413" s="76"/>
      <c r="AI413" s="76"/>
      <c r="AJ413" s="76"/>
      <c r="AK413" s="76"/>
      <c r="AL413" s="30"/>
      <c r="AM413" s="79"/>
      <c r="AN413" s="79"/>
      <c r="AO413" s="79"/>
    </row>
    <row r="414" hidden="1">
      <c r="A414" s="12" t="s">
        <v>74</v>
      </c>
      <c r="B414" s="64"/>
      <c r="C414" s="12" t="s">
        <v>248</v>
      </c>
      <c r="D414" s="12" t="str">
        <f>vlookup(C414,'List of Chargers'!$A$2:$B$5,2,FALSE)</f>
        <v>Roam Hub</v>
      </c>
      <c r="E414" s="12" t="s">
        <v>73</v>
      </c>
      <c r="F414" s="12" t="s">
        <v>75</v>
      </c>
      <c r="G414" s="12">
        <v>412.0</v>
      </c>
      <c r="H414" s="13" t="str">
        <f t="shared" si="1"/>
        <v>#RH-KE-A-412</v>
      </c>
      <c r="I414" s="13" t="str">
        <f t="shared" si="2"/>
        <v>FO-NBI-00#RH-KE-A-412</v>
      </c>
      <c r="J414" s="25"/>
      <c r="K414" s="66"/>
      <c r="L414" s="31"/>
      <c r="M414" s="31"/>
      <c r="N414" s="26" t="str">
        <f t="shared" si="3"/>
        <v>Roam Hub - </v>
      </c>
      <c r="O414" s="26" t="str">
        <f t="shared" si="4"/>
        <v>FO-NBI-00#RH-KE-A-412: Roam Hub - </v>
      </c>
      <c r="R414" s="53"/>
      <c r="S414" s="78" t="b">
        <v>0</v>
      </c>
      <c r="T414" s="78" t="b">
        <v>0</v>
      </c>
      <c r="U414" s="78" t="b">
        <v>0</v>
      </c>
      <c r="V414" s="30" t="b">
        <v>0</v>
      </c>
      <c r="W414" s="30" t="b">
        <v>0</v>
      </c>
      <c r="X414" s="30"/>
      <c r="Y414" s="30"/>
      <c r="Z414" s="30"/>
      <c r="AA414" s="30"/>
      <c r="AB414" s="30"/>
      <c r="AC414" s="50"/>
      <c r="AD414" s="30"/>
      <c r="AE414" s="12">
        <f t="shared" si="5"/>
        <v>0</v>
      </c>
      <c r="AF414" s="70">
        <f t="shared" si="6"/>
        <v>0</v>
      </c>
      <c r="AG414" s="76"/>
      <c r="AH414" s="76"/>
      <c r="AI414" s="76"/>
      <c r="AJ414" s="76"/>
      <c r="AK414" s="76"/>
      <c r="AL414" s="30"/>
      <c r="AM414" s="79"/>
      <c r="AN414" s="79"/>
      <c r="AO414" s="79"/>
    </row>
    <row r="415" hidden="1">
      <c r="A415" s="12" t="s">
        <v>74</v>
      </c>
      <c r="B415" s="64"/>
      <c r="C415" s="12" t="s">
        <v>248</v>
      </c>
      <c r="D415" s="12" t="str">
        <f>vlookup(C415,'List of Chargers'!$A$2:$B$5,2,FALSE)</f>
        <v>Roam Hub</v>
      </c>
      <c r="E415" s="12" t="s">
        <v>73</v>
      </c>
      <c r="F415" s="12" t="s">
        <v>75</v>
      </c>
      <c r="G415" s="12">
        <v>413.0</v>
      </c>
      <c r="H415" s="13" t="str">
        <f t="shared" si="1"/>
        <v>#RH-KE-A-413</v>
      </c>
      <c r="I415" s="13" t="str">
        <f t="shared" si="2"/>
        <v>FO-NBI-00#RH-KE-A-413</v>
      </c>
      <c r="J415" s="25"/>
      <c r="K415" s="66"/>
      <c r="L415" s="31"/>
      <c r="M415" s="31"/>
      <c r="N415" s="26" t="str">
        <f t="shared" si="3"/>
        <v>Roam Hub - </v>
      </c>
      <c r="O415" s="26" t="str">
        <f t="shared" si="4"/>
        <v>FO-NBI-00#RH-KE-A-413: Roam Hub - </v>
      </c>
      <c r="R415" s="53"/>
      <c r="S415" s="78" t="b">
        <v>0</v>
      </c>
      <c r="T415" s="78" t="b">
        <v>0</v>
      </c>
      <c r="U415" s="78" t="b">
        <v>0</v>
      </c>
      <c r="V415" s="30" t="b">
        <v>0</v>
      </c>
      <c r="W415" s="30" t="b">
        <v>0</v>
      </c>
      <c r="X415" s="30"/>
      <c r="Y415" s="30"/>
      <c r="Z415" s="30"/>
      <c r="AA415" s="30"/>
      <c r="AB415" s="30"/>
      <c r="AC415" s="50"/>
      <c r="AD415" s="30"/>
      <c r="AE415" s="12">
        <f t="shared" si="5"/>
        <v>0</v>
      </c>
      <c r="AF415" s="70">
        <f t="shared" si="6"/>
        <v>0</v>
      </c>
      <c r="AG415" s="76"/>
      <c r="AH415" s="76"/>
      <c r="AI415" s="76"/>
      <c r="AJ415" s="76"/>
      <c r="AK415" s="76"/>
      <c r="AL415" s="30"/>
      <c r="AM415" s="79"/>
      <c r="AN415" s="79"/>
      <c r="AO415" s="79"/>
    </row>
    <row r="416" hidden="1">
      <c r="A416" s="12" t="s">
        <v>74</v>
      </c>
      <c r="B416" s="64"/>
      <c r="C416" s="12" t="s">
        <v>248</v>
      </c>
      <c r="D416" s="12" t="str">
        <f>vlookup(C416,'List of Chargers'!$A$2:$B$5,2,FALSE)</f>
        <v>Roam Hub</v>
      </c>
      <c r="E416" s="12" t="s">
        <v>73</v>
      </c>
      <c r="F416" s="12" t="s">
        <v>75</v>
      </c>
      <c r="G416" s="12">
        <v>414.0</v>
      </c>
      <c r="H416" s="13" t="str">
        <f t="shared" si="1"/>
        <v>#RH-KE-A-414</v>
      </c>
      <c r="I416" s="13" t="str">
        <f t="shared" si="2"/>
        <v>FO-NBI-00#RH-KE-A-414</v>
      </c>
      <c r="J416" s="25"/>
      <c r="K416" s="66"/>
      <c r="L416" s="31"/>
      <c r="M416" s="31"/>
      <c r="N416" s="26" t="str">
        <f t="shared" si="3"/>
        <v>Roam Hub - </v>
      </c>
      <c r="O416" s="26" t="str">
        <f t="shared" si="4"/>
        <v>FO-NBI-00#RH-KE-A-414: Roam Hub - </v>
      </c>
      <c r="R416" s="53"/>
      <c r="S416" s="78" t="b">
        <v>0</v>
      </c>
      <c r="T416" s="78" t="b">
        <v>0</v>
      </c>
      <c r="U416" s="78" t="b">
        <v>0</v>
      </c>
      <c r="V416" s="30" t="b">
        <v>0</v>
      </c>
      <c r="W416" s="30" t="b">
        <v>0</v>
      </c>
      <c r="X416" s="30"/>
      <c r="Y416" s="30"/>
      <c r="Z416" s="30"/>
      <c r="AA416" s="30"/>
      <c r="AB416" s="30"/>
      <c r="AC416" s="50"/>
      <c r="AD416" s="30"/>
      <c r="AE416" s="12">
        <f t="shared" si="5"/>
        <v>0</v>
      </c>
      <c r="AF416" s="70">
        <f t="shared" si="6"/>
        <v>0</v>
      </c>
      <c r="AG416" s="76"/>
      <c r="AH416" s="76"/>
      <c r="AI416" s="76"/>
      <c r="AJ416" s="76"/>
      <c r="AK416" s="76"/>
      <c r="AL416" s="30"/>
      <c r="AM416" s="79"/>
      <c r="AN416" s="79"/>
      <c r="AO416" s="79"/>
    </row>
    <row r="417" hidden="1">
      <c r="A417" s="12" t="s">
        <v>74</v>
      </c>
      <c r="B417" s="64"/>
      <c r="C417" s="12" t="s">
        <v>248</v>
      </c>
      <c r="D417" s="12" t="str">
        <f>vlookup(C417,'List of Chargers'!$A$2:$B$5,2,FALSE)</f>
        <v>Roam Hub</v>
      </c>
      <c r="E417" s="12" t="s">
        <v>73</v>
      </c>
      <c r="F417" s="12" t="s">
        <v>75</v>
      </c>
      <c r="G417" s="12">
        <v>415.0</v>
      </c>
      <c r="H417" s="13" t="str">
        <f t="shared" si="1"/>
        <v>#RH-KE-A-415</v>
      </c>
      <c r="I417" s="13" t="str">
        <f t="shared" si="2"/>
        <v>FO-NBI-00#RH-KE-A-415</v>
      </c>
      <c r="J417" s="25"/>
      <c r="K417" s="66"/>
      <c r="L417" s="31"/>
      <c r="M417" s="31"/>
      <c r="N417" s="26" t="str">
        <f t="shared" si="3"/>
        <v>Roam Hub - </v>
      </c>
      <c r="O417" s="26" t="str">
        <f t="shared" si="4"/>
        <v>FO-NBI-00#RH-KE-A-415: Roam Hub - </v>
      </c>
      <c r="R417" s="53"/>
      <c r="S417" s="78" t="b">
        <v>0</v>
      </c>
      <c r="T417" s="78" t="b">
        <v>0</v>
      </c>
      <c r="U417" s="78" t="b">
        <v>0</v>
      </c>
      <c r="V417" s="30" t="b">
        <v>0</v>
      </c>
      <c r="W417" s="30" t="b">
        <v>0</v>
      </c>
      <c r="X417" s="30"/>
      <c r="Y417" s="30"/>
      <c r="Z417" s="30"/>
      <c r="AA417" s="30"/>
      <c r="AB417" s="30"/>
      <c r="AC417" s="50"/>
      <c r="AD417" s="30"/>
      <c r="AE417" s="12">
        <f t="shared" si="5"/>
        <v>0</v>
      </c>
      <c r="AF417" s="70">
        <f t="shared" si="6"/>
        <v>0</v>
      </c>
      <c r="AG417" s="76"/>
      <c r="AH417" s="76"/>
      <c r="AI417" s="76"/>
      <c r="AJ417" s="76"/>
      <c r="AK417" s="76"/>
      <c r="AL417" s="30"/>
      <c r="AM417" s="79"/>
      <c r="AN417" s="79"/>
      <c r="AO417" s="79"/>
    </row>
    <row r="418" hidden="1">
      <c r="A418" s="12" t="s">
        <v>74</v>
      </c>
      <c r="B418" s="64"/>
      <c r="C418" s="12" t="s">
        <v>248</v>
      </c>
      <c r="D418" s="12" t="str">
        <f>vlookup(C418,'List of Chargers'!$A$2:$B$5,2,FALSE)</f>
        <v>Roam Hub</v>
      </c>
      <c r="E418" s="12" t="s">
        <v>73</v>
      </c>
      <c r="F418" s="12" t="s">
        <v>75</v>
      </c>
      <c r="G418" s="12">
        <v>416.0</v>
      </c>
      <c r="H418" s="13" t="str">
        <f t="shared" si="1"/>
        <v>#RH-KE-A-416</v>
      </c>
      <c r="I418" s="13" t="str">
        <f t="shared" si="2"/>
        <v>FO-NBI-00#RH-KE-A-416</v>
      </c>
      <c r="J418" s="25"/>
      <c r="K418" s="66"/>
      <c r="L418" s="31"/>
      <c r="M418" s="31"/>
      <c r="N418" s="26" t="str">
        <f t="shared" si="3"/>
        <v>Roam Hub - </v>
      </c>
      <c r="O418" s="26" t="str">
        <f t="shared" si="4"/>
        <v>FO-NBI-00#RH-KE-A-416: Roam Hub - </v>
      </c>
      <c r="R418" s="53"/>
      <c r="S418" s="78" t="b">
        <v>0</v>
      </c>
      <c r="T418" s="78" t="b">
        <v>0</v>
      </c>
      <c r="U418" s="78" t="b">
        <v>0</v>
      </c>
      <c r="V418" s="30" t="b">
        <v>0</v>
      </c>
      <c r="W418" s="30" t="b">
        <v>0</v>
      </c>
      <c r="X418" s="30"/>
      <c r="Y418" s="30"/>
      <c r="Z418" s="30"/>
      <c r="AA418" s="30"/>
      <c r="AB418" s="30"/>
      <c r="AC418" s="50"/>
      <c r="AD418" s="30"/>
      <c r="AE418" s="12">
        <f t="shared" si="5"/>
        <v>0</v>
      </c>
      <c r="AF418" s="70">
        <f t="shared" si="6"/>
        <v>0</v>
      </c>
      <c r="AG418" s="76"/>
      <c r="AH418" s="76"/>
      <c r="AI418" s="76"/>
      <c r="AJ418" s="76"/>
      <c r="AK418" s="76"/>
      <c r="AL418" s="30"/>
      <c r="AM418" s="79"/>
      <c r="AN418" s="79"/>
      <c r="AO418" s="79"/>
    </row>
    <row r="419" hidden="1">
      <c r="A419" s="12" t="s">
        <v>74</v>
      </c>
      <c r="B419" s="64"/>
      <c r="C419" s="12" t="s">
        <v>248</v>
      </c>
      <c r="D419" s="12" t="str">
        <f>vlookup(C419,'List of Chargers'!$A$2:$B$5,2,FALSE)</f>
        <v>Roam Hub</v>
      </c>
      <c r="E419" s="12" t="s">
        <v>73</v>
      </c>
      <c r="F419" s="12" t="s">
        <v>75</v>
      </c>
      <c r="G419" s="12">
        <v>417.0</v>
      </c>
      <c r="H419" s="13" t="str">
        <f t="shared" si="1"/>
        <v>#RH-KE-A-417</v>
      </c>
      <c r="I419" s="13" t="str">
        <f t="shared" si="2"/>
        <v>FO-NBI-00#RH-KE-A-417</v>
      </c>
      <c r="J419" s="25"/>
      <c r="K419" s="66"/>
      <c r="L419" s="31"/>
      <c r="M419" s="31"/>
      <c r="N419" s="26" t="str">
        <f t="shared" si="3"/>
        <v>Roam Hub - </v>
      </c>
      <c r="O419" s="26" t="str">
        <f t="shared" si="4"/>
        <v>FO-NBI-00#RH-KE-A-417: Roam Hub - </v>
      </c>
      <c r="R419" s="53"/>
      <c r="S419" s="78" t="b">
        <v>0</v>
      </c>
      <c r="T419" s="78" t="b">
        <v>0</v>
      </c>
      <c r="U419" s="78" t="b">
        <v>0</v>
      </c>
      <c r="V419" s="30" t="b">
        <v>0</v>
      </c>
      <c r="W419" s="30" t="b">
        <v>0</v>
      </c>
      <c r="X419" s="30"/>
      <c r="Y419" s="30"/>
      <c r="Z419" s="30"/>
      <c r="AA419" s="30"/>
      <c r="AB419" s="30"/>
      <c r="AC419" s="50"/>
      <c r="AD419" s="30"/>
      <c r="AE419" s="12">
        <f t="shared" si="5"/>
        <v>0</v>
      </c>
      <c r="AF419" s="70">
        <f t="shared" si="6"/>
        <v>0</v>
      </c>
      <c r="AG419" s="76"/>
      <c r="AH419" s="76"/>
      <c r="AI419" s="76"/>
      <c r="AJ419" s="76"/>
      <c r="AK419" s="76"/>
      <c r="AL419" s="30"/>
      <c r="AM419" s="79"/>
      <c r="AN419" s="79"/>
      <c r="AO419" s="79"/>
    </row>
    <row r="420" hidden="1">
      <c r="A420" s="12" t="s">
        <v>74</v>
      </c>
      <c r="B420" s="64"/>
      <c r="C420" s="12" t="s">
        <v>248</v>
      </c>
      <c r="D420" s="12" t="str">
        <f>vlookup(C420,'List of Chargers'!$A$2:$B$5,2,FALSE)</f>
        <v>Roam Hub</v>
      </c>
      <c r="E420" s="12" t="s">
        <v>73</v>
      </c>
      <c r="F420" s="12" t="s">
        <v>75</v>
      </c>
      <c r="G420" s="12">
        <v>418.0</v>
      </c>
      <c r="H420" s="13" t="str">
        <f t="shared" si="1"/>
        <v>#RH-KE-A-418</v>
      </c>
      <c r="I420" s="13" t="str">
        <f t="shared" si="2"/>
        <v>FO-NBI-00#RH-KE-A-418</v>
      </c>
      <c r="J420" s="25"/>
      <c r="K420" s="66"/>
      <c r="L420" s="31"/>
      <c r="M420" s="31"/>
      <c r="N420" s="26" t="str">
        <f t="shared" si="3"/>
        <v>Roam Hub - </v>
      </c>
      <c r="O420" s="26" t="str">
        <f t="shared" si="4"/>
        <v>FO-NBI-00#RH-KE-A-418: Roam Hub - </v>
      </c>
      <c r="R420" s="53"/>
      <c r="S420" s="78" t="b">
        <v>0</v>
      </c>
      <c r="T420" s="78" t="b">
        <v>0</v>
      </c>
      <c r="U420" s="78" t="b">
        <v>0</v>
      </c>
      <c r="V420" s="30" t="b">
        <v>0</v>
      </c>
      <c r="W420" s="30" t="b">
        <v>0</v>
      </c>
      <c r="X420" s="30"/>
      <c r="Y420" s="30"/>
      <c r="Z420" s="30"/>
      <c r="AA420" s="30"/>
      <c r="AB420" s="30"/>
      <c r="AC420" s="50"/>
      <c r="AD420" s="30"/>
      <c r="AE420" s="12">
        <f t="shared" si="5"/>
        <v>0</v>
      </c>
      <c r="AF420" s="70">
        <f t="shared" si="6"/>
        <v>0</v>
      </c>
      <c r="AG420" s="76"/>
      <c r="AH420" s="76"/>
      <c r="AI420" s="76"/>
      <c r="AJ420" s="76"/>
      <c r="AK420" s="76"/>
      <c r="AL420" s="30"/>
      <c r="AM420" s="79"/>
      <c r="AN420" s="79"/>
      <c r="AO420" s="79"/>
    </row>
    <row r="421" hidden="1">
      <c r="A421" s="12" t="s">
        <v>74</v>
      </c>
      <c r="B421" s="64"/>
      <c r="C421" s="12" t="s">
        <v>248</v>
      </c>
      <c r="D421" s="12" t="str">
        <f>vlookup(C421,'List of Chargers'!$A$2:$B$5,2,FALSE)</f>
        <v>Roam Hub</v>
      </c>
      <c r="E421" s="12" t="s">
        <v>73</v>
      </c>
      <c r="F421" s="12" t="s">
        <v>75</v>
      </c>
      <c r="G421" s="12">
        <v>419.0</v>
      </c>
      <c r="H421" s="13" t="str">
        <f t="shared" si="1"/>
        <v>#RH-KE-A-419</v>
      </c>
      <c r="I421" s="13" t="str">
        <f t="shared" si="2"/>
        <v>FO-NBI-00#RH-KE-A-419</v>
      </c>
      <c r="J421" s="25"/>
      <c r="K421" s="66"/>
      <c r="L421" s="31"/>
      <c r="M421" s="31"/>
      <c r="N421" s="26" t="str">
        <f t="shared" si="3"/>
        <v>Roam Hub - </v>
      </c>
      <c r="O421" s="26" t="str">
        <f t="shared" si="4"/>
        <v>FO-NBI-00#RH-KE-A-419: Roam Hub - </v>
      </c>
      <c r="R421" s="53"/>
      <c r="S421" s="78" t="b">
        <v>0</v>
      </c>
      <c r="T421" s="78" t="b">
        <v>0</v>
      </c>
      <c r="U421" s="78" t="b">
        <v>0</v>
      </c>
      <c r="V421" s="30" t="b">
        <v>0</v>
      </c>
      <c r="W421" s="30" t="b">
        <v>0</v>
      </c>
      <c r="X421" s="30"/>
      <c r="Y421" s="30"/>
      <c r="Z421" s="30"/>
      <c r="AA421" s="30"/>
      <c r="AB421" s="30"/>
      <c r="AC421" s="50"/>
      <c r="AD421" s="30"/>
      <c r="AE421" s="12">
        <f t="shared" si="5"/>
        <v>0</v>
      </c>
      <c r="AF421" s="70">
        <f t="shared" si="6"/>
        <v>0</v>
      </c>
      <c r="AG421" s="76"/>
      <c r="AH421" s="76"/>
      <c r="AI421" s="76"/>
      <c r="AJ421" s="76"/>
      <c r="AK421" s="76"/>
      <c r="AL421" s="30"/>
      <c r="AM421" s="79"/>
      <c r="AN421" s="79"/>
      <c r="AO421" s="79"/>
    </row>
    <row r="422" hidden="1">
      <c r="A422" s="12" t="s">
        <v>74</v>
      </c>
      <c r="B422" s="64"/>
      <c r="C422" s="12" t="s">
        <v>248</v>
      </c>
      <c r="D422" s="12" t="str">
        <f>vlookup(C422,'List of Chargers'!$A$2:$B$5,2,FALSE)</f>
        <v>Roam Hub</v>
      </c>
      <c r="E422" s="12" t="s">
        <v>73</v>
      </c>
      <c r="F422" s="12" t="s">
        <v>75</v>
      </c>
      <c r="G422" s="12">
        <v>420.0</v>
      </c>
      <c r="H422" s="13" t="str">
        <f t="shared" si="1"/>
        <v>#RH-KE-A-420</v>
      </c>
      <c r="I422" s="13" t="str">
        <f t="shared" si="2"/>
        <v>FO-NBI-00#RH-KE-A-420</v>
      </c>
      <c r="J422" s="25"/>
      <c r="K422" s="66"/>
      <c r="L422" s="31"/>
      <c r="M422" s="31"/>
      <c r="N422" s="26" t="str">
        <f t="shared" si="3"/>
        <v>Roam Hub - </v>
      </c>
      <c r="O422" s="26" t="str">
        <f t="shared" si="4"/>
        <v>FO-NBI-00#RH-KE-A-420: Roam Hub - </v>
      </c>
      <c r="R422" s="53"/>
      <c r="S422" s="78" t="b">
        <v>0</v>
      </c>
      <c r="T422" s="78" t="b">
        <v>0</v>
      </c>
      <c r="U422" s="78" t="b">
        <v>0</v>
      </c>
      <c r="V422" s="30" t="b">
        <v>0</v>
      </c>
      <c r="W422" s="30" t="b">
        <v>0</v>
      </c>
      <c r="X422" s="30"/>
      <c r="Y422" s="30"/>
      <c r="Z422" s="30"/>
      <c r="AA422" s="30"/>
      <c r="AB422" s="30"/>
      <c r="AC422" s="50"/>
      <c r="AD422" s="30"/>
      <c r="AE422" s="12">
        <f t="shared" si="5"/>
        <v>0</v>
      </c>
      <c r="AF422" s="70">
        <f t="shared" si="6"/>
        <v>0</v>
      </c>
      <c r="AG422" s="76"/>
      <c r="AH422" s="76"/>
      <c r="AI422" s="76"/>
      <c r="AJ422" s="76"/>
      <c r="AK422" s="76"/>
      <c r="AL422" s="30"/>
      <c r="AM422" s="79"/>
      <c r="AN422" s="79"/>
      <c r="AO422" s="79"/>
    </row>
    <row r="423" hidden="1">
      <c r="A423" s="12" t="s">
        <v>74</v>
      </c>
      <c r="B423" s="64"/>
      <c r="C423" s="12" t="s">
        <v>248</v>
      </c>
      <c r="D423" s="12" t="str">
        <f>vlookup(C423,'List of Chargers'!$A$2:$B$5,2,FALSE)</f>
        <v>Roam Hub</v>
      </c>
      <c r="E423" s="12" t="s">
        <v>73</v>
      </c>
      <c r="F423" s="12" t="s">
        <v>75</v>
      </c>
      <c r="G423" s="12">
        <v>421.0</v>
      </c>
      <c r="H423" s="13" t="str">
        <f t="shared" si="1"/>
        <v>#RH-KE-A-421</v>
      </c>
      <c r="I423" s="13" t="str">
        <f t="shared" si="2"/>
        <v>FO-NBI-00#RH-KE-A-421</v>
      </c>
      <c r="J423" s="25"/>
      <c r="K423" s="66"/>
      <c r="L423" s="31"/>
      <c r="M423" s="31"/>
      <c r="N423" s="26" t="str">
        <f t="shared" si="3"/>
        <v>Roam Hub - </v>
      </c>
      <c r="O423" s="26" t="str">
        <f t="shared" si="4"/>
        <v>FO-NBI-00#RH-KE-A-421: Roam Hub - </v>
      </c>
      <c r="R423" s="53"/>
      <c r="S423" s="78" t="b">
        <v>0</v>
      </c>
      <c r="T423" s="78" t="b">
        <v>0</v>
      </c>
      <c r="U423" s="78" t="b">
        <v>0</v>
      </c>
      <c r="V423" s="30" t="b">
        <v>0</v>
      </c>
      <c r="W423" s="30" t="b">
        <v>0</v>
      </c>
      <c r="X423" s="30"/>
      <c r="Y423" s="30"/>
      <c r="Z423" s="30"/>
      <c r="AA423" s="30"/>
      <c r="AB423" s="30"/>
      <c r="AC423" s="50"/>
      <c r="AD423" s="30"/>
      <c r="AE423" s="12">
        <f t="shared" si="5"/>
        <v>0</v>
      </c>
      <c r="AF423" s="70">
        <f t="shared" si="6"/>
        <v>0</v>
      </c>
      <c r="AG423" s="76"/>
      <c r="AH423" s="76"/>
      <c r="AI423" s="76"/>
      <c r="AJ423" s="76"/>
      <c r="AK423" s="76"/>
      <c r="AL423" s="30"/>
      <c r="AM423" s="79"/>
      <c r="AN423" s="79"/>
      <c r="AO423" s="79"/>
    </row>
    <row r="424" hidden="1">
      <c r="A424" s="12" t="s">
        <v>74</v>
      </c>
      <c r="B424" s="64"/>
      <c r="C424" s="12" t="s">
        <v>248</v>
      </c>
      <c r="D424" s="12" t="str">
        <f>vlookup(C424,'List of Chargers'!$A$2:$B$5,2,FALSE)</f>
        <v>Roam Hub</v>
      </c>
      <c r="E424" s="12" t="s">
        <v>73</v>
      </c>
      <c r="F424" s="12" t="s">
        <v>75</v>
      </c>
      <c r="G424" s="12">
        <v>422.0</v>
      </c>
      <c r="H424" s="13" t="str">
        <f t="shared" si="1"/>
        <v>#RH-KE-A-422</v>
      </c>
      <c r="I424" s="13" t="str">
        <f t="shared" si="2"/>
        <v>FO-NBI-00#RH-KE-A-422</v>
      </c>
      <c r="J424" s="25"/>
      <c r="K424" s="66"/>
      <c r="L424" s="31"/>
      <c r="M424" s="31"/>
      <c r="N424" s="26" t="str">
        <f t="shared" si="3"/>
        <v>Roam Hub - </v>
      </c>
      <c r="O424" s="26" t="str">
        <f t="shared" si="4"/>
        <v>FO-NBI-00#RH-KE-A-422: Roam Hub - </v>
      </c>
      <c r="R424" s="53"/>
      <c r="S424" s="78" t="b">
        <v>0</v>
      </c>
      <c r="T424" s="78" t="b">
        <v>0</v>
      </c>
      <c r="U424" s="78" t="b">
        <v>0</v>
      </c>
      <c r="V424" s="30" t="b">
        <v>0</v>
      </c>
      <c r="W424" s="30" t="b">
        <v>0</v>
      </c>
      <c r="X424" s="30"/>
      <c r="Y424" s="30"/>
      <c r="Z424" s="30"/>
      <c r="AA424" s="30"/>
      <c r="AB424" s="30"/>
      <c r="AC424" s="50"/>
      <c r="AD424" s="30"/>
      <c r="AE424" s="12">
        <f t="shared" si="5"/>
        <v>0</v>
      </c>
      <c r="AF424" s="70">
        <f t="shared" si="6"/>
        <v>0</v>
      </c>
      <c r="AG424" s="76"/>
      <c r="AH424" s="76"/>
      <c r="AI424" s="76"/>
      <c r="AJ424" s="76"/>
      <c r="AK424" s="76"/>
      <c r="AL424" s="30"/>
      <c r="AM424" s="79"/>
      <c r="AN424" s="79"/>
      <c r="AO424" s="79"/>
    </row>
    <row r="425" hidden="1">
      <c r="A425" s="12" t="s">
        <v>74</v>
      </c>
      <c r="B425" s="64"/>
      <c r="C425" s="12" t="s">
        <v>248</v>
      </c>
      <c r="D425" s="12" t="str">
        <f>vlookup(C425,'List of Chargers'!$A$2:$B$5,2,FALSE)</f>
        <v>Roam Hub</v>
      </c>
      <c r="E425" s="12" t="s">
        <v>73</v>
      </c>
      <c r="F425" s="12" t="s">
        <v>75</v>
      </c>
      <c r="G425" s="12">
        <v>423.0</v>
      </c>
      <c r="H425" s="13" t="str">
        <f t="shared" si="1"/>
        <v>#RH-KE-A-423</v>
      </c>
      <c r="I425" s="13" t="str">
        <f t="shared" si="2"/>
        <v>FO-NBI-00#RH-KE-A-423</v>
      </c>
      <c r="J425" s="25"/>
      <c r="K425" s="66"/>
      <c r="L425" s="31"/>
      <c r="M425" s="31"/>
      <c r="N425" s="26" t="str">
        <f t="shared" si="3"/>
        <v>Roam Hub - </v>
      </c>
      <c r="O425" s="26" t="str">
        <f t="shared" si="4"/>
        <v>FO-NBI-00#RH-KE-A-423: Roam Hub - </v>
      </c>
      <c r="R425" s="53"/>
      <c r="S425" s="78" t="b">
        <v>0</v>
      </c>
      <c r="T425" s="78" t="b">
        <v>0</v>
      </c>
      <c r="U425" s="78" t="b">
        <v>0</v>
      </c>
      <c r="V425" s="30" t="b">
        <v>0</v>
      </c>
      <c r="W425" s="30" t="b">
        <v>0</v>
      </c>
      <c r="X425" s="30"/>
      <c r="Y425" s="30"/>
      <c r="Z425" s="30"/>
      <c r="AA425" s="30"/>
      <c r="AB425" s="30"/>
      <c r="AC425" s="50"/>
      <c r="AD425" s="30"/>
      <c r="AE425" s="12">
        <f t="shared" si="5"/>
        <v>0</v>
      </c>
      <c r="AF425" s="70">
        <f t="shared" si="6"/>
        <v>0</v>
      </c>
      <c r="AG425" s="76"/>
      <c r="AH425" s="76"/>
      <c r="AI425" s="76"/>
      <c r="AJ425" s="76"/>
      <c r="AK425" s="76"/>
      <c r="AL425" s="30"/>
      <c r="AM425" s="79"/>
      <c r="AN425" s="79"/>
      <c r="AO425" s="79"/>
    </row>
    <row r="426" hidden="1">
      <c r="A426" s="12" t="s">
        <v>74</v>
      </c>
      <c r="B426" s="64"/>
      <c r="C426" s="12" t="s">
        <v>248</v>
      </c>
      <c r="D426" s="12" t="str">
        <f>vlookup(C426,'List of Chargers'!$A$2:$B$5,2,FALSE)</f>
        <v>Roam Hub</v>
      </c>
      <c r="E426" s="12" t="s">
        <v>73</v>
      </c>
      <c r="F426" s="12" t="s">
        <v>75</v>
      </c>
      <c r="G426" s="12">
        <v>424.0</v>
      </c>
      <c r="H426" s="13" t="str">
        <f t="shared" si="1"/>
        <v>#RH-KE-A-424</v>
      </c>
      <c r="I426" s="13" t="str">
        <f t="shared" si="2"/>
        <v>FO-NBI-00#RH-KE-A-424</v>
      </c>
      <c r="J426" s="25"/>
      <c r="K426" s="66"/>
      <c r="L426" s="31"/>
      <c r="M426" s="31"/>
      <c r="N426" s="26" t="str">
        <f t="shared" si="3"/>
        <v>Roam Hub - </v>
      </c>
      <c r="O426" s="26" t="str">
        <f t="shared" si="4"/>
        <v>FO-NBI-00#RH-KE-A-424: Roam Hub - </v>
      </c>
      <c r="R426" s="53"/>
      <c r="S426" s="78" t="b">
        <v>0</v>
      </c>
      <c r="T426" s="78" t="b">
        <v>0</v>
      </c>
      <c r="U426" s="78" t="b">
        <v>0</v>
      </c>
      <c r="V426" s="30" t="b">
        <v>0</v>
      </c>
      <c r="W426" s="30" t="b">
        <v>0</v>
      </c>
      <c r="X426" s="30"/>
      <c r="Y426" s="30"/>
      <c r="Z426" s="30"/>
      <c r="AA426" s="30"/>
      <c r="AB426" s="30"/>
      <c r="AC426" s="50"/>
      <c r="AD426" s="30"/>
      <c r="AE426" s="12">
        <f t="shared" si="5"/>
        <v>0</v>
      </c>
      <c r="AF426" s="70">
        <f t="shared" si="6"/>
        <v>0</v>
      </c>
      <c r="AG426" s="76"/>
      <c r="AH426" s="76"/>
      <c r="AI426" s="76"/>
      <c r="AJ426" s="76"/>
      <c r="AK426" s="76"/>
      <c r="AL426" s="30"/>
      <c r="AM426" s="79"/>
      <c r="AN426" s="79"/>
      <c r="AO426" s="79"/>
    </row>
    <row r="427" hidden="1">
      <c r="A427" s="12" t="s">
        <v>74</v>
      </c>
      <c r="B427" s="64"/>
      <c r="C427" s="12" t="s">
        <v>248</v>
      </c>
      <c r="D427" s="12" t="str">
        <f>vlookup(C427,'List of Chargers'!$A$2:$B$5,2,FALSE)</f>
        <v>Roam Hub</v>
      </c>
      <c r="E427" s="12" t="s">
        <v>73</v>
      </c>
      <c r="F427" s="12" t="s">
        <v>75</v>
      </c>
      <c r="G427" s="12">
        <v>425.0</v>
      </c>
      <c r="H427" s="13" t="str">
        <f t="shared" si="1"/>
        <v>#RH-KE-A-425</v>
      </c>
      <c r="I427" s="13" t="str">
        <f t="shared" si="2"/>
        <v>FO-NBI-00#RH-KE-A-425</v>
      </c>
      <c r="J427" s="25"/>
      <c r="K427" s="66"/>
      <c r="L427" s="31"/>
      <c r="M427" s="31"/>
      <c r="N427" s="26" t="str">
        <f t="shared" si="3"/>
        <v>Roam Hub - </v>
      </c>
      <c r="O427" s="26" t="str">
        <f t="shared" si="4"/>
        <v>FO-NBI-00#RH-KE-A-425: Roam Hub - </v>
      </c>
      <c r="R427" s="53"/>
      <c r="S427" s="78" t="b">
        <v>0</v>
      </c>
      <c r="T427" s="78" t="b">
        <v>0</v>
      </c>
      <c r="U427" s="78" t="b">
        <v>0</v>
      </c>
      <c r="V427" s="30" t="b">
        <v>0</v>
      </c>
      <c r="W427" s="30" t="b">
        <v>0</v>
      </c>
      <c r="X427" s="30"/>
      <c r="Y427" s="30"/>
      <c r="Z427" s="30"/>
      <c r="AA427" s="30"/>
      <c r="AB427" s="30"/>
      <c r="AC427" s="50"/>
      <c r="AD427" s="30"/>
      <c r="AE427" s="12">
        <f t="shared" si="5"/>
        <v>0</v>
      </c>
      <c r="AF427" s="70">
        <f t="shared" si="6"/>
        <v>0</v>
      </c>
      <c r="AG427" s="76"/>
      <c r="AH427" s="76"/>
      <c r="AI427" s="76"/>
      <c r="AJ427" s="76"/>
      <c r="AK427" s="76"/>
      <c r="AL427" s="30"/>
      <c r="AM427" s="79"/>
      <c r="AN427" s="79"/>
      <c r="AO427" s="79"/>
    </row>
    <row r="428" hidden="1">
      <c r="A428" s="12" t="s">
        <v>74</v>
      </c>
      <c r="B428" s="64"/>
      <c r="C428" s="12" t="s">
        <v>248</v>
      </c>
      <c r="D428" s="12" t="str">
        <f>vlookup(C428,'List of Chargers'!$A$2:$B$5,2,FALSE)</f>
        <v>Roam Hub</v>
      </c>
      <c r="E428" s="12" t="s">
        <v>73</v>
      </c>
      <c r="F428" s="12" t="s">
        <v>75</v>
      </c>
      <c r="G428" s="12">
        <v>426.0</v>
      </c>
      <c r="H428" s="13" t="str">
        <f t="shared" si="1"/>
        <v>#RH-KE-A-426</v>
      </c>
      <c r="I428" s="13" t="str">
        <f t="shared" si="2"/>
        <v>FO-NBI-00#RH-KE-A-426</v>
      </c>
      <c r="J428" s="25"/>
      <c r="K428" s="66"/>
      <c r="L428" s="31"/>
      <c r="M428" s="31"/>
      <c r="N428" s="26" t="str">
        <f t="shared" si="3"/>
        <v>Roam Hub - </v>
      </c>
      <c r="O428" s="26" t="str">
        <f t="shared" si="4"/>
        <v>FO-NBI-00#RH-KE-A-426: Roam Hub - </v>
      </c>
      <c r="R428" s="53"/>
      <c r="S428" s="78" t="b">
        <v>0</v>
      </c>
      <c r="T428" s="78" t="b">
        <v>0</v>
      </c>
      <c r="U428" s="78" t="b">
        <v>0</v>
      </c>
      <c r="V428" s="30" t="b">
        <v>0</v>
      </c>
      <c r="W428" s="30" t="b">
        <v>0</v>
      </c>
      <c r="X428" s="30"/>
      <c r="Y428" s="30"/>
      <c r="Z428" s="30"/>
      <c r="AA428" s="30"/>
      <c r="AB428" s="30"/>
      <c r="AC428" s="50"/>
      <c r="AD428" s="30"/>
      <c r="AE428" s="12">
        <f t="shared" si="5"/>
        <v>0</v>
      </c>
      <c r="AF428" s="70">
        <f t="shared" si="6"/>
        <v>0</v>
      </c>
      <c r="AG428" s="76"/>
      <c r="AH428" s="76"/>
      <c r="AI428" s="76"/>
      <c r="AJ428" s="76"/>
      <c r="AK428" s="76"/>
      <c r="AL428" s="30"/>
      <c r="AM428" s="79"/>
      <c r="AN428" s="79"/>
      <c r="AO428" s="79"/>
    </row>
    <row r="429" hidden="1">
      <c r="A429" s="12" t="s">
        <v>74</v>
      </c>
      <c r="B429" s="64"/>
      <c r="C429" s="12" t="s">
        <v>248</v>
      </c>
      <c r="D429" s="12" t="str">
        <f>vlookup(C429,'List of Chargers'!$A$2:$B$5,2,FALSE)</f>
        <v>Roam Hub</v>
      </c>
      <c r="E429" s="12" t="s">
        <v>73</v>
      </c>
      <c r="F429" s="12" t="s">
        <v>75</v>
      </c>
      <c r="G429" s="12">
        <v>427.0</v>
      </c>
      <c r="H429" s="13" t="str">
        <f t="shared" si="1"/>
        <v>#RH-KE-A-427</v>
      </c>
      <c r="I429" s="13" t="str">
        <f t="shared" si="2"/>
        <v>FO-NBI-00#RH-KE-A-427</v>
      </c>
      <c r="J429" s="25"/>
      <c r="K429" s="66"/>
      <c r="L429" s="31"/>
      <c r="M429" s="31"/>
      <c r="N429" s="26" t="str">
        <f t="shared" si="3"/>
        <v>Roam Hub - </v>
      </c>
      <c r="O429" s="26" t="str">
        <f t="shared" si="4"/>
        <v>FO-NBI-00#RH-KE-A-427: Roam Hub - </v>
      </c>
      <c r="R429" s="53"/>
      <c r="S429" s="78" t="b">
        <v>0</v>
      </c>
      <c r="T429" s="78" t="b">
        <v>0</v>
      </c>
      <c r="U429" s="78" t="b">
        <v>0</v>
      </c>
      <c r="V429" s="30" t="b">
        <v>0</v>
      </c>
      <c r="W429" s="30" t="b">
        <v>0</v>
      </c>
      <c r="X429" s="30"/>
      <c r="Y429" s="30"/>
      <c r="Z429" s="30"/>
      <c r="AA429" s="30"/>
      <c r="AB429" s="30"/>
      <c r="AC429" s="50"/>
      <c r="AD429" s="30"/>
      <c r="AE429" s="12">
        <f t="shared" si="5"/>
        <v>0</v>
      </c>
      <c r="AF429" s="70">
        <f t="shared" si="6"/>
        <v>0</v>
      </c>
      <c r="AG429" s="76"/>
      <c r="AH429" s="76"/>
      <c r="AI429" s="76"/>
      <c r="AJ429" s="76"/>
      <c r="AK429" s="76"/>
      <c r="AL429" s="30"/>
      <c r="AM429" s="79"/>
      <c r="AN429" s="79"/>
      <c r="AO429" s="79"/>
    </row>
    <row r="430" hidden="1">
      <c r="A430" s="12" t="s">
        <v>74</v>
      </c>
      <c r="B430" s="64"/>
      <c r="C430" s="12" t="s">
        <v>248</v>
      </c>
      <c r="D430" s="12" t="str">
        <f>vlookup(C430,'List of Chargers'!$A$2:$B$5,2,FALSE)</f>
        <v>Roam Hub</v>
      </c>
      <c r="E430" s="12" t="s">
        <v>73</v>
      </c>
      <c r="F430" s="12" t="s">
        <v>75</v>
      </c>
      <c r="G430" s="12">
        <v>428.0</v>
      </c>
      <c r="H430" s="13" t="str">
        <f t="shared" si="1"/>
        <v>#RH-KE-A-428</v>
      </c>
      <c r="I430" s="13" t="str">
        <f t="shared" si="2"/>
        <v>FO-NBI-00#RH-KE-A-428</v>
      </c>
      <c r="J430" s="25"/>
      <c r="K430" s="66"/>
      <c r="L430" s="31"/>
      <c r="M430" s="31"/>
      <c r="N430" s="26" t="str">
        <f t="shared" si="3"/>
        <v>Roam Hub - </v>
      </c>
      <c r="O430" s="26" t="str">
        <f t="shared" si="4"/>
        <v>FO-NBI-00#RH-KE-A-428: Roam Hub - </v>
      </c>
      <c r="R430" s="53"/>
      <c r="S430" s="78" t="b">
        <v>0</v>
      </c>
      <c r="T430" s="78" t="b">
        <v>0</v>
      </c>
      <c r="U430" s="78" t="b">
        <v>0</v>
      </c>
      <c r="V430" s="30" t="b">
        <v>0</v>
      </c>
      <c r="W430" s="30" t="b">
        <v>0</v>
      </c>
      <c r="X430" s="30"/>
      <c r="Y430" s="30"/>
      <c r="Z430" s="30"/>
      <c r="AA430" s="30"/>
      <c r="AB430" s="30"/>
      <c r="AC430" s="50"/>
      <c r="AD430" s="30"/>
      <c r="AE430" s="12">
        <f t="shared" si="5"/>
        <v>0</v>
      </c>
      <c r="AF430" s="70">
        <f t="shared" si="6"/>
        <v>0</v>
      </c>
      <c r="AG430" s="76"/>
      <c r="AH430" s="76"/>
      <c r="AI430" s="76"/>
      <c r="AJ430" s="76"/>
      <c r="AK430" s="76"/>
      <c r="AL430" s="30"/>
      <c r="AM430" s="79"/>
      <c r="AN430" s="79"/>
      <c r="AO430" s="79"/>
    </row>
    <row r="431" hidden="1">
      <c r="A431" s="12" t="s">
        <v>74</v>
      </c>
      <c r="B431" s="64"/>
      <c r="C431" s="12" t="s">
        <v>248</v>
      </c>
      <c r="D431" s="12" t="str">
        <f>vlookup(C431,'List of Chargers'!$A$2:$B$5,2,FALSE)</f>
        <v>Roam Hub</v>
      </c>
      <c r="E431" s="12" t="s">
        <v>73</v>
      </c>
      <c r="F431" s="12" t="s">
        <v>75</v>
      </c>
      <c r="G431" s="12">
        <v>429.0</v>
      </c>
      <c r="H431" s="13" t="str">
        <f t="shared" si="1"/>
        <v>#RH-KE-A-429</v>
      </c>
      <c r="I431" s="13" t="str">
        <f t="shared" si="2"/>
        <v>FO-NBI-00#RH-KE-A-429</v>
      </c>
      <c r="J431" s="25"/>
      <c r="K431" s="66"/>
      <c r="L431" s="31"/>
      <c r="M431" s="31"/>
      <c r="N431" s="26" t="str">
        <f t="shared" si="3"/>
        <v>Roam Hub - </v>
      </c>
      <c r="O431" s="26" t="str">
        <f t="shared" si="4"/>
        <v>FO-NBI-00#RH-KE-A-429: Roam Hub - </v>
      </c>
      <c r="R431" s="53"/>
      <c r="S431" s="78" t="b">
        <v>0</v>
      </c>
      <c r="T431" s="78" t="b">
        <v>0</v>
      </c>
      <c r="U431" s="78" t="b">
        <v>0</v>
      </c>
      <c r="V431" s="30" t="b">
        <v>0</v>
      </c>
      <c r="W431" s="30" t="b">
        <v>0</v>
      </c>
      <c r="X431" s="30"/>
      <c r="Y431" s="30"/>
      <c r="Z431" s="30"/>
      <c r="AA431" s="30"/>
      <c r="AB431" s="30"/>
      <c r="AC431" s="50"/>
      <c r="AD431" s="30"/>
      <c r="AE431" s="12">
        <f t="shared" si="5"/>
        <v>0</v>
      </c>
      <c r="AF431" s="70">
        <f t="shared" si="6"/>
        <v>0</v>
      </c>
      <c r="AG431" s="76"/>
      <c r="AH431" s="76"/>
      <c r="AI431" s="76"/>
      <c r="AJ431" s="76"/>
      <c r="AK431" s="76"/>
      <c r="AL431" s="30"/>
      <c r="AM431" s="79"/>
      <c r="AN431" s="79"/>
      <c r="AO431" s="79"/>
    </row>
    <row r="432" hidden="1">
      <c r="A432" s="12" t="s">
        <v>74</v>
      </c>
      <c r="B432" s="64"/>
      <c r="C432" s="12" t="s">
        <v>248</v>
      </c>
      <c r="D432" s="12" t="str">
        <f>vlookup(C432,'List of Chargers'!$A$2:$B$5,2,FALSE)</f>
        <v>Roam Hub</v>
      </c>
      <c r="E432" s="12" t="s">
        <v>73</v>
      </c>
      <c r="F432" s="12" t="s">
        <v>75</v>
      </c>
      <c r="G432" s="12">
        <v>430.0</v>
      </c>
      <c r="H432" s="13" t="str">
        <f t="shared" si="1"/>
        <v>#RH-KE-A-430</v>
      </c>
      <c r="I432" s="13" t="str">
        <f t="shared" si="2"/>
        <v>FO-NBI-00#RH-KE-A-430</v>
      </c>
      <c r="J432" s="25"/>
      <c r="K432" s="66"/>
      <c r="L432" s="31"/>
      <c r="M432" s="31"/>
      <c r="N432" s="26" t="str">
        <f t="shared" si="3"/>
        <v>Roam Hub - </v>
      </c>
      <c r="O432" s="26" t="str">
        <f t="shared" si="4"/>
        <v>FO-NBI-00#RH-KE-A-430: Roam Hub - </v>
      </c>
      <c r="R432" s="53"/>
      <c r="S432" s="78" t="b">
        <v>0</v>
      </c>
      <c r="T432" s="78" t="b">
        <v>0</v>
      </c>
      <c r="U432" s="78" t="b">
        <v>0</v>
      </c>
      <c r="V432" s="30" t="b">
        <v>0</v>
      </c>
      <c r="W432" s="30" t="b">
        <v>0</v>
      </c>
      <c r="X432" s="30"/>
      <c r="Y432" s="30"/>
      <c r="Z432" s="30"/>
      <c r="AA432" s="30"/>
      <c r="AB432" s="30"/>
      <c r="AC432" s="50"/>
      <c r="AD432" s="30"/>
      <c r="AE432" s="12">
        <f t="shared" si="5"/>
        <v>0</v>
      </c>
      <c r="AF432" s="70">
        <f t="shared" si="6"/>
        <v>0</v>
      </c>
      <c r="AG432" s="76"/>
      <c r="AH432" s="76"/>
      <c r="AI432" s="76"/>
      <c r="AJ432" s="76"/>
      <c r="AK432" s="76"/>
      <c r="AL432" s="30"/>
      <c r="AM432" s="79"/>
      <c r="AN432" s="79"/>
      <c r="AO432" s="79"/>
    </row>
    <row r="433" hidden="1">
      <c r="A433" s="12" t="s">
        <v>74</v>
      </c>
      <c r="B433" s="64"/>
      <c r="C433" s="12" t="s">
        <v>248</v>
      </c>
      <c r="D433" s="12" t="str">
        <f>vlookup(C433,'List of Chargers'!$A$2:$B$5,2,FALSE)</f>
        <v>Roam Hub</v>
      </c>
      <c r="E433" s="12" t="s">
        <v>73</v>
      </c>
      <c r="F433" s="12" t="s">
        <v>75</v>
      </c>
      <c r="G433" s="12">
        <v>431.0</v>
      </c>
      <c r="H433" s="13" t="str">
        <f t="shared" si="1"/>
        <v>#RH-KE-A-431</v>
      </c>
      <c r="I433" s="13" t="str">
        <f t="shared" si="2"/>
        <v>FO-NBI-00#RH-KE-A-431</v>
      </c>
      <c r="J433" s="25"/>
      <c r="K433" s="66"/>
      <c r="L433" s="31"/>
      <c r="M433" s="31"/>
      <c r="N433" s="26" t="str">
        <f t="shared" si="3"/>
        <v>Roam Hub - </v>
      </c>
      <c r="O433" s="26" t="str">
        <f t="shared" si="4"/>
        <v>FO-NBI-00#RH-KE-A-431: Roam Hub - </v>
      </c>
      <c r="R433" s="53"/>
      <c r="S433" s="78" t="b">
        <v>0</v>
      </c>
      <c r="T433" s="78" t="b">
        <v>0</v>
      </c>
      <c r="U433" s="78" t="b">
        <v>0</v>
      </c>
      <c r="V433" s="30" t="b">
        <v>0</v>
      </c>
      <c r="W433" s="30" t="b">
        <v>0</v>
      </c>
      <c r="X433" s="30"/>
      <c r="Y433" s="30"/>
      <c r="Z433" s="30"/>
      <c r="AA433" s="30"/>
      <c r="AB433" s="30"/>
      <c r="AC433" s="50"/>
      <c r="AD433" s="30"/>
      <c r="AE433" s="12">
        <f t="shared" si="5"/>
        <v>0</v>
      </c>
      <c r="AF433" s="70">
        <f t="shared" si="6"/>
        <v>0</v>
      </c>
      <c r="AG433" s="76"/>
      <c r="AH433" s="76"/>
      <c r="AI433" s="76"/>
      <c r="AJ433" s="76"/>
      <c r="AK433" s="76"/>
      <c r="AL433" s="30"/>
      <c r="AM433" s="79"/>
      <c r="AN433" s="79"/>
      <c r="AO433" s="79"/>
    </row>
    <row r="434" hidden="1">
      <c r="A434" s="12" t="s">
        <v>74</v>
      </c>
      <c r="B434" s="64"/>
      <c r="C434" s="12" t="s">
        <v>248</v>
      </c>
      <c r="D434" s="12" t="str">
        <f>vlookup(C434,'List of Chargers'!$A$2:$B$5,2,FALSE)</f>
        <v>Roam Hub</v>
      </c>
      <c r="E434" s="12" t="s">
        <v>73</v>
      </c>
      <c r="F434" s="12" t="s">
        <v>75</v>
      </c>
      <c r="G434" s="12">
        <v>432.0</v>
      </c>
      <c r="H434" s="13" t="str">
        <f t="shared" si="1"/>
        <v>#RH-KE-A-432</v>
      </c>
      <c r="I434" s="13" t="str">
        <f t="shared" si="2"/>
        <v>FO-NBI-00#RH-KE-A-432</v>
      </c>
      <c r="J434" s="25"/>
      <c r="K434" s="66"/>
      <c r="L434" s="31"/>
      <c r="M434" s="31"/>
      <c r="N434" s="26" t="str">
        <f t="shared" si="3"/>
        <v>Roam Hub - </v>
      </c>
      <c r="O434" s="26" t="str">
        <f t="shared" si="4"/>
        <v>FO-NBI-00#RH-KE-A-432: Roam Hub - </v>
      </c>
      <c r="R434" s="53"/>
      <c r="S434" s="78" t="b">
        <v>0</v>
      </c>
      <c r="T434" s="78" t="b">
        <v>0</v>
      </c>
      <c r="U434" s="78" t="b">
        <v>0</v>
      </c>
      <c r="V434" s="30" t="b">
        <v>0</v>
      </c>
      <c r="W434" s="30" t="b">
        <v>0</v>
      </c>
      <c r="X434" s="30"/>
      <c r="Y434" s="30"/>
      <c r="Z434" s="30"/>
      <c r="AA434" s="30"/>
      <c r="AB434" s="30"/>
      <c r="AC434" s="50"/>
      <c r="AD434" s="30"/>
      <c r="AE434" s="12">
        <f t="shared" si="5"/>
        <v>0</v>
      </c>
      <c r="AF434" s="70">
        <f t="shared" si="6"/>
        <v>0</v>
      </c>
      <c r="AG434" s="76"/>
      <c r="AH434" s="76"/>
      <c r="AI434" s="76"/>
      <c r="AJ434" s="76"/>
      <c r="AK434" s="76"/>
      <c r="AL434" s="30"/>
      <c r="AM434" s="79"/>
      <c r="AN434" s="79"/>
      <c r="AO434" s="79"/>
    </row>
    <row r="435" hidden="1">
      <c r="A435" s="12" t="s">
        <v>74</v>
      </c>
      <c r="B435" s="64"/>
      <c r="C435" s="12" t="s">
        <v>248</v>
      </c>
      <c r="D435" s="12" t="str">
        <f>vlookup(C435,'List of Chargers'!$A$2:$B$5,2,FALSE)</f>
        <v>Roam Hub</v>
      </c>
      <c r="E435" s="12" t="s">
        <v>73</v>
      </c>
      <c r="F435" s="12" t="s">
        <v>75</v>
      </c>
      <c r="G435" s="12">
        <v>433.0</v>
      </c>
      <c r="H435" s="13" t="str">
        <f t="shared" si="1"/>
        <v>#RH-KE-A-433</v>
      </c>
      <c r="I435" s="13" t="str">
        <f t="shared" si="2"/>
        <v>FO-NBI-00#RH-KE-A-433</v>
      </c>
      <c r="J435" s="25"/>
      <c r="K435" s="66"/>
      <c r="L435" s="31"/>
      <c r="M435" s="31"/>
      <c r="N435" s="26" t="str">
        <f t="shared" si="3"/>
        <v>Roam Hub - </v>
      </c>
      <c r="O435" s="26" t="str">
        <f t="shared" si="4"/>
        <v>FO-NBI-00#RH-KE-A-433: Roam Hub - </v>
      </c>
      <c r="R435" s="53"/>
      <c r="S435" s="78" t="b">
        <v>0</v>
      </c>
      <c r="T435" s="78" t="b">
        <v>0</v>
      </c>
      <c r="U435" s="78" t="b">
        <v>0</v>
      </c>
      <c r="V435" s="30" t="b">
        <v>0</v>
      </c>
      <c r="W435" s="30" t="b">
        <v>0</v>
      </c>
      <c r="X435" s="30"/>
      <c r="Y435" s="30"/>
      <c r="Z435" s="30"/>
      <c r="AA435" s="30"/>
      <c r="AB435" s="30"/>
      <c r="AC435" s="50"/>
      <c r="AD435" s="30"/>
      <c r="AE435" s="12">
        <f t="shared" si="5"/>
        <v>0</v>
      </c>
      <c r="AF435" s="70">
        <f t="shared" si="6"/>
        <v>0</v>
      </c>
      <c r="AG435" s="76"/>
      <c r="AH435" s="76"/>
      <c r="AI435" s="76"/>
      <c r="AJ435" s="76"/>
      <c r="AK435" s="76"/>
      <c r="AL435" s="30"/>
      <c r="AM435" s="79"/>
      <c r="AN435" s="79"/>
      <c r="AO435" s="79"/>
    </row>
    <row r="436" hidden="1">
      <c r="A436" s="12" t="s">
        <v>74</v>
      </c>
      <c r="B436" s="64"/>
      <c r="C436" s="12" t="s">
        <v>248</v>
      </c>
      <c r="D436" s="12" t="str">
        <f>vlookup(C436,'List of Chargers'!$A$2:$B$5,2,FALSE)</f>
        <v>Roam Hub</v>
      </c>
      <c r="E436" s="12" t="s">
        <v>73</v>
      </c>
      <c r="F436" s="12" t="s">
        <v>75</v>
      </c>
      <c r="G436" s="12">
        <v>434.0</v>
      </c>
      <c r="H436" s="13" t="str">
        <f t="shared" si="1"/>
        <v>#RH-KE-A-434</v>
      </c>
      <c r="I436" s="13" t="str">
        <f t="shared" si="2"/>
        <v>FO-NBI-00#RH-KE-A-434</v>
      </c>
      <c r="J436" s="25"/>
      <c r="K436" s="66"/>
      <c r="L436" s="31"/>
      <c r="M436" s="31"/>
      <c r="N436" s="26" t="str">
        <f t="shared" si="3"/>
        <v>Roam Hub - </v>
      </c>
      <c r="O436" s="26" t="str">
        <f t="shared" si="4"/>
        <v>FO-NBI-00#RH-KE-A-434: Roam Hub - </v>
      </c>
      <c r="R436" s="53"/>
      <c r="S436" s="78" t="b">
        <v>0</v>
      </c>
      <c r="T436" s="78" t="b">
        <v>0</v>
      </c>
      <c r="U436" s="78" t="b">
        <v>0</v>
      </c>
      <c r="V436" s="30" t="b">
        <v>0</v>
      </c>
      <c r="W436" s="30" t="b">
        <v>0</v>
      </c>
      <c r="X436" s="30"/>
      <c r="Y436" s="30"/>
      <c r="Z436" s="30"/>
      <c r="AA436" s="30"/>
      <c r="AB436" s="30"/>
      <c r="AC436" s="50"/>
      <c r="AD436" s="30"/>
      <c r="AE436" s="12">
        <f t="shared" si="5"/>
        <v>0</v>
      </c>
      <c r="AF436" s="70">
        <f t="shared" si="6"/>
        <v>0</v>
      </c>
      <c r="AG436" s="76"/>
      <c r="AH436" s="76"/>
      <c r="AI436" s="76"/>
      <c r="AJ436" s="76"/>
      <c r="AK436" s="76"/>
      <c r="AL436" s="30"/>
      <c r="AM436" s="79"/>
      <c r="AN436" s="79"/>
      <c r="AO436" s="79"/>
    </row>
    <row r="437" hidden="1">
      <c r="A437" s="12" t="s">
        <v>74</v>
      </c>
      <c r="B437" s="64"/>
      <c r="C437" s="12" t="s">
        <v>248</v>
      </c>
      <c r="D437" s="12" t="str">
        <f>vlookup(C437,'List of Chargers'!$A$2:$B$5,2,FALSE)</f>
        <v>Roam Hub</v>
      </c>
      <c r="E437" s="12" t="s">
        <v>73</v>
      </c>
      <c r="F437" s="12" t="s">
        <v>75</v>
      </c>
      <c r="G437" s="12">
        <v>435.0</v>
      </c>
      <c r="H437" s="13" t="str">
        <f t="shared" si="1"/>
        <v>#RH-KE-A-435</v>
      </c>
      <c r="I437" s="13" t="str">
        <f t="shared" si="2"/>
        <v>FO-NBI-00#RH-KE-A-435</v>
      </c>
      <c r="J437" s="25"/>
      <c r="K437" s="66"/>
      <c r="L437" s="31"/>
      <c r="M437" s="31"/>
      <c r="N437" s="26" t="str">
        <f t="shared" si="3"/>
        <v>Roam Hub - </v>
      </c>
      <c r="O437" s="26" t="str">
        <f t="shared" si="4"/>
        <v>FO-NBI-00#RH-KE-A-435: Roam Hub - </v>
      </c>
      <c r="R437" s="53"/>
      <c r="S437" s="78" t="b">
        <v>0</v>
      </c>
      <c r="T437" s="78" t="b">
        <v>0</v>
      </c>
      <c r="U437" s="78" t="b">
        <v>0</v>
      </c>
      <c r="V437" s="30" t="b">
        <v>0</v>
      </c>
      <c r="W437" s="30" t="b">
        <v>0</v>
      </c>
      <c r="X437" s="30"/>
      <c r="Y437" s="30"/>
      <c r="Z437" s="30"/>
      <c r="AA437" s="30"/>
      <c r="AB437" s="30"/>
      <c r="AC437" s="50"/>
      <c r="AD437" s="30"/>
      <c r="AE437" s="12">
        <f t="shared" si="5"/>
        <v>0</v>
      </c>
      <c r="AF437" s="70">
        <f t="shared" si="6"/>
        <v>0</v>
      </c>
      <c r="AG437" s="76"/>
      <c r="AH437" s="76"/>
      <c r="AI437" s="76"/>
      <c r="AJ437" s="76"/>
      <c r="AK437" s="76"/>
      <c r="AL437" s="30"/>
      <c r="AM437" s="79"/>
      <c r="AN437" s="79"/>
      <c r="AO437" s="79"/>
    </row>
    <row r="438" hidden="1">
      <c r="A438" s="12" t="s">
        <v>74</v>
      </c>
      <c r="B438" s="64"/>
      <c r="C438" s="12" t="s">
        <v>248</v>
      </c>
      <c r="D438" s="12" t="str">
        <f>vlookup(C438,'List of Chargers'!$A$2:$B$5,2,FALSE)</f>
        <v>Roam Hub</v>
      </c>
      <c r="E438" s="12" t="s">
        <v>73</v>
      </c>
      <c r="F438" s="12" t="s">
        <v>75</v>
      </c>
      <c r="G438" s="12">
        <v>436.0</v>
      </c>
      <c r="H438" s="13" t="str">
        <f t="shared" si="1"/>
        <v>#RH-KE-A-436</v>
      </c>
      <c r="I438" s="13" t="str">
        <f t="shared" si="2"/>
        <v>FO-NBI-00#RH-KE-A-436</v>
      </c>
      <c r="J438" s="25"/>
      <c r="K438" s="66"/>
      <c r="L438" s="31"/>
      <c r="M438" s="31"/>
      <c r="N438" s="26" t="str">
        <f t="shared" si="3"/>
        <v>Roam Hub - </v>
      </c>
      <c r="O438" s="26" t="str">
        <f t="shared" si="4"/>
        <v>FO-NBI-00#RH-KE-A-436: Roam Hub - </v>
      </c>
      <c r="R438" s="53"/>
      <c r="S438" s="78" t="b">
        <v>0</v>
      </c>
      <c r="T438" s="78" t="b">
        <v>0</v>
      </c>
      <c r="U438" s="78" t="b">
        <v>0</v>
      </c>
      <c r="V438" s="30" t="b">
        <v>0</v>
      </c>
      <c r="W438" s="30" t="b">
        <v>0</v>
      </c>
      <c r="X438" s="30"/>
      <c r="Y438" s="30"/>
      <c r="Z438" s="30"/>
      <c r="AA438" s="30"/>
      <c r="AB438" s="30"/>
      <c r="AC438" s="50"/>
      <c r="AD438" s="30"/>
      <c r="AE438" s="12">
        <f t="shared" si="5"/>
        <v>0</v>
      </c>
      <c r="AF438" s="70">
        <f t="shared" si="6"/>
        <v>0</v>
      </c>
      <c r="AG438" s="76"/>
      <c r="AH438" s="76"/>
      <c r="AI438" s="76"/>
      <c r="AJ438" s="76"/>
      <c r="AK438" s="76"/>
      <c r="AL438" s="30"/>
      <c r="AM438" s="79"/>
      <c r="AN438" s="79"/>
      <c r="AO438" s="79"/>
    </row>
    <row r="439" hidden="1">
      <c r="A439" s="12" t="s">
        <v>74</v>
      </c>
      <c r="B439" s="64"/>
      <c r="C439" s="12" t="s">
        <v>248</v>
      </c>
      <c r="D439" s="12" t="str">
        <f>vlookup(C439,'List of Chargers'!$A$2:$B$5,2,FALSE)</f>
        <v>Roam Hub</v>
      </c>
      <c r="E439" s="12" t="s">
        <v>73</v>
      </c>
      <c r="F439" s="12" t="s">
        <v>75</v>
      </c>
      <c r="G439" s="12">
        <v>437.0</v>
      </c>
      <c r="H439" s="13" t="str">
        <f t="shared" si="1"/>
        <v>#RH-KE-A-437</v>
      </c>
      <c r="I439" s="13" t="str">
        <f t="shared" si="2"/>
        <v>FO-NBI-00#RH-KE-A-437</v>
      </c>
      <c r="J439" s="25"/>
      <c r="K439" s="66"/>
      <c r="L439" s="31"/>
      <c r="M439" s="31"/>
      <c r="N439" s="26" t="str">
        <f t="shared" si="3"/>
        <v>Roam Hub - </v>
      </c>
      <c r="O439" s="26" t="str">
        <f t="shared" si="4"/>
        <v>FO-NBI-00#RH-KE-A-437: Roam Hub - </v>
      </c>
      <c r="R439" s="53"/>
      <c r="S439" s="78" t="b">
        <v>0</v>
      </c>
      <c r="T439" s="78" t="b">
        <v>0</v>
      </c>
      <c r="U439" s="78" t="b">
        <v>0</v>
      </c>
      <c r="V439" s="30" t="b">
        <v>0</v>
      </c>
      <c r="W439" s="30" t="b">
        <v>0</v>
      </c>
      <c r="X439" s="30"/>
      <c r="Y439" s="30"/>
      <c r="Z439" s="30"/>
      <c r="AA439" s="30"/>
      <c r="AB439" s="30"/>
      <c r="AC439" s="50"/>
      <c r="AD439" s="30"/>
      <c r="AE439" s="12">
        <f t="shared" si="5"/>
        <v>0</v>
      </c>
      <c r="AF439" s="70">
        <f t="shared" si="6"/>
        <v>0</v>
      </c>
      <c r="AG439" s="76"/>
      <c r="AH439" s="76"/>
      <c r="AI439" s="76"/>
      <c r="AJ439" s="76"/>
      <c r="AK439" s="76"/>
      <c r="AL439" s="30"/>
      <c r="AM439" s="79"/>
      <c r="AN439" s="79"/>
      <c r="AO439" s="79"/>
    </row>
    <row r="440" hidden="1">
      <c r="A440" s="12" t="s">
        <v>74</v>
      </c>
      <c r="B440" s="64"/>
      <c r="C440" s="12" t="s">
        <v>248</v>
      </c>
      <c r="D440" s="12" t="str">
        <f>vlookup(C440,'List of Chargers'!$A$2:$B$5,2,FALSE)</f>
        <v>Roam Hub</v>
      </c>
      <c r="E440" s="12" t="s">
        <v>73</v>
      </c>
      <c r="F440" s="12" t="s">
        <v>75</v>
      </c>
      <c r="G440" s="12">
        <v>438.0</v>
      </c>
      <c r="H440" s="13" t="str">
        <f t="shared" si="1"/>
        <v>#RH-KE-A-438</v>
      </c>
      <c r="I440" s="13" t="str">
        <f t="shared" si="2"/>
        <v>FO-NBI-00#RH-KE-A-438</v>
      </c>
      <c r="J440" s="25"/>
      <c r="K440" s="66"/>
      <c r="L440" s="31"/>
      <c r="M440" s="31"/>
      <c r="N440" s="26" t="str">
        <f t="shared" si="3"/>
        <v>Roam Hub - </v>
      </c>
      <c r="O440" s="26" t="str">
        <f t="shared" si="4"/>
        <v>FO-NBI-00#RH-KE-A-438: Roam Hub - </v>
      </c>
      <c r="R440" s="53"/>
      <c r="S440" s="78" t="b">
        <v>0</v>
      </c>
      <c r="T440" s="78" t="b">
        <v>0</v>
      </c>
      <c r="U440" s="78" t="b">
        <v>0</v>
      </c>
      <c r="V440" s="30" t="b">
        <v>0</v>
      </c>
      <c r="W440" s="30" t="b">
        <v>0</v>
      </c>
      <c r="X440" s="30"/>
      <c r="Y440" s="30"/>
      <c r="Z440" s="30"/>
      <c r="AA440" s="30"/>
      <c r="AB440" s="30"/>
      <c r="AC440" s="50"/>
      <c r="AD440" s="30"/>
      <c r="AE440" s="12">
        <f t="shared" si="5"/>
        <v>0</v>
      </c>
      <c r="AF440" s="70">
        <f t="shared" si="6"/>
        <v>0</v>
      </c>
      <c r="AG440" s="76"/>
      <c r="AH440" s="76"/>
      <c r="AI440" s="76"/>
      <c r="AJ440" s="76"/>
      <c r="AK440" s="76"/>
      <c r="AL440" s="30"/>
      <c r="AM440" s="79"/>
      <c r="AN440" s="79"/>
      <c r="AO440" s="79"/>
    </row>
    <row r="441" hidden="1">
      <c r="A441" s="12" t="s">
        <v>74</v>
      </c>
      <c r="B441" s="64"/>
      <c r="C441" s="12" t="s">
        <v>248</v>
      </c>
      <c r="D441" s="12" t="str">
        <f>vlookup(C441,'List of Chargers'!$A$2:$B$5,2,FALSE)</f>
        <v>Roam Hub</v>
      </c>
      <c r="E441" s="12" t="s">
        <v>73</v>
      </c>
      <c r="F441" s="12" t="s">
        <v>75</v>
      </c>
      <c r="G441" s="12">
        <v>439.0</v>
      </c>
      <c r="H441" s="13" t="str">
        <f t="shared" si="1"/>
        <v>#RH-KE-A-439</v>
      </c>
      <c r="I441" s="13" t="str">
        <f t="shared" si="2"/>
        <v>FO-NBI-00#RH-KE-A-439</v>
      </c>
      <c r="J441" s="25"/>
      <c r="K441" s="66"/>
      <c r="L441" s="31"/>
      <c r="M441" s="31"/>
      <c r="N441" s="26" t="str">
        <f t="shared" si="3"/>
        <v>Roam Hub - </v>
      </c>
      <c r="O441" s="26" t="str">
        <f t="shared" si="4"/>
        <v>FO-NBI-00#RH-KE-A-439: Roam Hub - </v>
      </c>
      <c r="R441" s="53"/>
      <c r="S441" s="78" t="b">
        <v>0</v>
      </c>
      <c r="T441" s="78" t="b">
        <v>0</v>
      </c>
      <c r="U441" s="78" t="b">
        <v>0</v>
      </c>
      <c r="V441" s="30" t="b">
        <v>0</v>
      </c>
      <c r="W441" s="30" t="b">
        <v>0</v>
      </c>
      <c r="X441" s="30"/>
      <c r="Y441" s="30"/>
      <c r="Z441" s="30"/>
      <c r="AA441" s="30"/>
      <c r="AB441" s="30"/>
      <c r="AC441" s="50"/>
      <c r="AD441" s="30"/>
      <c r="AE441" s="12">
        <f t="shared" si="5"/>
        <v>0</v>
      </c>
      <c r="AF441" s="70">
        <f t="shared" si="6"/>
        <v>0</v>
      </c>
      <c r="AG441" s="76"/>
      <c r="AH441" s="76"/>
      <c r="AI441" s="76"/>
      <c r="AJ441" s="76"/>
      <c r="AK441" s="76"/>
      <c r="AL441" s="30"/>
      <c r="AM441" s="79"/>
      <c r="AN441" s="79"/>
      <c r="AO441" s="79"/>
    </row>
    <row r="442" hidden="1">
      <c r="A442" s="12" t="s">
        <v>74</v>
      </c>
      <c r="B442" s="64"/>
      <c r="C442" s="12" t="s">
        <v>248</v>
      </c>
      <c r="D442" s="12" t="str">
        <f>vlookup(C442,'List of Chargers'!$A$2:$B$5,2,FALSE)</f>
        <v>Roam Hub</v>
      </c>
      <c r="E442" s="12" t="s">
        <v>73</v>
      </c>
      <c r="F442" s="12" t="s">
        <v>75</v>
      </c>
      <c r="G442" s="12">
        <v>440.0</v>
      </c>
      <c r="H442" s="13" t="str">
        <f t="shared" si="1"/>
        <v>#RH-KE-A-440</v>
      </c>
      <c r="I442" s="13" t="str">
        <f t="shared" si="2"/>
        <v>FO-NBI-00#RH-KE-A-440</v>
      </c>
      <c r="J442" s="25"/>
      <c r="K442" s="66"/>
      <c r="L442" s="31"/>
      <c r="M442" s="31"/>
      <c r="N442" s="26" t="str">
        <f t="shared" si="3"/>
        <v>Roam Hub - </v>
      </c>
      <c r="O442" s="26" t="str">
        <f t="shared" si="4"/>
        <v>FO-NBI-00#RH-KE-A-440: Roam Hub - </v>
      </c>
      <c r="R442" s="53"/>
      <c r="S442" s="78" t="b">
        <v>0</v>
      </c>
      <c r="T442" s="78" t="b">
        <v>0</v>
      </c>
      <c r="U442" s="78" t="b">
        <v>0</v>
      </c>
      <c r="V442" s="30" t="b">
        <v>0</v>
      </c>
      <c r="W442" s="30" t="b">
        <v>0</v>
      </c>
      <c r="X442" s="30"/>
      <c r="Y442" s="30"/>
      <c r="Z442" s="30"/>
      <c r="AA442" s="30"/>
      <c r="AB442" s="30"/>
      <c r="AC442" s="50"/>
      <c r="AD442" s="30"/>
      <c r="AE442" s="12">
        <f t="shared" si="5"/>
        <v>0</v>
      </c>
      <c r="AF442" s="70">
        <f t="shared" si="6"/>
        <v>0</v>
      </c>
      <c r="AG442" s="76"/>
      <c r="AH442" s="76"/>
      <c r="AI442" s="76"/>
      <c r="AJ442" s="76"/>
      <c r="AK442" s="76"/>
      <c r="AL442" s="30"/>
      <c r="AM442" s="79"/>
      <c r="AN442" s="79"/>
      <c r="AO442" s="79"/>
    </row>
    <row r="443" hidden="1">
      <c r="A443" s="12" t="s">
        <v>74</v>
      </c>
      <c r="B443" s="64"/>
      <c r="C443" s="12" t="s">
        <v>248</v>
      </c>
      <c r="D443" s="12" t="str">
        <f>vlookup(C443,'List of Chargers'!$A$2:$B$5,2,FALSE)</f>
        <v>Roam Hub</v>
      </c>
      <c r="E443" s="12" t="s">
        <v>73</v>
      </c>
      <c r="F443" s="12" t="s">
        <v>75</v>
      </c>
      <c r="G443" s="12">
        <v>441.0</v>
      </c>
      <c r="H443" s="13" t="str">
        <f t="shared" si="1"/>
        <v>#RH-KE-A-441</v>
      </c>
      <c r="I443" s="13" t="str">
        <f t="shared" si="2"/>
        <v>FO-NBI-00#RH-KE-A-441</v>
      </c>
      <c r="J443" s="25"/>
      <c r="K443" s="66"/>
      <c r="L443" s="31"/>
      <c r="M443" s="31"/>
      <c r="N443" s="26" t="str">
        <f t="shared" si="3"/>
        <v>Roam Hub - </v>
      </c>
      <c r="O443" s="26" t="str">
        <f t="shared" si="4"/>
        <v>FO-NBI-00#RH-KE-A-441: Roam Hub - </v>
      </c>
      <c r="R443" s="53"/>
      <c r="S443" s="78" t="b">
        <v>0</v>
      </c>
      <c r="T443" s="78" t="b">
        <v>0</v>
      </c>
      <c r="U443" s="78" t="b">
        <v>0</v>
      </c>
      <c r="V443" s="30" t="b">
        <v>0</v>
      </c>
      <c r="W443" s="30" t="b">
        <v>0</v>
      </c>
      <c r="X443" s="30"/>
      <c r="Y443" s="30"/>
      <c r="Z443" s="30"/>
      <c r="AA443" s="30"/>
      <c r="AB443" s="30"/>
      <c r="AC443" s="50"/>
      <c r="AD443" s="30"/>
      <c r="AE443" s="12">
        <f t="shared" si="5"/>
        <v>0</v>
      </c>
      <c r="AF443" s="70">
        <f t="shared" si="6"/>
        <v>0</v>
      </c>
      <c r="AG443" s="76"/>
      <c r="AH443" s="76"/>
      <c r="AI443" s="76"/>
      <c r="AJ443" s="76"/>
      <c r="AK443" s="76"/>
      <c r="AL443" s="30"/>
      <c r="AM443" s="79"/>
      <c r="AN443" s="79"/>
      <c r="AO443" s="79"/>
    </row>
    <row r="444" hidden="1">
      <c r="A444" s="12" t="s">
        <v>74</v>
      </c>
      <c r="B444" s="64"/>
      <c r="C444" s="12" t="s">
        <v>248</v>
      </c>
      <c r="D444" s="12" t="str">
        <f>vlookup(C444,'List of Chargers'!$A$2:$B$5,2,FALSE)</f>
        <v>Roam Hub</v>
      </c>
      <c r="E444" s="12" t="s">
        <v>73</v>
      </c>
      <c r="F444" s="12" t="s">
        <v>75</v>
      </c>
      <c r="G444" s="12">
        <v>442.0</v>
      </c>
      <c r="H444" s="13" t="str">
        <f t="shared" si="1"/>
        <v>#RH-KE-A-442</v>
      </c>
      <c r="I444" s="13" t="str">
        <f t="shared" si="2"/>
        <v>FO-NBI-00#RH-KE-A-442</v>
      </c>
      <c r="J444" s="25"/>
      <c r="K444" s="66"/>
      <c r="L444" s="31"/>
      <c r="M444" s="31"/>
      <c r="N444" s="26" t="str">
        <f t="shared" si="3"/>
        <v>Roam Hub - </v>
      </c>
      <c r="O444" s="26" t="str">
        <f t="shared" si="4"/>
        <v>FO-NBI-00#RH-KE-A-442: Roam Hub - </v>
      </c>
      <c r="R444" s="53"/>
      <c r="S444" s="78" t="b">
        <v>0</v>
      </c>
      <c r="T444" s="78" t="b">
        <v>0</v>
      </c>
      <c r="U444" s="78" t="b">
        <v>0</v>
      </c>
      <c r="V444" s="30" t="b">
        <v>0</v>
      </c>
      <c r="W444" s="30" t="b">
        <v>0</v>
      </c>
      <c r="X444" s="30"/>
      <c r="Y444" s="30"/>
      <c r="Z444" s="30"/>
      <c r="AA444" s="30"/>
      <c r="AB444" s="30"/>
      <c r="AC444" s="50"/>
      <c r="AD444" s="30"/>
      <c r="AE444" s="12">
        <f t="shared" si="5"/>
        <v>0</v>
      </c>
      <c r="AF444" s="70">
        <f t="shared" si="6"/>
        <v>0</v>
      </c>
      <c r="AG444" s="76"/>
      <c r="AH444" s="76"/>
      <c r="AI444" s="76"/>
      <c r="AJ444" s="76"/>
      <c r="AK444" s="76"/>
      <c r="AL444" s="30"/>
      <c r="AM444" s="79"/>
      <c r="AN444" s="79"/>
      <c r="AO444" s="79"/>
    </row>
    <row r="445" hidden="1">
      <c r="A445" s="12" t="s">
        <v>74</v>
      </c>
      <c r="B445" s="64"/>
      <c r="C445" s="12" t="s">
        <v>248</v>
      </c>
      <c r="D445" s="12" t="str">
        <f>vlookup(C445,'List of Chargers'!$A$2:$B$5,2,FALSE)</f>
        <v>Roam Hub</v>
      </c>
      <c r="E445" s="12" t="s">
        <v>73</v>
      </c>
      <c r="F445" s="12" t="s">
        <v>75</v>
      </c>
      <c r="G445" s="12">
        <v>443.0</v>
      </c>
      <c r="H445" s="13" t="str">
        <f t="shared" si="1"/>
        <v>#RH-KE-A-443</v>
      </c>
      <c r="I445" s="13" t="str">
        <f t="shared" si="2"/>
        <v>FO-NBI-00#RH-KE-A-443</v>
      </c>
      <c r="J445" s="25"/>
      <c r="K445" s="66"/>
      <c r="L445" s="31"/>
      <c r="M445" s="31"/>
      <c r="N445" s="26" t="str">
        <f t="shared" si="3"/>
        <v>Roam Hub - </v>
      </c>
      <c r="O445" s="26" t="str">
        <f t="shared" si="4"/>
        <v>FO-NBI-00#RH-KE-A-443: Roam Hub - </v>
      </c>
      <c r="R445" s="53"/>
      <c r="S445" s="78" t="b">
        <v>0</v>
      </c>
      <c r="T445" s="78" t="b">
        <v>0</v>
      </c>
      <c r="U445" s="78" t="b">
        <v>0</v>
      </c>
      <c r="V445" s="30" t="b">
        <v>0</v>
      </c>
      <c r="W445" s="30" t="b">
        <v>0</v>
      </c>
      <c r="X445" s="30"/>
      <c r="Y445" s="30"/>
      <c r="Z445" s="30"/>
      <c r="AA445" s="30"/>
      <c r="AB445" s="30"/>
      <c r="AC445" s="50"/>
      <c r="AD445" s="30"/>
      <c r="AE445" s="12">
        <f t="shared" si="5"/>
        <v>0</v>
      </c>
      <c r="AF445" s="70">
        <f t="shared" si="6"/>
        <v>0</v>
      </c>
      <c r="AG445" s="76"/>
      <c r="AH445" s="76"/>
      <c r="AI445" s="76"/>
      <c r="AJ445" s="76"/>
      <c r="AK445" s="76"/>
      <c r="AL445" s="30"/>
      <c r="AM445" s="79"/>
      <c r="AN445" s="79"/>
      <c r="AO445" s="79"/>
    </row>
    <row r="446" hidden="1">
      <c r="A446" s="12" t="s">
        <v>74</v>
      </c>
      <c r="B446" s="64"/>
      <c r="C446" s="12" t="s">
        <v>248</v>
      </c>
      <c r="D446" s="12" t="str">
        <f>vlookup(C446,'List of Chargers'!$A$2:$B$5,2,FALSE)</f>
        <v>Roam Hub</v>
      </c>
      <c r="E446" s="12" t="s">
        <v>73</v>
      </c>
      <c r="F446" s="12" t="s">
        <v>75</v>
      </c>
      <c r="G446" s="12">
        <v>444.0</v>
      </c>
      <c r="H446" s="13" t="str">
        <f t="shared" si="1"/>
        <v>#RH-KE-A-444</v>
      </c>
      <c r="I446" s="13" t="str">
        <f t="shared" si="2"/>
        <v>FO-NBI-00#RH-KE-A-444</v>
      </c>
      <c r="J446" s="25"/>
      <c r="K446" s="66"/>
      <c r="L446" s="31"/>
      <c r="M446" s="31"/>
      <c r="N446" s="26" t="str">
        <f t="shared" si="3"/>
        <v>Roam Hub - </v>
      </c>
      <c r="O446" s="26" t="str">
        <f t="shared" si="4"/>
        <v>FO-NBI-00#RH-KE-A-444: Roam Hub - </v>
      </c>
      <c r="R446" s="53"/>
      <c r="S446" s="78" t="b">
        <v>0</v>
      </c>
      <c r="T446" s="78" t="b">
        <v>0</v>
      </c>
      <c r="U446" s="78" t="b">
        <v>0</v>
      </c>
      <c r="V446" s="30" t="b">
        <v>0</v>
      </c>
      <c r="W446" s="30" t="b">
        <v>0</v>
      </c>
      <c r="X446" s="30"/>
      <c r="Y446" s="30"/>
      <c r="Z446" s="30"/>
      <c r="AA446" s="30"/>
      <c r="AB446" s="30"/>
      <c r="AC446" s="50"/>
      <c r="AD446" s="30"/>
      <c r="AE446" s="12">
        <f t="shared" si="5"/>
        <v>0</v>
      </c>
      <c r="AF446" s="70">
        <f t="shared" si="6"/>
        <v>0</v>
      </c>
      <c r="AG446" s="76"/>
      <c r="AH446" s="76"/>
      <c r="AI446" s="76"/>
      <c r="AJ446" s="76"/>
      <c r="AK446" s="76"/>
      <c r="AL446" s="30"/>
      <c r="AM446" s="79"/>
      <c r="AN446" s="79"/>
      <c r="AO446" s="79"/>
    </row>
    <row r="447" hidden="1">
      <c r="A447" s="12" t="s">
        <v>74</v>
      </c>
      <c r="B447" s="64"/>
      <c r="C447" s="12" t="s">
        <v>248</v>
      </c>
      <c r="D447" s="12" t="str">
        <f>vlookup(C447,'List of Chargers'!$A$2:$B$5,2,FALSE)</f>
        <v>Roam Hub</v>
      </c>
      <c r="E447" s="12" t="s">
        <v>73</v>
      </c>
      <c r="F447" s="12" t="s">
        <v>75</v>
      </c>
      <c r="G447" s="12">
        <v>445.0</v>
      </c>
      <c r="H447" s="13" t="str">
        <f t="shared" si="1"/>
        <v>#RH-KE-A-445</v>
      </c>
      <c r="I447" s="13" t="str">
        <f t="shared" si="2"/>
        <v>FO-NBI-00#RH-KE-A-445</v>
      </c>
      <c r="J447" s="25"/>
      <c r="K447" s="66"/>
      <c r="L447" s="31"/>
      <c r="M447" s="31"/>
      <c r="N447" s="26" t="str">
        <f t="shared" si="3"/>
        <v>Roam Hub - </v>
      </c>
      <c r="O447" s="26" t="str">
        <f t="shared" si="4"/>
        <v>FO-NBI-00#RH-KE-A-445: Roam Hub - </v>
      </c>
      <c r="R447" s="53"/>
      <c r="S447" s="78" t="b">
        <v>0</v>
      </c>
      <c r="T447" s="78" t="b">
        <v>0</v>
      </c>
      <c r="U447" s="78" t="b">
        <v>0</v>
      </c>
      <c r="V447" s="30" t="b">
        <v>0</v>
      </c>
      <c r="W447" s="30" t="b">
        <v>0</v>
      </c>
      <c r="X447" s="30"/>
      <c r="Y447" s="30"/>
      <c r="Z447" s="30"/>
      <c r="AA447" s="30"/>
      <c r="AB447" s="30"/>
      <c r="AC447" s="50"/>
      <c r="AD447" s="30"/>
      <c r="AE447" s="12">
        <f t="shared" si="5"/>
        <v>0</v>
      </c>
      <c r="AF447" s="70">
        <f t="shared" si="6"/>
        <v>0</v>
      </c>
      <c r="AG447" s="76"/>
      <c r="AH447" s="76"/>
      <c r="AI447" s="76"/>
      <c r="AJ447" s="76"/>
      <c r="AK447" s="76"/>
      <c r="AL447" s="30"/>
      <c r="AM447" s="79"/>
      <c r="AN447" s="79"/>
      <c r="AO447" s="79"/>
    </row>
    <row r="448" hidden="1">
      <c r="A448" s="12" t="s">
        <v>74</v>
      </c>
      <c r="B448" s="64"/>
      <c r="C448" s="12" t="s">
        <v>248</v>
      </c>
      <c r="D448" s="12" t="str">
        <f>vlookup(C448,'List of Chargers'!$A$2:$B$5,2,FALSE)</f>
        <v>Roam Hub</v>
      </c>
      <c r="E448" s="12" t="s">
        <v>73</v>
      </c>
      <c r="F448" s="12" t="s">
        <v>75</v>
      </c>
      <c r="G448" s="12">
        <v>446.0</v>
      </c>
      <c r="H448" s="13" t="str">
        <f t="shared" si="1"/>
        <v>#RH-KE-A-446</v>
      </c>
      <c r="I448" s="13" t="str">
        <f t="shared" si="2"/>
        <v>FO-NBI-00#RH-KE-A-446</v>
      </c>
      <c r="J448" s="25"/>
      <c r="K448" s="66"/>
      <c r="L448" s="31"/>
      <c r="M448" s="31"/>
      <c r="N448" s="26" t="str">
        <f t="shared" si="3"/>
        <v>Roam Hub - </v>
      </c>
      <c r="O448" s="26" t="str">
        <f t="shared" si="4"/>
        <v>FO-NBI-00#RH-KE-A-446: Roam Hub - </v>
      </c>
      <c r="R448" s="53"/>
      <c r="S448" s="78" t="b">
        <v>0</v>
      </c>
      <c r="T448" s="78" t="b">
        <v>0</v>
      </c>
      <c r="U448" s="78" t="b">
        <v>0</v>
      </c>
      <c r="V448" s="30" t="b">
        <v>0</v>
      </c>
      <c r="W448" s="30" t="b">
        <v>0</v>
      </c>
      <c r="X448" s="30"/>
      <c r="Y448" s="30"/>
      <c r="Z448" s="30"/>
      <c r="AA448" s="30"/>
      <c r="AB448" s="30"/>
      <c r="AC448" s="50"/>
      <c r="AD448" s="30"/>
      <c r="AE448" s="12">
        <f t="shared" si="5"/>
        <v>0</v>
      </c>
      <c r="AF448" s="70">
        <f t="shared" si="6"/>
        <v>0</v>
      </c>
      <c r="AG448" s="76"/>
      <c r="AH448" s="76"/>
      <c r="AI448" s="76"/>
      <c r="AJ448" s="76"/>
      <c r="AK448" s="76"/>
      <c r="AL448" s="30"/>
      <c r="AM448" s="79"/>
      <c r="AN448" s="79"/>
      <c r="AO448" s="79"/>
    </row>
    <row r="449" hidden="1">
      <c r="A449" s="12" t="s">
        <v>74</v>
      </c>
      <c r="B449" s="64"/>
      <c r="C449" s="12" t="s">
        <v>248</v>
      </c>
      <c r="D449" s="12" t="str">
        <f>vlookup(C449,'List of Chargers'!$A$2:$B$5,2,FALSE)</f>
        <v>Roam Hub</v>
      </c>
      <c r="E449" s="12" t="s">
        <v>73</v>
      </c>
      <c r="F449" s="12" t="s">
        <v>75</v>
      </c>
      <c r="G449" s="12">
        <v>447.0</v>
      </c>
      <c r="H449" s="13" t="str">
        <f t="shared" si="1"/>
        <v>#RH-KE-A-447</v>
      </c>
      <c r="I449" s="13" t="str">
        <f t="shared" si="2"/>
        <v>FO-NBI-00#RH-KE-A-447</v>
      </c>
      <c r="J449" s="25"/>
      <c r="K449" s="66"/>
      <c r="L449" s="31"/>
      <c r="M449" s="31"/>
      <c r="N449" s="26" t="str">
        <f t="shared" si="3"/>
        <v>Roam Hub - </v>
      </c>
      <c r="O449" s="26" t="str">
        <f t="shared" si="4"/>
        <v>FO-NBI-00#RH-KE-A-447: Roam Hub - </v>
      </c>
      <c r="R449" s="53"/>
      <c r="S449" s="78" t="b">
        <v>0</v>
      </c>
      <c r="T449" s="78" t="b">
        <v>0</v>
      </c>
      <c r="U449" s="78" t="b">
        <v>0</v>
      </c>
      <c r="V449" s="30" t="b">
        <v>0</v>
      </c>
      <c r="W449" s="30" t="b">
        <v>0</v>
      </c>
      <c r="X449" s="30"/>
      <c r="Y449" s="30"/>
      <c r="Z449" s="30"/>
      <c r="AA449" s="30"/>
      <c r="AB449" s="30"/>
      <c r="AC449" s="50"/>
      <c r="AD449" s="30"/>
      <c r="AE449" s="12">
        <f t="shared" si="5"/>
        <v>0</v>
      </c>
      <c r="AF449" s="70">
        <f t="shared" si="6"/>
        <v>0</v>
      </c>
      <c r="AG449" s="76"/>
      <c r="AH449" s="76"/>
      <c r="AI449" s="76"/>
      <c r="AJ449" s="76"/>
      <c r="AK449" s="76"/>
      <c r="AL449" s="30"/>
      <c r="AM449" s="79"/>
      <c r="AN449" s="79"/>
      <c r="AO449" s="79"/>
    </row>
    <row r="450" hidden="1">
      <c r="A450" s="12" t="s">
        <v>74</v>
      </c>
      <c r="B450" s="64"/>
      <c r="C450" s="12" t="s">
        <v>248</v>
      </c>
      <c r="D450" s="12" t="str">
        <f>vlookup(C450,'List of Chargers'!$A$2:$B$5,2,FALSE)</f>
        <v>Roam Hub</v>
      </c>
      <c r="E450" s="12" t="s">
        <v>73</v>
      </c>
      <c r="F450" s="12" t="s">
        <v>75</v>
      </c>
      <c r="G450" s="12">
        <v>448.0</v>
      </c>
      <c r="H450" s="13" t="str">
        <f t="shared" si="1"/>
        <v>#RH-KE-A-448</v>
      </c>
      <c r="I450" s="13" t="str">
        <f t="shared" si="2"/>
        <v>FO-NBI-00#RH-KE-A-448</v>
      </c>
      <c r="J450" s="25"/>
      <c r="K450" s="66"/>
      <c r="L450" s="31"/>
      <c r="M450" s="31"/>
      <c r="N450" s="26" t="str">
        <f t="shared" si="3"/>
        <v>Roam Hub - </v>
      </c>
      <c r="O450" s="26" t="str">
        <f t="shared" si="4"/>
        <v>FO-NBI-00#RH-KE-A-448: Roam Hub - </v>
      </c>
      <c r="R450" s="53"/>
      <c r="S450" s="78" t="b">
        <v>0</v>
      </c>
      <c r="T450" s="78" t="b">
        <v>0</v>
      </c>
      <c r="U450" s="78" t="b">
        <v>0</v>
      </c>
      <c r="V450" s="30" t="b">
        <v>0</v>
      </c>
      <c r="W450" s="30" t="b">
        <v>0</v>
      </c>
      <c r="X450" s="30"/>
      <c r="Y450" s="30"/>
      <c r="Z450" s="30"/>
      <c r="AA450" s="30"/>
      <c r="AB450" s="30"/>
      <c r="AC450" s="50"/>
      <c r="AD450" s="30"/>
      <c r="AE450" s="12">
        <f t="shared" si="5"/>
        <v>0</v>
      </c>
      <c r="AF450" s="70">
        <f t="shared" si="6"/>
        <v>0</v>
      </c>
      <c r="AG450" s="76"/>
      <c r="AH450" s="76"/>
      <c r="AI450" s="76"/>
      <c r="AJ450" s="76"/>
      <c r="AK450" s="76"/>
      <c r="AL450" s="30"/>
      <c r="AM450" s="79"/>
      <c r="AN450" s="79"/>
      <c r="AO450" s="79"/>
    </row>
    <row r="451" hidden="1">
      <c r="A451" s="12" t="s">
        <v>74</v>
      </c>
      <c r="B451" s="64"/>
      <c r="C451" s="12" t="s">
        <v>248</v>
      </c>
      <c r="D451" s="12" t="str">
        <f>vlookup(C451,'List of Chargers'!$A$2:$B$5,2,FALSE)</f>
        <v>Roam Hub</v>
      </c>
      <c r="E451" s="12" t="s">
        <v>73</v>
      </c>
      <c r="F451" s="12" t="s">
        <v>75</v>
      </c>
      <c r="G451" s="12">
        <v>449.0</v>
      </c>
      <c r="H451" s="13" t="str">
        <f t="shared" si="1"/>
        <v>#RH-KE-A-449</v>
      </c>
      <c r="I451" s="13" t="str">
        <f t="shared" si="2"/>
        <v>FO-NBI-00#RH-KE-A-449</v>
      </c>
      <c r="J451" s="25"/>
      <c r="K451" s="66"/>
      <c r="L451" s="31"/>
      <c r="M451" s="31"/>
      <c r="N451" s="26" t="str">
        <f t="shared" si="3"/>
        <v>Roam Hub - </v>
      </c>
      <c r="O451" s="26" t="str">
        <f t="shared" si="4"/>
        <v>FO-NBI-00#RH-KE-A-449: Roam Hub - </v>
      </c>
      <c r="R451" s="53"/>
      <c r="S451" s="78" t="b">
        <v>0</v>
      </c>
      <c r="T451" s="78" t="b">
        <v>0</v>
      </c>
      <c r="U451" s="78" t="b">
        <v>0</v>
      </c>
      <c r="V451" s="30" t="b">
        <v>0</v>
      </c>
      <c r="W451" s="30" t="b">
        <v>0</v>
      </c>
      <c r="X451" s="30"/>
      <c r="Y451" s="30"/>
      <c r="Z451" s="30"/>
      <c r="AA451" s="30"/>
      <c r="AB451" s="30"/>
      <c r="AC451" s="50"/>
      <c r="AD451" s="30"/>
      <c r="AE451" s="12">
        <f t="shared" si="5"/>
        <v>0</v>
      </c>
      <c r="AF451" s="70">
        <f t="shared" si="6"/>
        <v>0</v>
      </c>
      <c r="AG451" s="76"/>
      <c r="AH451" s="76"/>
      <c r="AI451" s="76"/>
      <c r="AJ451" s="76"/>
      <c r="AK451" s="76"/>
      <c r="AL451" s="30"/>
      <c r="AM451" s="79"/>
      <c r="AN451" s="79"/>
      <c r="AO451" s="79"/>
    </row>
    <row r="452" hidden="1">
      <c r="A452" s="12" t="s">
        <v>74</v>
      </c>
      <c r="B452" s="64"/>
      <c r="C452" s="12" t="s">
        <v>248</v>
      </c>
      <c r="D452" s="12" t="str">
        <f>vlookup(C452,'List of Chargers'!$A$2:$B$5,2,FALSE)</f>
        <v>Roam Hub</v>
      </c>
      <c r="E452" s="12" t="s">
        <v>73</v>
      </c>
      <c r="F452" s="12" t="s">
        <v>75</v>
      </c>
      <c r="G452" s="12">
        <v>450.0</v>
      </c>
      <c r="H452" s="13" t="str">
        <f t="shared" si="1"/>
        <v>#RH-KE-A-450</v>
      </c>
      <c r="I452" s="13" t="str">
        <f t="shared" si="2"/>
        <v>FO-NBI-00#RH-KE-A-450</v>
      </c>
      <c r="J452" s="25"/>
      <c r="K452" s="66"/>
      <c r="L452" s="31"/>
      <c r="M452" s="31"/>
      <c r="N452" s="26" t="str">
        <f t="shared" si="3"/>
        <v>Roam Hub - </v>
      </c>
      <c r="O452" s="26" t="str">
        <f t="shared" si="4"/>
        <v>FO-NBI-00#RH-KE-A-450: Roam Hub - </v>
      </c>
      <c r="R452" s="53"/>
      <c r="S452" s="78" t="b">
        <v>0</v>
      </c>
      <c r="T452" s="78" t="b">
        <v>0</v>
      </c>
      <c r="U452" s="78" t="b">
        <v>0</v>
      </c>
      <c r="V452" s="30" t="b">
        <v>0</v>
      </c>
      <c r="W452" s="30" t="b">
        <v>0</v>
      </c>
      <c r="X452" s="30"/>
      <c r="Y452" s="30"/>
      <c r="Z452" s="30"/>
      <c r="AA452" s="30"/>
      <c r="AB452" s="30"/>
      <c r="AC452" s="50"/>
      <c r="AD452" s="30"/>
      <c r="AE452" s="12">
        <f t="shared" si="5"/>
        <v>0</v>
      </c>
      <c r="AF452" s="70">
        <f t="shared" si="6"/>
        <v>0</v>
      </c>
      <c r="AG452" s="76"/>
      <c r="AH452" s="76"/>
      <c r="AI452" s="76"/>
      <c r="AJ452" s="76"/>
      <c r="AK452" s="76"/>
      <c r="AL452" s="30"/>
      <c r="AM452" s="79"/>
      <c r="AN452" s="79"/>
      <c r="AO452" s="79"/>
    </row>
    <row r="453" hidden="1">
      <c r="A453" s="12" t="s">
        <v>74</v>
      </c>
      <c r="B453" s="64"/>
      <c r="C453" s="12" t="s">
        <v>248</v>
      </c>
      <c r="D453" s="12" t="str">
        <f>vlookup(C453,'List of Chargers'!$A$2:$B$5,2,FALSE)</f>
        <v>Roam Hub</v>
      </c>
      <c r="E453" s="12" t="s">
        <v>73</v>
      </c>
      <c r="F453" s="12" t="s">
        <v>75</v>
      </c>
      <c r="G453" s="12">
        <v>451.0</v>
      </c>
      <c r="H453" s="13" t="str">
        <f t="shared" si="1"/>
        <v>#RH-KE-A-451</v>
      </c>
      <c r="I453" s="13" t="str">
        <f t="shared" si="2"/>
        <v>FO-NBI-00#RH-KE-A-451</v>
      </c>
      <c r="J453" s="25"/>
      <c r="K453" s="66"/>
      <c r="L453" s="31"/>
      <c r="M453" s="31"/>
      <c r="N453" s="26" t="str">
        <f t="shared" si="3"/>
        <v>Roam Hub - </v>
      </c>
      <c r="O453" s="26" t="str">
        <f t="shared" si="4"/>
        <v>FO-NBI-00#RH-KE-A-451: Roam Hub - </v>
      </c>
      <c r="R453" s="53"/>
      <c r="S453" s="78" t="b">
        <v>0</v>
      </c>
      <c r="T453" s="78" t="b">
        <v>0</v>
      </c>
      <c r="U453" s="78" t="b">
        <v>0</v>
      </c>
      <c r="V453" s="30" t="b">
        <v>0</v>
      </c>
      <c r="W453" s="30" t="b">
        <v>0</v>
      </c>
      <c r="X453" s="30"/>
      <c r="Y453" s="30"/>
      <c r="Z453" s="30"/>
      <c r="AA453" s="30"/>
      <c r="AB453" s="30"/>
      <c r="AC453" s="50"/>
      <c r="AD453" s="30"/>
      <c r="AE453" s="12">
        <f t="shared" si="5"/>
        <v>0</v>
      </c>
      <c r="AF453" s="70">
        <f t="shared" si="6"/>
        <v>0</v>
      </c>
      <c r="AG453" s="76"/>
      <c r="AH453" s="76"/>
      <c r="AI453" s="76"/>
      <c r="AJ453" s="76"/>
      <c r="AK453" s="76"/>
      <c r="AL453" s="30"/>
      <c r="AM453" s="79"/>
      <c r="AN453" s="79"/>
      <c r="AO453" s="79"/>
    </row>
    <row r="454" hidden="1">
      <c r="A454" s="12" t="s">
        <v>74</v>
      </c>
      <c r="B454" s="64"/>
      <c r="C454" s="12" t="s">
        <v>248</v>
      </c>
      <c r="D454" s="12" t="str">
        <f>vlookup(C454,'List of Chargers'!$A$2:$B$5,2,FALSE)</f>
        <v>Roam Hub</v>
      </c>
      <c r="E454" s="12" t="s">
        <v>73</v>
      </c>
      <c r="F454" s="12" t="s">
        <v>75</v>
      </c>
      <c r="G454" s="12">
        <v>452.0</v>
      </c>
      <c r="H454" s="13" t="str">
        <f t="shared" si="1"/>
        <v>#RH-KE-A-452</v>
      </c>
      <c r="I454" s="13" t="str">
        <f t="shared" si="2"/>
        <v>FO-NBI-00#RH-KE-A-452</v>
      </c>
      <c r="J454" s="25"/>
      <c r="K454" s="66"/>
      <c r="L454" s="31"/>
      <c r="M454" s="31"/>
      <c r="N454" s="26" t="str">
        <f t="shared" si="3"/>
        <v>Roam Hub - </v>
      </c>
      <c r="O454" s="26" t="str">
        <f t="shared" si="4"/>
        <v>FO-NBI-00#RH-KE-A-452: Roam Hub - </v>
      </c>
      <c r="R454" s="53"/>
      <c r="S454" s="78" t="b">
        <v>0</v>
      </c>
      <c r="T454" s="78" t="b">
        <v>0</v>
      </c>
      <c r="U454" s="78" t="b">
        <v>0</v>
      </c>
      <c r="V454" s="30" t="b">
        <v>0</v>
      </c>
      <c r="W454" s="30" t="b">
        <v>0</v>
      </c>
      <c r="X454" s="30"/>
      <c r="Y454" s="30"/>
      <c r="Z454" s="30"/>
      <c r="AA454" s="30"/>
      <c r="AB454" s="30"/>
      <c r="AC454" s="50"/>
      <c r="AD454" s="30"/>
      <c r="AE454" s="12">
        <f t="shared" si="5"/>
        <v>0</v>
      </c>
      <c r="AF454" s="70">
        <f t="shared" si="6"/>
        <v>0</v>
      </c>
      <c r="AG454" s="76"/>
      <c r="AH454" s="76"/>
      <c r="AI454" s="76"/>
      <c r="AJ454" s="76"/>
      <c r="AK454" s="76"/>
      <c r="AL454" s="30"/>
      <c r="AM454" s="79"/>
      <c r="AN454" s="79"/>
      <c r="AO454" s="79"/>
    </row>
    <row r="455" hidden="1">
      <c r="A455" s="12" t="s">
        <v>74</v>
      </c>
      <c r="B455" s="64"/>
      <c r="C455" s="12" t="s">
        <v>248</v>
      </c>
      <c r="D455" s="12" t="str">
        <f>vlookup(C455,'List of Chargers'!$A$2:$B$5,2,FALSE)</f>
        <v>Roam Hub</v>
      </c>
      <c r="E455" s="12" t="s">
        <v>73</v>
      </c>
      <c r="F455" s="12" t="s">
        <v>75</v>
      </c>
      <c r="G455" s="12">
        <v>453.0</v>
      </c>
      <c r="H455" s="13" t="str">
        <f t="shared" si="1"/>
        <v>#RH-KE-A-453</v>
      </c>
      <c r="I455" s="13" t="str">
        <f t="shared" si="2"/>
        <v>FO-NBI-00#RH-KE-A-453</v>
      </c>
      <c r="J455" s="25"/>
      <c r="K455" s="66"/>
      <c r="L455" s="31"/>
      <c r="M455" s="31"/>
      <c r="N455" s="26" t="str">
        <f t="shared" si="3"/>
        <v>Roam Hub - </v>
      </c>
      <c r="O455" s="26" t="str">
        <f t="shared" si="4"/>
        <v>FO-NBI-00#RH-KE-A-453: Roam Hub - </v>
      </c>
      <c r="R455" s="53"/>
      <c r="S455" s="78" t="b">
        <v>0</v>
      </c>
      <c r="T455" s="78" t="b">
        <v>0</v>
      </c>
      <c r="U455" s="78" t="b">
        <v>0</v>
      </c>
      <c r="V455" s="30" t="b">
        <v>0</v>
      </c>
      <c r="W455" s="30" t="b">
        <v>0</v>
      </c>
      <c r="X455" s="30"/>
      <c r="Y455" s="30"/>
      <c r="Z455" s="30"/>
      <c r="AA455" s="30"/>
      <c r="AB455" s="30"/>
      <c r="AC455" s="50"/>
      <c r="AD455" s="30"/>
      <c r="AE455" s="12">
        <f t="shared" si="5"/>
        <v>0</v>
      </c>
      <c r="AF455" s="70">
        <f t="shared" si="6"/>
        <v>0</v>
      </c>
      <c r="AG455" s="76"/>
      <c r="AH455" s="76"/>
      <c r="AI455" s="76"/>
      <c r="AJ455" s="76"/>
      <c r="AK455" s="76"/>
      <c r="AL455" s="30"/>
      <c r="AM455" s="79"/>
      <c r="AN455" s="79"/>
      <c r="AO455" s="79"/>
    </row>
    <row r="456" hidden="1">
      <c r="A456" s="12" t="s">
        <v>74</v>
      </c>
      <c r="B456" s="64"/>
      <c r="C456" s="12" t="s">
        <v>248</v>
      </c>
      <c r="D456" s="12" t="str">
        <f>vlookup(C456,'List of Chargers'!$A$2:$B$5,2,FALSE)</f>
        <v>Roam Hub</v>
      </c>
      <c r="E456" s="12" t="s">
        <v>73</v>
      </c>
      <c r="F456" s="12" t="s">
        <v>75</v>
      </c>
      <c r="G456" s="12">
        <v>454.0</v>
      </c>
      <c r="H456" s="13" t="str">
        <f t="shared" si="1"/>
        <v>#RH-KE-A-454</v>
      </c>
      <c r="I456" s="13" t="str">
        <f t="shared" si="2"/>
        <v>FO-NBI-00#RH-KE-A-454</v>
      </c>
      <c r="J456" s="25"/>
      <c r="K456" s="66"/>
      <c r="L456" s="31"/>
      <c r="M456" s="31"/>
      <c r="N456" s="26" t="str">
        <f t="shared" si="3"/>
        <v>Roam Hub - </v>
      </c>
      <c r="O456" s="26" t="str">
        <f t="shared" si="4"/>
        <v>FO-NBI-00#RH-KE-A-454: Roam Hub - </v>
      </c>
      <c r="R456" s="53"/>
      <c r="S456" s="78" t="b">
        <v>0</v>
      </c>
      <c r="T456" s="78" t="b">
        <v>0</v>
      </c>
      <c r="U456" s="78" t="b">
        <v>0</v>
      </c>
      <c r="V456" s="30" t="b">
        <v>0</v>
      </c>
      <c r="W456" s="30" t="b">
        <v>0</v>
      </c>
      <c r="X456" s="30"/>
      <c r="Y456" s="30"/>
      <c r="Z456" s="30"/>
      <c r="AA456" s="30"/>
      <c r="AB456" s="30"/>
      <c r="AC456" s="50"/>
      <c r="AD456" s="30"/>
      <c r="AE456" s="12">
        <f t="shared" si="5"/>
        <v>0</v>
      </c>
      <c r="AF456" s="70">
        <f t="shared" si="6"/>
        <v>0</v>
      </c>
      <c r="AG456" s="76"/>
      <c r="AH456" s="76"/>
      <c r="AI456" s="76"/>
      <c r="AJ456" s="76"/>
      <c r="AK456" s="76"/>
      <c r="AL456" s="30"/>
      <c r="AM456" s="79"/>
      <c r="AN456" s="79"/>
      <c r="AO456" s="79"/>
    </row>
    <row r="457" hidden="1">
      <c r="A457" s="12" t="s">
        <v>74</v>
      </c>
      <c r="B457" s="64"/>
      <c r="C457" s="12" t="s">
        <v>248</v>
      </c>
      <c r="D457" s="12" t="str">
        <f>vlookup(C457,'List of Chargers'!$A$2:$B$5,2,FALSE)</f>
        <v>Roam Hub</v>
      </c>
      <c r="E457" s="12" t="s">
        <v>73</v>
      </c>
      <c r="F457" s="12" t="s">
        <v>75</v>
      </c>
      <c r="G457" s="12">
        <v>455.0</v>
      </c>
      <c r="H457" s="13" t="str">
        <f t="shared" si="1"/>
        <v>#RH-KE-A-455</v>
      </c>
      <c r="I457" s="13" t="str">
        <f t="shared" si="2"/>
        <v>FO-NBI-00#RH-KE-A-455</v>
      </c>
      <c r="J457" s="25"/>
      <c r="K457" s="66"/>
      <c r="L457" s="31"/>
      <c r="M457" s="31"/>
      <c r="N457" s="26" t="str">
        <f t="shared" si="3"/>
        <v>Roam Hub - </v>
      </c>
      <c r="O457" s="26" t="str">
        <f t="shared" si="4"/>
        <v>FO-NBI-00#RH-KE-A-455: Roam Hub - </v>
      </c>
      <c r="R457" s="53"/>
      <c r="S457" s="78" t="b">
        <v>0</v>
      </c>
      <c r="T457" s="78" t="b">
        <v>0</v>
      </c>
      <c r="U457" s="78" t="b">
        <v>0</v>
      </c>
      <c r="V457" s="30" t="b">
        <v>0</v>
      </c>
      <c r="W457" s="30" t="b">
        <v>0</v>
      </c>
      <c r="X457" s="30"/>
      <c r="Y457" s="30"/>
      <c r="Z457" s="30"/>
      <c r="AA457" s="30"/>
      <c r="AB457" s="30"/>
      <c r="AC457" s="50"/>
      <c r="AD457" s="30"/>
      <c r="AE457" s="12">
        <f t="shared" si="5"/>
        <v>0</v>
      </c>
      <c r="AF457" s="70">
        <f t="shared" si="6"/>
        <v>0</v>
      </c>
      <c r="AG457" s="76"/>
      <c r="AH457" s="76"/>
      <c r="AI457" s="76"/>
      <c r="AJ457" s="76"/>
      <c r="AK457" s="76"/>
      <c r="AL457" s="30"/>
      <c r="AM457" s="79"/>
      <c r="AN457" s="79"/>
      <c r="AO457" s="79"/>
    </row>
    <row r="458" hidden="1">
      <c r="A458" s="12" t="s">
        <v>74</v>
      </c>
      <c r="B458" s="64"/>
      <c r="C458" s="12" t="s">
        <v>248</v>
      </c>
      <c r="D458" s="12" t="str">
        <f>vlookup(C458,'List of Chargers'!$A$2:$B$5,2,FALSE)</f>
        <v>Roam Hub</v>
      </c>
      <c r="E458" s="12" t="s">
        <v>73</v>
      </c>
      <c r="F458" s="12" t="s">
        <v>75</v>
      </c>
      <c r="G458" s="12">
        <v>456.0</v>
      </c>
      <c r="H458" s="13" t="str">
        <f t="shared" si="1"/>
        <v>#RH-KE-A-456</v>
      </c>
      <c r="I458" s="13" t="str">
        <f t="shared" si="2"/>
        <v>FO-NBI-00#RH-KE-A-456</v>
      </c>
      <c r="J458" s="25"/>
      <c r="K458" s="66"/>
      <c r="L458" s="31"/>
      <c r="M458" s="31"/>
      <c r="N458" s="26" t="str">
        <f t="shared" si="3"/>
        <v>Roam Hub - </v>
      </c>
      <c r="O458" s="26" t="str">
        <f t="shared" si="4"/>
        <v>FO-NBI-00#RH-KE-A-456: Roam Hub - </v>
      </c>
      <c r="R458" s="53"/>
      <c r="S458" s="78" t="b">
        <v>0</v>
      </c>
      <c r="T458" s="78" t="b">
        <v>0</v>
      </c>
      <c r="U458" s="78" t="b">
        <v>0</v>
      </c>
      <c r="V458" s="30" t="b">
        <v>0</v>
      </c>
      <c r="W458" s="30" t="b">
        <v>0</v>
      </c>
      <c r="X458" s="30"/>
      <c r="Y458" s="30"/>
      <c r="Z458" s="30"/>
      <c r="AA458" s="30"/>
      <c r="AB458" s="30"/>
      <c r="AC458" s="50"/>
      <c r="AD458" s="30"/>
      <c r="AE458" s="12">
        <f t="shared" si="5"/>
        <v>0</v>
      </c>
      <c r="AF458" s="70">
        <f t="shared" si="6"/>
        <v>0</v>
      </c>
      <c r="AG458" s="76"/>
      <c r="AH458" s="76"/>
      <c r="AI458" s="76"/>
      <c r="AJ458" s="76"/>
      <c r="AK458" s="76"/>
      <c r="AL458" s="30"/>
      <c r="AM458" s="79"/>
      <c r="AN458" s="79"/>
      <c r="AO458" s="79"/>
    </row>
    <row r="459" hidden="1">
      <c r="A459" s="12" t="s">
        <v>74</v>
      </c>
      <c r="B459" s="64"/>
      <c r="C459" s="12" t="s">
        <v>248</v>
      </c>
      <c r="D459" s="12" t="str">
        <f>vlookup(C459,'List of Chargers'!$A$2:$B$5,2,FALSE)</f>
        <v>Roam Hub</v>
      </c>
      <c r="E459" s="12" t="s">
        <v>73</v>
      </c>
      <c r="F459" s="12" t="s">
        <v>75</v>
      </c>
      <c r="G459" s="12">
        <v>457.0</v>
      </c>
      <c r="H459" s="13" t="str">
        <f t="shared" si="1"/>
        <v>#RH-KE-A-457</v>
      </c>
      <c r="I459" s="13" t="str">
        <f t="shared" si="2"/>
        <v>FO-NBI-00#RH-KE-A-457</v>
      </c>
      <c r="J459" s="25"/>
      <c r="K459" s="66"/>
      <c r="L459" s="31"/>
      <c r="M459" s="31"/>
      <c r="N459" s="26" t="str">
        <f t="shared" si="3"/>
        <v>Roam Hub - </v>
      </c>
      <c r="O459" s="26" t="str">
        <f t="shared" si="4"/>
        <v>FO-NBI-00#RH-KE-A-457: Roam Hub - </v>
      </c>
      <c r="R459" s="53"/>
      <c r="S459" s="78" t="b">
        <v>0</v>
      </c>
      <c r="T459" s="78" t="b">
        <v>0</v>
      </c>
      <c r="U459" s="78" t="b">
        <v>0</v>
      </c>
      <c r="V459" s="30" t="b">
        <v>0</v>
      </c>
      <c r="W459" s="30" t="b">
        <v>0</v>
      </c>
      <c r="X459" s="30"/>
      <c r="Y459" s="30"/>
      <c r="Z459" s="30"/>
      <c r="AA459" s="30"/>
      <c r="AB459" s="30"/>
      <c r="AC459" s="50"/>
      <c r="AD459" s="30"/>
      <c r="AE459" s="12">
        <f t="shared" si="5"/>
        <v>0</v>
      </c>
      <c r="AF459" s="70">
        <f t="shared" si="6"/>
        <v>0</v>
      </c>
      <c r="AG459" s="76"/>
      <c r="AH459" s="76"/>
      <c r="AI459" s="76"/>
      <c r="AJ459" s="76"/>
      <c r="AK459" s="76"/>
      <c r="AL459" s="30"/>
      <c r="AM459" s="79"/>
      <c r="AN459" s="79"/>
      <c r="AO459" s="79"/>
    </row>
    <row r="460" hidden="1">
      <c r="A460" s="12" t="s">
        <v>74</v>
      </c>
      <c r="B460" s="64"/>
      <c r="C460" s="12" t="s">
        <v>248</v>
      </c>
      <c r="D460" s="12" t="str">
        <f>vlookup(C460,'List of Chargers'!$A$2:$B$5,2,FALSE)</f>
        <v>Roam Hub</v>
      </c>
      <c r="E460" s="12" t="s">
        <v>73</v>
      </c>
      <c r="F460" s="12" t="s">
        <v>75</v>
      </c>
      <c r="G460" s="12">
        <v>458.0</v>
      </c>
      <c r="H460" s="13" t="str">
        <f t="shared" si="1"/>
        <v>#RH-KE-A-458</v>
      </c>
      <c r="I460" s="13" t="str">
        <f t="shared" si="2"/>
        <v>FO-NBI-00#RH-KE-A-458</v>
      </c>
      <c r="J460" s="25"/>
      <c r="K460" s="66"/>
      <c r="L460" s="31"/>
      <c r="M460" s="31"/>
      <c r="N460" s="26" t="str">
        <f t="shared" si="3"/>
        <v>Roam Hub - </v>
      </c>
      <c r="O460" s="26" t="str">
        <f t="shared" si="4"/>
        <v>FO-NBI-00#RH-KE-A-458: Roam Hub - </v>
      </c>
      <c r="R460" s="53"/>
      <c r="S460" s="78" t="b">
        <v>0</v>
      </c>
      <c r="T460" s="78" t="b">
        <v>0</v>
      </c>
      <c r="U460" s="78" t="b">
        <v>0</v>
      </c>
      <c r="V460" s="30" t="b">
        <v>0</v>
      </c>
      <c r="W460" s="30" t="b">
        <v>0</v>
      </c>
      <c r="X460" s="30"/>
      <c r="Y460" s="30"/>
      <c r="Z460" s="30"/>
      <c r="AA460" s="30"/>
      <c r="AB460" s="30"/>
      <c r="AC460" s="50"/>
      <c r="AD460" s="30"/>
      <c r="AE460" s="12">
        <f t="shared" si="5"/>
        <v>0</v>
      </c>
      <c r="AF460" s="70">
        <f t="shared" si="6"/>
        <v>0</v>
      </c>
      <c r="AG460" s="76"/>
      <c r="AH460" s="76"/>
      <c r="AI460" s="76"/>
      <c r="AJ460" s="76"/>
      <c r="AK460" s="76"/>
      <c r="AL460" s="30"/>
      <c r="AM460" s="79"/>
      <c r="AN460" s="79"/>
      <c r="AO460" s="79"/>
    </row>
    <row r="461" hidden="1">
      <c r="A461" s="12" t="s">
        <v>74</v>
      </c>
      <c r="B461" s="64"/>
      <c r="C461" s="12" t="s">
        <v>248</v>
      </c>
      <c r="D461" s="12" t="str">
        <f>vlookup(C461,'List of Chargers'!$A$2:$B$5,2,FALSE)</f>
        <v>Roam Hub</v>
      </c>
      <c r="E461" s="12" t="s">
        <v>73</v>
      </c>
      <c r="F461" s="12" t="s">
        <v>75</v>
      </c>
      <c r="G461" s="12">
        <v>459.0</v>
      </c>
      <c r="H461" s="13" t="str">
        <f t="shared" si="1"/>
        <v>#RH-KE-A-459</v>
      </c>
      <c r="I461" s="13" t="str">
        <f t="shared" si="2"/>
        <v>FO-NBI-00#RH-KE-A-459</v>
      </c>
      <c r="J461" s="25"/>
      <c r="K461" s="66"/>
      <c r="L461" s="31"/>
      <c r="M461" s="31"/>
      <c r="N461" s="26" t="str">
        <f t="shared" si="3"/>
        <v>Roam Hub - </v>
      </c>
      <c r="O461" s="26" t="str">
        <f t="shared" si="4"/>
        <v>FO-NBI-00#RH-KE-A-459: Roam Hub - </v>
      </c>
      <c r="R461" s="53"/>
      <c r="S461" s="78" t="b">
        <v>0</v>
      </c>
      <c r="T461" s="78" t="b">
        <v>0</v>
      </c>
      <c r="U461" s="78" t="b">
        <v>0</v>
      </c>
      <c r="V461" s="30" t="b">
        <v>0</v>
      </c>
      <c r="W461" s="30" t="b">
        <v>0</v>
      </c>
      <c r="X461" s="30"/>
      <c r="Y461" s="30"/>
      <c r="Z461" s="30"/>
      <c r="AA461" s="30"/>
      <c r="AB461" s="30"/>
      <c r="AC461" s="50"/>
      <c r="AD461" s="30"/>
      <c r="AE461" s="12">
        <f t="shared" si="5"/>
        <v>0</v>
      </c>
      <c r="AF461" s="70">
        <f t="shared" si="6"/>
        <v>0</v>
      </c>
      <c r="AG461" s="76"/>
      <c r="AH461" s="76"/>
      <c r="AI461" s="76"/>
      <c r="AJ461" s="76"/>
      <c r="AK461" s="76"/>
      <c r="AL461" s="30"/>
      <c r="AM461" s="79"/>
      <c r="AN461" s="79"/>
      <c r="AO461" s="79"/>
    </row>
    <row r="462" hidden="1">
      <c r="A462" s="12" t="s">
        <v>74</v>
      </c>
      <c r="B462" s="64"/>
      <c r="C462" s="12" t="s">
        <v>248</v>
      </c>
      <c r="D462" s="12" t="str">
        <f>vlookup(C462,'List of Chargers'!$A$2:$B$5,2,FALSE)</f>
        <v>Roam Hub</v>
      </c>
      <c r="E462" s="12" t="s">
        <v>73</v>
      </c>
      <c r="F462" s="12" t="s">
        <v>75</v>
      </c>
      <c r="G462" s="12">
        <v>460.0</v>
      </c>
      <c r="H462" s="13" t="str">
        <f t="shared" si="1"/>
        <v>#RH-KE-A-460</v>
      </c>
      <c r="I462" s="13" t="str">
        <f t="shared" si="2"/>
        <v>FO-NBI-00#RH-KE-A-460</v>
      </c>
      <c r="J462" s="25"/>
      <c r="K462" s="66"/>
      <c r="L462" s="31"/>
      <c r="M462" s="31"/>
      <c r="N462" s="26" t="str">
        <f t="shared" si="3"/>
        <v>Roam Hub - </v>
      </c>
      <c r="O462" s="26" t="str">
        <f t="shared" si="4"/>
        <v>FO-NBI-00#RH-KE-A-460: Roam Hub - </v>
      </c>
      <c r="R462" s="53"/>
      <c r="S462" s="78" t="b">
        <v>0</v>
      </c>
      <c r="T462" s="78" t="b">
        <v>0</v>
      </c>
      <c r="U462" s="78" t="b">
        <v>0</v>
      </c>
      <c r="V462" s="30" t="b">
        <v>0</v>
      </c>
      <c r="W462" s="30" t="b">
        <v>0</v>
      </c>
      <c r="X462" s="30"/>
      <c r="Y462" s="30"/>
      <c r="Z462" s="30"/>
      <c r="AA462" s="30"/>
      <c r="AB462" s="30"/>
      <c r="AC462" s="50"/>
      <c r="AD462" s="30"/>
      <c r="AE462" s="12">
        <f t="shared" si="5"/>
        <v>0</v>
      </c>
      <c r="AF462" s="70">
        <f t="shared" si="6"/>
        <v>0</v>
      </c>
      <c r="AG462" s="76"/>
      <c r="AH462" s="76"/>
      <c r="AI462" s="76"/>
      <c r="AJ462" s="76"/>
      <c r="AK462" s="76"/>
      <c r="AL462" s="30"/>
      <c r="AM462" s="79"/>
      <c r="AN462" s="79"/>
      <c r="AO462" s="79"/>
    </row>
    <row r="463" hidden="1">
      <c r="A463" s="12" t="s">
        <v>74</v>
      </c>
      <c r="B463" s="64"/>
      <c r="C463" s="12" t="s">
        <v>248</v>
      </c>
      <c r="D463" s="12" t="str">
        <f>vlookup(C463,'List of Chargers'!$A$2:$B$5,2,FALSE)</f>
        <v>Roam Hub</v>
      </c>
      <c r="E463" s="12" t="s">
        <v>73</v>
      </c>
      <c r="F463" s="12" t="s">
        <v>75</v>
      </c>
      <c r="G463" s="12">
        <v>461.0</v>
      </c>
      <c r="H463" s="13" t="str">
        <f t="shared" si="1"/>
        <v>#RH-KE-A-461</v>
      </c>
      <c r="I463" s="13" t="str">
        <f t="shared" si="2"/>
        <v>FO-NBI-00#RH-KE-A-461</v>
      </c>
      <c r="J463" s="25"/>
      <c r="K463" s="66"/>
      <c r="L463" s="31"/>
      <c r="M463" s="31"/>
      <c r="N463" s="26" t="str">
        <f t="shared" si="3"/>
        <v>Roam Hub - </v>
      </c>
      <c r="O463" s="26" t="str">
        <f t="shared" si="4"/>
        <v>FO-NBI-00#RH-KE-A-461: Roam Hub - </v>
      </c>
      <c r="R463" s="53"/>
      <c r="S463" s="78" t="b">
        <v>0</v>
      </c>
      <c r="T463" s="78" t="b">
        <v>0</v>
      </c>
      <c r="U463" s="78" t="b">
        <v>0</v>
      </c>
      <c r="V463" s="30" t="b">
        <v>0</v>
      </c>
      <c r="W463" s="30" t="b">
        <v>0</v>
      </c>
      <c r="X463" s="30"/>
      <c r="Y463" s="30"/>
      <c r="Z463" s="30"/>
      <c r="AA463" s="30"/>
      <c r="AB463" s="30"/>
      <c r="AC463" s="50"/>
      <c r="AD463" s="30"/>
      <c r="AE463" s="12">
        <f t="shared" si="5"/>
        <v>0</v>
      </c>
      <c r="AF463" s="70">
        <f t="shared" si="6"/>
        <v>0</v>
      </c>
      <c r="AG463" s="76"/>
      <c r="AH463" s="76"/>
      <c r="AI463" s="76"/>
      <c r="AJ463" s="76"/>
      <c r="AK463" s="76"/>
      <c r="AL463" s="30"/>
      <c r="AM463" s="79"/>
      <c r="AN463" s="79"/>
      <c r="AO463" s="79"/>
    </row>
    <row r="464" hidden="1">
      <c r="A464" s="12" t="s">
        <v>74</v>
      </c>
      <c r="B464" s="64"/>
      <c r="C464" s="12" t="s">
        <v>248</v>
      </c>
      <c r="D464" s="12" t="str">
        <f>vlookup(C464,'List of Chargers'!$A$2:$B$5,2,FALSE)</f>
        <v>Roam Hub</v>
      </c>
      <c r="E464" s="12" t="s">
        <v>73</v>
      </c>
      <c r="F464" s="12" t="s">
        <v>75</v>
      </c>
      <c r="G464" s="12">
        <v>462.0</v>
      </c>
      <c r="H464" s="13" t="str">
        <f t="shared" si="1"/>
        <v>#RH-KE-A-462</v>
      </c>
      <c r="I464" s="13" t="str">
        <f t="shared" si="2"/>
        <v>FO-NBI-00#RH-KE-A-462</v>
      </c>
      <c r="J464" s="25"/>
      <c r="K464" s="66"/>
      <c r="L464" s="31"/>
      <c r="M464" s="31"/>
      <c r="N464" s="26" t="str">
        <f t="shared" si="3"/>
        <v>Roam Hub - </v>
      </c>
      <c r="O464" s="26" t="str">
        <f t="shared" si="4"/>
        <v>FO-NBI-00#RH-KE-A-462: Roam Hub - </v>
      </c>
      <c r="R464" s="53"/>
      <c r="S464" s="78" t="b">
        <v>0</v>
      </c>
      <c r="T464" s="78" t="b">
        <v>0</v>
      </c>
      <c r="U464" s="78" t="b">
        <v>0</v>
      </c>
      <c r="V464" s="30" t="b">
        <v>0</v>
      </c>
      <c r="W464" s="30" t="b">
        <v>0</v>
      </c>
      <c r="X464" s="30"/>
      <c r="Y464" s="30"/>
      <c r="Z464" s="30"/>
      <c r="AA464" s="30"/>
      <c r="AB464" s="30"/>
      <c r="AC464" s="50"/>
      <c r="AD464" s="30"/>
      <c r="AE464" s="12">
        <f t="shared" si="5"/>
        <v>0</v>
      </c>
      <c r="AF464" s="70">
        <f t="shared" si="6"/>
        <v>0</v>
      </c>
      <c r="AG464" s="76"/>
      <c r="AH464" s="76"/>
      <c r="AI464" s="76"/>
      <c r="AJ464" s="76"/>
      <c r="AK464" s="76"/>
      <c r="AL464" s="30"/>
      <c r="AM464" s="79"/>
      <c r="AN464" s="79"/>
      <c r="AO464" s="79"/>
    </row>
    <row r="465" hidden="1">
      <c r="A465" s="12" t="s">
        <v>74</v>
      </c>
      <c r="B465" s="64"/>
      <c r="C465" s="12" t="s">
        <v>248</v>
      </c>
      <c r="D465" s="12" t="str">
        <f>vlookup(C465,'List of Chargers'!$A$2:$B$5,2,FALSE)</f>
        <v>Roam Hub</v>
      </c>
      <c r="E465" s="12" t="s">
        <v>73</v>
      </c>
      <c r="F465" s="12" t="s">
        <v>75</v>
      </c>
      <c r="G465" s="12">
        <v>463.0</v>
      </c>
      <c r="H465" s="13" t="str">
        <f t="shared" si="1"/>
        <v>#RH-KE-A-463</v>
      </c>
      <c r="I465" s="13" t="str">
        <f t="shared" si="2"/>
        <v>FO-NBI-00#RH-KE-A-463</v>
      </c>
      <c r="J465" s="25"/>
      <c r="K465" s="66"/>
      <c r="L465" s="31"/>
      <c r="M465" s="31"/>
      <c r="N465" s="26" t="str">
        <f t="shared" si="3"/>
        <v>Roam Hub - </v>
      </c>
      <c r="O465" s="26" t="str">
        <f t="shared" si="4"/>
        <v>FO-NBI-00#RH-KE-A-463: Roam Hub - </v>
      </c>
      <c r="R465" s="53"/>
      <c r="S465" s="78" t="b">
        <v>0</v>
      </c>
      <c r="T465" s="78" t="b">
        <v>0</v>
      </c>
      <c r="U465" s="78" t="b">
        <v>0</v>
      </c>
      <c r="V465" s="30" t="b">
        <v>0</v>
      </c>
      <c r="W465" s="30" t="b">
        <v>0</v>
      </c>
      <c r="X465" s="30"/>
      <c r="Y465" s="30"/>
      <c r="Z465" s="30"/>
      <c r="AA465" s="30"/>
      <c r="AB465" s="30"/>
      <c r="AC465" s="50"/>
      <c r="AD465" s="30"/>
      <c r="AE465" s="12">
        <f t="shared" si="5"/>
        <v>0</v>
      </c>
      <c r="AF465" s="70">
        <f t="shared" si="6"/>
        <v>0</v>
      </c>
      <c r="AG465" s="76"/>
      <c r="AH465" s="76"/>
      <c r="AI465" s="76"/>
      <c r="AJ465" s="76"/>
      <c r="AK465" s="76"/>
      <c r="AL465" s="30"/>
      <c r="AM465" s="79"/>
      <c r="AN465" s="79"/>
      <c r="AO465" s="79"/>
    </row>
    <row r="466" hidden="1">
      <c r="A466" s="12" t="s">
        <v>74</v>
      </c>
      <c r="B466" s="64"/>
      <c r="C466" s="12" t="s">
        <v>248</v>
      </c>
      <c r="D466" s="12" t="str">
        <f>vlookup(C466,'List of Chargers'!$A$2:$B$5,2,FALSE)</f>
        <v>Roam Hub</v>
      </c>
      <c r="E466" s="12" t="s">
        <v>73</v>
      </c>
      <c r="F466" s="12" t="s">
        <v>75</v>
      </c>
      <c r="G466" s="12">
        <v>464.0</v>
      </c>
      <c r="H466" s="13" t="str">
        <f t="shared" si="1"/>
        <v>#RH-KE-A-464</v>
      </c>
      <c r="I466" s="13" t="str">
        <f t="shared" si="2"/>
        <v>FO-NBI-00#RH-KE-A-464</v>
      </c>
      <c r="J466" s="25"/>
      <c r="K466" s="66"/>
      <c r="L466" s="31"/>
      <c r="M466" s="31"/>
      <c r="N466" s="26" t="str">
        <f t="shared" si="3"/>
        <v>Roam Hub - </v>
      </c>
      <c r="O466" s="26" t="str">
        <f t="shared" si="4"/>
        <v>FO-NBI-00#RH-KE-A-464: Roam Hub - </v>
      </c>
      <c r="R466" s="53"/>
      <c r="S466" s="78" t="b">
        <v>0</v>
      </c>
      <c r="T466" s="78" t="b">
        <v>0</v>
      </c>
      <c r="U466" s="78" t="b">
        <v>0</v>
      </c>
      <c r="V466" s="30" t="b">
        <v>0</v>
      </c>
      <c r="W466" s="30" t="b">
        <v>0</v>
      </c>
      <c r="X466" s="30"/>
      <c r="Y466" s="30"/>
      <c r="Z466" s="30"/>
      <c r="AA466" s="30"/>
      <c r="AB466" s="30"/>
      <c r="AC466" s="50"/>
      <c r="AD466" s="30"/>
      <c r="AE466" s="12">
        <f t="shared" si="5"/>
        <v>0</v>
      </c>
      <c r="AF466" s="70">
        <f t="shared" si="6"/>
        <v>0</v>
      </c>
      <c r="AG466" s="76"/>
      <c r="AH466" s="76"/>
      <c r="AI466" s="76"/>
      <c r="AJ466" s="76"/>
      <c r="AK466" s="76"/>
      <c r="AL466" s="30"/>
      <c r="AM466" s="79"/>
      <c r="AN466" s="79"/>
      <c r="AO466" s="79"/>
    </row>
    <row r="467" hidden="1">
      <c r="A467" s="12" t="s">
        <v>74</v>
      </c>
      <c r="B467" s="64"/>
      <c r="C467" s="12" t="s">
        <v>248</v>
      </c>
      <c r="D467" s="12" t="str">
        <f>vlookup(C467,'List of Chargers'!$A$2:$B$5,2,FALSE)</f>
        <v>Roam Hub</v>
      </c>
      <c r="E467" s="12" t="s">
        <v>73</v>
      </c>
      <c r="F467" s="12" t="s">
        <v>75</v>
      </c>
      <c r="G467" s="12">
        <v>465.0</v>
      </c>
      <c r="H467" s="13" t="str">
        <f t="shared" si="1"/>
        <v>#RH-KE-A-465</v>
      </c>
      <c r="I467" s="13" t="str">
        <f t="shared" si="2"/>
        <v>FO-NBI-00#RH-KE-A-465</v>
      </c>
      <c r="J467" s="25"/>
      <c r="K467" s="66"/>
      <c r="L467" s="31"/>
      <c r="M467" s="31"/>
      <c r="N467" s="26" t="str">
        <f t="shared" si="3"/>
        <v>Roam Hub - </v>
      </c>
      <c r="O467" s="26" t="str">
        <f t="shared" si="4"/>
        <v>FO-NBI-00#RH-KE-A-465: Roam Hub - </v>
      </c>
      <c r="R467" s="53"/>
      <c r="S467" s="78" t="b">
        <v>0</v>
      </c>
      <c r="T467" s="78" t="b">
        <v>0</v>
      </c>
      <c r="U467" s="78" t="b">
        <v>0</v>
      </c>
      <c r="V467" s="30" t="b">
        <v>0</v>
      </c>
      <c r="W467" s="30" t="b">
        <v>0</v>
      </c>
      <c r="X467" s="30"/>
      <c r="Y467" s="30"/>
      <c r="Z467" s="30"/>
      <c r="AA467" s="30"/>
      <c r="AB467" s="30"/>
      <c r="AC467" s="50"/>
      <c r="AD467" s="30"/>
      <c r="AE467" s="12">
        <f t="shared" si="5"/>
        <v>0</v>
      </c>
      <c r="AF467" s="70">
        <f t="shared" si="6"/>
        <v>0</v>
      </c>
      <c r="AG467" s="76"/>
      <c r="AH467" s="76"/>
      <c r="AI467" s="76"/>
      <c r="AJ467" s="76"/>
      <c r="AK467" s="76"/>
      <c r="AL467" s="30"/>
      <c r="AM467" s="79"/>
      <c r="AN467" s="79"/>
      <c r="AO467" s="79"/>
    </row>
    <row r="468" hidden="1">
      <c r="A468" s="12" t="s">
        <v>74</v>
      </c>
      <c r="B468" s="64"/>
      <c r="C468" s="12" t="s">
        <v>248</v>
      </c>
      <c r="D468" s="12" t="str">
        <f>vlookup(C468,'List of Chargers'!$A$2:$B$5,2,FALSE)</f>
        <v>Roam Hub</v>
      </c>
      <c r="E468" s="12" t="s">
        <v>73</v>
      </c>
      <c r="F468" s="12" t="s">
        <v>75</v>
      </c>
      <c r="G468" s="12">
        <v>466.0</v>
      </c>
      <c r="H468" s="13" t="str">
        <f t="shared" si="1"/>
        <v>#RH-KE-A-466</v>
      </c>
      <c r="I468" s="13" t="str">
        <f t="shared" si="2"/>
        <v>FO-NBI-00#RH-KE-A-466</v>
      </c>
      <c r="J468" s="25"/>
      <c r="K468" s="66"/>
      <c r="L468" s="31"/>
      <c r="M468" s="31"/>
      <c r="N468" s="26" t="str">
        <f t="shared" si="3"/>
        <v>Roam Hub - </v>
      </c>
      <c r="O468" s="26" t="str">
        <f t="shared" si="4"/>
        <v>FO-NBI-00#RH-KE-A-466: Roam Hub - </v>
      </c>
      <c r="R468" s="53"/>
      <c r="S468" s="78" t="b">
        <v>0</v>
      </c>
      <c r="T468" s="78" t="b">
        <v>0</v>
      </c>
      <c r="U468" s="78" t="b">
        <v>0</v>
      </c>
      <c r="V468" s="30" t="b">
        <v>0</v>
      </c>
      <c r="W468" s="30" t="b">
        <v>0</v>
      </c>
      <c r="X468" s="30"/>
      <c r="Y468" s="30"/>
      <c r="Z468" s="30"/>
      <c r="AA468" s="30"/>
      <c r="AB468" s="30"/>
      <c r="AC468" s="50"/>
      <c r="AD468" s="30"/>
      <c r="AE468" s="12">
        <f t="shared" si="5"/>
        <v>0</v>
      </c>
      <c r="AF468" s="70">
        <f t="shared" si="6"/>
        <v>0</v>
      </c>
      <c r="AG468" s="76"/>
      <c r="AH468" s="76"/>
      <c r="AI468" s="76"/>
      <c r="AJ468" s="76"/>
      <c r="AK468" s="76"/>
      <c r="AL468" s="30"/>
      <c r="AM468" s="79"/>
      <c r="AN468" s="79"/>
      <c r="AO468" s="79"/>
    </row>
    <row r="469" hidden="1">
      <c r="A469" s="12" t="s">
        <v>74</v>
      </c>
      <c r="B469" s="64"/>
      <c r="C469" s="12" t="s">
        <v>248</v>
      </c>
      <c r="D469" s="12" t="str">
        <f>vlookup(C469,'List of Chargers'!$A$2:$B$5,2,FALSE)</f>
        <v>Roam Hub</v>
      </c>
      <c r="E469" s="12" t="s">
        <v>73</v>
      </c>
      <c r="F469" s="12" t="s">
        <v>75</v>
      </c>
      <c r="G469" s="12">
        <v>467.0</v>
      </c>
      <c r="H469" s="13" t="str">
        <f t="shared" si="1"/>
        <v>#RH-KE-A-467</v>
      </c>
      <c r="I469" s="13" t="str">
        <f t="shared" si="2"/>
        <v>FO-NBI-00#RH-KE-A-467</v>
      </c>
      <c r="J469" s="25"/>
      <c r="K469" s="66"/>
      <c r="L469" s="31"/>
      <c r="M469" s="31"/>
      <c r="N469" s="26" t="str">
        <f t="shared" si="3"/>
        <v>Roam Hub - </v>
      </c>
      <c r="O469" s="26" t="str">
        <f t="shared" si="4"/>
        <v>FO-NBI-00#RH-KE-A-467: Roam Hub - </v>
      </c>
      <c r="R469" s="53"/>
      <c r="S469" s="78" t="b">
        <v>0</v>
      </c>
      <c r="T469" s="78" t="b">
        <v>0</v>
      </c>
      <c r="U469" s="78" t="b">
        <v>0</v>
      </c>
      <c r="V469" s="30" t="b">
        <v>0</v>
      </c>
      <c r="W469" s="30" t="b">
        <v>0</v>
      </c>
      <c r="X469" s="30"/>
      <c r="Y469" s="30"/>
      <c r="Z469" s="30"/>
      <c r="AA469" s="30"/>
      <c r="AB469" s="30"/>
      <c r="AC469" s="50"/>
      <c r="AD469" s="30"/>
      <c r="AE469" s="12">
        <f t="shared" si="5"/>
        <v>0</v>
      </c>
      <c r="AF469" s="70">
        <f t="shared" si="6"/>
        <v>0</v>
      </c>
      <c r="AG469" s="76"/>
      <c r="AH469" s="76"/>
      <c r="AI469" s="76"/>
      <c r="AJ469" s="76"/>
      <c r="AK469" s="76"/>
      <c r="AL469" s="30"/>
      <c r="AM469" s="79"/>
      <c r="AN469" s="79"/>
      <c r="AO469" s="79"/>
    </row>
    <row r="470" hidden="1">
      <c r="A470" s="12" t="s">
        <v>74</v>
      </c>
      <c r="B470" s="64"/>
      <c r="C470" s="12" t="s">
        <v>248</v>
      </c>
      <c r="D470" s="12" t="str">
        <f>vlookup(C470,'List of Chargers'!$A$2:$B$5,2,FALSE)</f>
        <v>Roam Hub</v>
      </c>
      <c r="E470" s="12" t="s">
        <v>73</v>
      </c>
      <c r="F470" s="12" t="s">
        <v>75</v>
      </c>
      <c r="G470" s="12">
        <v>468.0</v>
      </c>
      <c r="H470" s="13" t="str">
        <f t="shared" si="1"/>
        <v>#RH-KE-A-468</v>
      </c>
      <c r="I470" s="13" t="str">
        <f t="shared" si="2"/>
        <v>FO-NBI-00#RH-KE-A-468</v>
      </c>
      <c r="J470" s="25"/>
      <c r="K470" s="66"/>
      <c r="L470" s="31"/>
      <c r="M470" s="31"/>
      <c r="N470" s="26" t="str">
        <f t="shared" si="3"/>
        <v>Roam Hub - </v>
      </c>
      <c r="O470" s="26" t="str">
        <f t="shared" si="4"/>
        <v>FO-NBI-00#RH-KE-A-468: Roam Hub - </v>
      </c>
      <c r="R470" s="53"/>
      <c r="S470" s="78" t="b">
        <v>0</v>
      </c>
      <c r="T470" s="78" t="b">
        <v>0</v>
      </c>
      <c r="U470" s="78" t="b">
        <v>0</v>
      </c>
      <c r="V470" s="30" t="b">
        <v>0</v>
      </c>
      <c r="W470" s="30" t="b">
        <v>0</v>
      </c>
      <c r="X470" s="30"/>
      <c r="Y470" s="30"/>
      <c r="Z470" s="30"/>
      <c r="AA470" s="30"/>
      <c r="AB470" s="30"/>
      <c r="AC470" s="50"/>
      <c r="AD470" s="30"/>
      <c r="AE470" s="12">
        <f t="shared" si="5"/>
        <v>0</v>
      </c>
      <c r="AF470" s="70">
        <f t="shared" si="6"/>
        <v>0</v>
      </c>
      <c r="AG470" s="76"/>
      <c r="AH470" s="76"/>
      <c r="AI470" s="76"/>
      <c r="AJ470" s="76"/>
      <c r="AK470" s="76"/>
      <c r="AL470" s="30"/>
      <c r="AM470" s="79"/>
      <c r="AN470" s="79"/>
      <c r="AO470" s="79"/>
    </row>
    <row r="471" hidden="1">
      <c r="A471" s="12" t="s">
        <v>74</v>
      </c>
      <c r="B471" s="64"/>
      <c r="C471" s="12" t="s">
        <v>248</v>
      </c>
      <c r="D471" s="12" t="str">
        <f>vlookup(C471,'List of Chargers'!$A$2:$B$5,2,FALSE)</f>
        <v>Roam Hub</v>
      </c>
      <c r="E471" s="12" t="s">
        <v>73</v>
      </c>
      <c r="F471" s="12" t="s">
        <v>75</v>
      </c>
      <c r="G471" s="12">
        <v>469.0</v>
      </c>
      <c r="H471" s="13" t="str">
        <f t="shared" si="1"/>
        <v>#RH-KE-A-469</v>
      </c>
      <c r="I471" s="13" t="str">
        <f t="shared" si="2"/>
        <v>FO-NBI-00#RH-KE-A-469</v>
      </c>
      <c r="J471" s="25"/>
      <c r="K471" s="66"/>
      <c r="L471" s="31"/>
      <c r="M471" s="31"/>
      <c r="N471" s="26" t="str">
        <f t="shared" si="3"/>
        <v>Roam Hub - </v>
      </c>
      <c r="O471" s="26" t="str">
        <f t="shared" si="4"/>
        <v>FO-NBI-00#RH-KE-A-469: Roam Hub - </v>
      </c>
      <c r="R471" s="53"/>
      <c r="S471" s="78" t="b">
        <v>0</v>
      </c>
      <c r="T471" s="78" t="b">
        <v>0</v>
      </c>
      <c r="U471" s="78" t="b">
        <v>0</v>
      </c>
      <c r="V471" s="30" t="b">
        <v>0</v>
      </c>
      <c r="W471" s="30" t="b">
        <v>0</v>
      </c>
      <c r="X471" s="30"/>
      <c r="Y471" s="30"/>
      <c r="Z471" s="30"/>
      <c r="AA471" s="30"/>
      <c r="AB471" s="30"/>
      <c r="AC471" s="50"/>
      <c r="AD471" s="30"/>
      <c r="AE471" s="12">
        <f t="shared" si="5"/>
        <v>0</v>
      </c>
      <c r="AF471" s="70">
        <f t="shared" si="6"/>
        <v>0</v>
      </c>
      <c r="AG471" s="76"/>
      <c r="AH471" s="76"/>
      <c r="AI471" s="76"/>
      <c r="AJ471" s="76"/>
      <c r="AK471" s="76"/>
      <c r="AL471" s="30"/>
      <c r="AM471" s="79"/>
      <c r="AN471" s="79"/>
      <c r="AO471" s="79"/>
    </row>
    <row r="472" hidden="1">
      <c r="A472" s="12" t="s">
        <v>74</v>
      </c>
      <c r="B472" s="64"/>
      <c r="C472" s="12" t="s">
        <v>248</v>
      </c>
      <c r="D472" s="12" t="str">
        <f>vlookup(C472,'List of Chargers'!$A$2:$B$5,2,FALSE)</f>
        <v>Roam Hub</v>
      </c>
      <c r="E472" s="12" t="s">
        <v>73</v>
      </c>
      <c r="F472" s="12" t="s">
        <v>75</v>
      </c>
      <c r="G472" s="12">
        <v>470.0</v>
      </c>
      <c r="H472" s="13" t="str">
        <f t="shared" si="1"/>
        <v>#RH-KE-A-470</v>
      </c>
      <c r="I472" s="13" t="str">
        <f t="shared" si="2"/>
        <v>FO-NBI-00#RH-KE-A-470</v>
      </c>
      <c r="J472" s="25"/>
      <c r="K472" s="66"/>
      <c r="L472" s="31"/>
      <c r="M472" s="31"/>
      <c r="N472" s="26" t="str">
        <f t="shared" si="3"/>
        <v>Roam Hub - </v>
      </c>
      <c r="O472" s="26" t="str">
        <f t="shared" si="4"/>
        <v>FO-NBI-00#RH-KE-A-470: Roam Hub - </v>
      </c>
      <c r="R472" s="53"/>
      <c r="S472" s="78" t="b">
        <v>0</v>
      </c>
      <c r="T472" s="78" t="b">
        <v>0</v>
      </c>
      <c r="U472" s="78" t="b">
        <v>0</v>
      </c>
      <c r="V472" s="30" t="b">
        <v>0</v>
      </c>
      <c r="W472" s="30" t="b">
        <v>0</v>
      </c>
      <c r="X472" s="30"/>
      <c r="Y472" s="30"/>
      <c r="Z472" s="30"/>
      <c r="AA472" s="30"/>
      <c r="AB472" s="30"/>
      <c r="AC472" s="50"/>
      <c r="AD472" s="30"/>
      <c r="AE472" s="12">
        <f t="shared" si="5"/>
        <v>0</v>
      </c>
      <c r="AF472" s="70">
        <f t="shared" si="6"/>
        <v>0</v>
      </c>
      <c r="AG472" s="76"/>
      <c r="AH472" s="76"/>
      <c r="AI472" s="76"/>
      <c r="AJ472" s="76"/>
      <c r="AK472" s="76"/>
      <c r="AL472" s="30"/>
      <c r="AM472" s="79"/>
      <c r="AN472" s="79"/>
      <c r="AO472" s="79"/>
    </row>
    <row r="473" hidden="1">
      <c r="A473" s="12" t="s">
        <v>74</v>
      </c>
      <c r="B473" s="64"/>
      <c r="C473" s="12" t="s">
        <v>248</v>
      </c>
      <c r="D473" s="12" t="str">
        <f>vlookup(C473,'List of Chargers'!$A$2:$B$5,2,FALSE)</f>
        <v>Roam Hub</v>
      </c>
      <c r="E473" s="12" t="s">
        <v>73</v>
      </c>
      <c r="F473" s="12" t="s">
        <v>75</v>
      </c>
      <c r="G473" s="12">
        <v>471.0</v>
      </c>
      <c r="H473" s="13" t="str">
        <f t="shared" si="1"/>
        <v>#RH-KE-A-471</v>
      </c>
      <c r="I473" s="13" t="str">
        <f t="shared" si="2"/>
        <v>FO-NBI-00#RH-KE-A-471</v>
      </c>
      <c r="J473" s="25"/>
      <c r="K473" s="66"/>
      <c r="L473" s="31"/>
      <c r="M473" s="31"/>
      <c r="N473" s="26" t="str">
        <f t="shared" si="3"/>
        <v>Roam Hub - </v>
      </c>
      <c r="O473" s="26" t="str">
        <f t="shared" si="4"/>
        <v>FO-NBI-00#RH-KE-A-471: Roam Hub - </v>
      </c>
      <c r="R473" s="53"/>
      <c r="S473" s="78" t="b">
        <v>0</v>
      </c>
      <c r="T473" s="78" t="b">
        <v>0</v>
      </c>
      <c r="U473" s="78" t="b">
        <v>0</v>
      </c>
      <c r="V473" s="30" t="b">
        <v>0</v>
      </c>
      <c r="W473" s="30" t="b">
        <v>0</v>
      </c>
      <c r="X473" s="30"/>
      <c r="Y473" s="30"/>
      <c r="Z473" s="30"/>
      <c r="AA473" s="30"/>
      <c r="AB473" s="30"/>
      <c r="AC473" s="50"/>
      <c r="AD473" s="30"/>
      <c r="AE473" s="12">
        <f t="shared" si="5"/>
        <v>0</v>
      </c>
      <c r="AF473" s="70">
        <f t="shared" si="6"/>
        <v>0</v>
      </c>
      <c r="AG473" s="76"/>
      <c r="AH473" s="76"/>
      <c r="AI473" s="76"/>
      <c r="AJ473" s="76"/>
      <c r="AK473" s="76"/>
      <c r="AL473" s="30"/>
      <c r="AM473" s="79"/>
      <c r="AN473" s="79"/>
      <c r="AO473" s="79"/>
    </row>
    <row r="474" hidden="1">
      <c r="A474" s="12" t="s">
        <v>74</v>
      </c>
      <c r="B474" s="64"/>
      <c r="C474" s="12" t="s">
        <v>248</v>
      </c>
      <c r="D474" s="12" t="str">
        <f>vlookup(C474,'List of Chargers'!$A$2:$B$5,2,FALSE)</f>
        <v>Roam Hub</v>
      </c>
      <c r="E474" s="12" t="s">
        <v>73</v>
      </c>
      <c r="F474" s="12" t="s">
        <v>75</v>
      </c>
      <c r="G474" s="12">
        <v>472.0</v>
      </c>
      <c r="H474" s="13" t="str">
        <f t="shared" si="1"/>
        <v>#RH-KE-A-472</v>
      </c>
      <c r="I474" s="13" t="str">
        <f t="shared" si="2"/>
        <v>FO-NBI-00#RH-KE-A-472</v>
      </c>
      <c r="J474" s="25"/>
      <c r="K474" s="66"/>
      <c r="L474" s="31"/>
      <c r="M474" s="31"/>
      <c r="N474" s="26" t="str">
        <f t="shared" si="3"/>
        <v>Roam Hub - </v>
      </c>
      <c r="O474" s="26" t="str">
        <f t="shared" si="4"/>
        <v>FO-NBI-00#RH-KE-A-472: Roam Hub - </v>
      </c>
      <c r="R474" s="53"/>
      <c r="S474" s="78" t="b">
        <v>0</v>
      </c>
      <c r="T474" s="78" t="b">
        <v>0</v>
      </c>
      <c r="U474" s="78" t="b">
        <v>0</v>
      </c>
      <c r="V474" s="30" t="b">
        <v>0</v>
      </c>
      <c r="W474" s="30" t="b">
        <v>0</v>
      </c>
      <c r="X474" s="30"/>
      <c r="Y474" s="30"/>
      <c r="Z474" s="30"/>
      <c r="AA474" s="30"/>
      <c r="AB474" s="30"/>
      <c r="AC474" s="50"/>
      <c r="AD474" s="30"/>
      <c r="AE474" s="12">
        <f t="shared" si="5"/>
        <v>0</v>
      </c>
      <c r="AF474" s="70">
        <f t="shared" si="6"/>
        <v>0</v>
      </c>
      <c r="AG474" s="76"/>
      <c r="AH474" s="76"/>
      <c r="AI474" s="76"/>
      <c r="AJ474" s="76"/>
      <c r="AK474" s="76"/>
      <c r="AL474" s="30"/>
      <c r="AM474" s="79"/>
      <c r="AN474" s="79"/>
      <c r="AO474" s="79"/>
    </row>
    <row r="475" hidden="1">
      <c r="A475" s="12" t="s">
        <v>74</v>
      </c>
      <c r="B475" s="64"/>
      <c r="C475" s="12" t="s">
        <v>248</v>
      </c>
      <c r="D475" s="12" t="str">
        <f>vlookup(C475,'List of Chargers'!$A$2:$B$5,2,FALSE)</f>
        <v>Roam Hub</v>
      </c>
      <c r="E475" s="12" t="s">
        <v>73</v>
      </c>
      <c r="F475" s="12" t="s">
        <v>75</v>
      </c>
      <c r="G475" s="12">
        <v>473.0</v>
      </c>
      <c r="H475" s="13" t="str">
        <f t="shared" si="1"/>
        <v>#RH-KE-A-473</v>
      </c>
      <c r="I475" s="13" t="str">
        <f t="shared" si="2"/>
        <v>FO-NBI-00#RH-KE-A-473</v>
      </c>
      <c r="J475" s="25"/>
      <c r="K475" s="66"/>
      <c r="L475" s="31"/>
      <c r="M475" s="31"/>
      <c r="N475" s="26" t="str">
        <f t="shared" si="3"/>
        <v>Roam Hub - </v>
      </c>
      <c r="O475" s="26" t="str">
        <f t="shared" si="4"/>
        <v>FO-NBI-00#RH-KE-A-473: Roam Hub - </v>
      </c>
      <c r="R475" s="53"/>
      <c r="S475" s="78" t="b">
        <v>0</v>
      </c>
      <c r="T475" s="78" t="b">
        <v>0</v>
      </c>
      <c r="U475" s="78" t="b">
        <v>0</v>
      </c>
      <c r="V475" s="30" t="b">
        <v>0</v>
      </c>
      <c r="W475" s="30" t="b">
        <v>0</v>
      </c>
      <c r="X475" s="30"/>
      <c r="Y475" s="30"/>
      <c r="Z475" s="30"/>
      <c r="AA475" s="30"/>
      <c r="AB475" s="30"/>
      <c r="AC475" s="50"/>
      <c r="AD475" s="30"/>
      <c r="AE475" s="12">
        <f t="shared" si="5"/>
        <v>0</v>
      </c>
      <c r="AF475" s="70">
        <f t="shared" si="6"/>
        <v>0</v>
      </c>
      <c r="AG475" s="76"/>
      <c r="AH475" s="76"/>
      <c r="AI475" s="76"/>
      <c r="AJ475" s="76"/>
      <c r="AK475" s="76"/>
      <c r="AL475" s="30"/>
      <c r="AM475" s="79"/>
      <c r="AN475" s="79"/>
      <c r="AO475" s="79"/>
    </row>
    <row r="476" hidden="1">
      <c r="A476" s="12" t="s">
        <v>74</v>
      </c>
      <c r="B476" s="64"/>
      <c r="C476" s="12" t="s">
        <v>248</v>
      </c>
      <c r="D476" s="12" t="str">
        <f>vlookup(C476,'List of Chargers'!$A$2:$B$5,2,FALSE)</f>
        <v>Roam Hub</v>
      </c>
      <c r="E476" s="12" t="s">
        <v>73</v>
      </c>
      <c r="F476" s="12" t="s">
        <v>75</v>
      </c>
      <c r="G476" s="12">
        <v>474.0</v>
      </c>
      <c r="H476" s="13" t="str">
        <f t="shared" si="1"/>
        <v>#RH-KE-A-474</v>
      </c>
      <c r="I476" s="13" t="str">
        <f t="shared" si="2"/>
        <v>FO-NBI-00#RH-KE-A-474</v>
      </c>
      <c r="J476" s="25"/>
      <c r="K476" s="66"/>
      <c r="L476" s="31"/>
      <c r="M476" s="31"/>
      <c r="N476" s="26" t="str">
        <f t="shared" si="3"/>
        <v>Roam Hub - </v>
      </c>
      <c r="O476" s="26" t="str">
        <f t="shared" si="4"/>
        <v>FO-NBI-00#RH-KE-A-474: Roam Hub - </v>
      </c>
      <c r="R476" s="53"/>
      <c r="S476" s="78" t="b">
        <v>0</v>
      </c>
      <c r="T476" s="78" t="b">
        <v>0</v>
      </c>
      <c r="U476" s="78" t="b">
        <v>0</v>
      </c>
      <c r="V476" s="30" t="b">
        <v>0</v>
      </c>
      <c r="W476" s="30" t="b">
        <v>0</v>
      </c>
      <c r="X476" s="30"/>
      <c r="Y476" s="30"/>
      <c r="Z476" s="30"/>
      <c r="AA476" s="30"/>
      <c r="AB476" s="30"/>
      <c r="AC476" s="50"/>
      <c r="AD476" s="30"/>
      <c r="AE476" s="12">
        <f t="shared" si="5"/>
        <v>0</v>
      </c>
      <c r="AF476" s="70">
        <f t="shared" si="6"/>
        <v>0</v>
      </c>
      <c r="AG476" s="76"/>
      <c r="AH476" s="76"/>
      <c r="AI476" s="76"/>
      <c r="AJ476" s="76"/>
      <c r="AK476" s="76"/>
      <c r="AL476" s="30"/>
      <c r="AM476" s="79"/>
      <c r="AN476" s="79"/>
      <c r="AO476" s="79"/>
    </row>
    <row r="477" hidden="1">
      <c r="A477" s="12" t="s">
        <v>74</v>
      </c>
      <c r="B477" s="64"/>
      <c r="C477" s="12" t="s">
        <v>248</v>
      </c>
      <c r="D477" s="12" t="str">
        <f>vlookup(C477,'List of Chargers'!$A$2:$B$5,2,FALSE)</f>
        <v>Roam Hub</v>
      </c>
      <c r="E477" s="12" t="s">
        <v>73</v>
      </c>
      <c r="F477" s="12" t="s">
        <v>75</v>
      </c>
      <c r="G477" s="12">
        <v>475.0</v>
      </c>
      <c r="H477" s="13" t="str">
        <f t="shared" si="1"/>
        <v>#RH-KE-A-475</v>
      </c>
      <c r="I477" s="13" t="str">
        <f t="shared" si="2"/>
        <v>FO-NBI-00#RH-KE-A-475</v>
      </c>
      <c r="J477" s="25"/>
      <c r="K477" s="66"/>
      <c r="L477" s="31"/>
      <c r="M477" s="31"/>
      <c r="N477" s="26" t="str">
        <f t="shared" si="3"/>
        <v>Roam Hub - </v>
      </c>
      <c r="O477" s="26" t="str">
        <f t="shared" si="4"/>
        <v>FO-NBI-00#RH-KE-A-475: Roam Hub - </v>
      </c>
      <c r="R477" s="53"/>
      <c r="S477" s="78" t="b">
        <v>0</v>
      </c>
      <c r="T477" s="78" t="b">
        <v>0</v>
      </c>
      <c r="U477" s="78" t="b">
        <v>0</v>
      </c>
      <c r="V477" s="30" t="b">
        <v>0</v>
      </c>
      <c r="W477" s="30" t="b">
        <v>0</v>
      </c>
      <c r="X477" s="30"/>
      <c r="Y477" s="30"/>
      <c r="Z477" s="30"/>
      <c r="AA477" s="30"/>
      <c r="AB477" s="30"/>
      <c r="AC477" s="50"/>
      <c r="AD477" s="30"/>
      <c r="AE477" s="12">
        <f t="shared" si="5"/>
        <v>0</v>
      </c>
      <c r="AF477" s="70">
        <f t="shared" si="6"/>
        <v>0</v>
      </c>
      <c r="AG477" s="76"/>
      <c r="AH477" s="76"/>
      <c r="AI477" s="76"/>
      <c r="AJ477" s="76"/>
      <c r="AK477" s="76"/>
      <c r="AL477" s="30"/>
      <c r="AM477" s="79"/>
      <c r="AN477" s="79"/>
      <c r="AO477" s="79"/>
    </row>
    <row r="478" hidden="1">
      <c r="A478" s="12" t="s">
        <v>74</v>
      </c>
      <c r="B478" s="64"/>
      <c r="C478" s="12" t="s">
        <v>248</v>
      </c>
      <c r="D478" s="12" t="str">
        <f>vlookup(C478,'List of Chargers'!$A$2:$B$5,2,FALSE)</f>
        <v>Roam Hub</v>
      </c>
      <c r="E478" s="12" t="s">
        <v>73</v>
      </c>
      <c r="F478" s="12" t="s">
        <v>75</v>
      </c>
      <c r="G478" s="12">
        <v>476.0</v>
      </c>
      <c r="H478" s="13" t="str">
        <f t="shared" si="1"/>
        <v>#RH-KE-A-476</v>
      </c>
      <c r="I478" s="13" t="str">
        <f t="shared" si="2"/>
        <v>FO-NBI-00#RH-KE-A-476</v>
      </c>
      <c r="J478" s="25"/>
      <c r="K478" s="66"/>
      <c r="L478" s="31"/>
      <c r="M478" s="31"/>
      <c r="N478" s="26" t="str">
        <f t="shared" si="3"/>
        <v>Roam Hub - </v>
      </c>
      <c r="O478" s="26" t="str">
        <f t="shared" si="4"/>
        <v>FO-NBI-00#RH-KE-A-476: Roam Hub - </v>
      </c>
      <c r="R478" s="53"/>
      <c r="S478" s="78" t="b">
        <v>0</v>
      </c>
      <c r="T478" s="78" t="b">
        <v>0</v>
      </c>
      <c r="U478" s="78" t="b">
        <v>0</v>
      </c>
      <c r="V478" s="30" t="b">
        <v>0</v>
      </c>
      <c r="W478" s="30" t="b">
        <v>0</v>
      </c>
      <c r="X478" s="30"/>
      <c r="Y478" s="30"/>
      <c r="Z478" s="30"/>
      <c r="AA478" s="30"/>
      <c r="AB478" s="30"/>
      <c r="AC478" s="50"/>
      <c r="AD478" s="30"/>
      <c r="AE478" s="12">
        <f t="shared" si="5"/>
        <v>0</v>
      </c>
      <c r="AF478" s="70">
        <f t="shared" si="6"/>
        <v>0</v>
      </c>
      <c r="AG478" s="76"/>
      <c r="AH478" s="76"/>
      <c r="AI478" s="76"/>
      <c r="AJ478" s="76"/>
      <c r="AK478" s="76"/>
      <c r="AL478" s="30"/>
      <c r="AM478" s="79"/>
      <c r="AN478" s="79"/>
      <c r="AO478" s="79"/>
    </row>
    <row r="479" hidden="1">
      <c r="A479" s="12" t="s">
        <v>74</v>
      </c>
      <c r="B479" s="64"/>
      <c r="C479" s="12" t="s">
        <v>248</v>
      </c>
      <c r="D479" s="12" t="str">
        <f>vlookup(C479,'List of Chargers'!$A$2:$B$5,2,FALSE)</f>
        <v>Roam Hub</v>
      </c>
      <c r="E479" s="12" t="s">
        <v>73</v>
      </c>
      <c r="F479" s="12" t="s">
        <v>75</v>
      </c>
      <c r="G479" s="12">
        <v>477.0</v>
      </c>
      <c r="H479" s="13" t="str">
        <f t="shared" si="1"/>
        <v>#RH-KE-A-477</v>
      </c>
      <c r="I479" s="13" t="str">
        <f t="shared" si="2"/>
        <v>FO-NBI-00#RH-KE-A-477</v>
      </c>
      <c r="J479" s="25"/>
      <c r="K479" s="66"/>
      <c r="L479" s="31"/>
      <c r="M479" s="31"/>
      <c r="N479" s="26" t="str">
        <f t="shared" si="3"/>
        <v>Roam Hub - </v>
      </c>
      <c r="O479" s="26" t="str">
        <f t="shared" si="4"/>
        <v>FO-NBI-00#RH-KE-A-477: Roam Hub - </v>
      </c>
      <c r="R479" s="53"/>
      <c r="S479" s="78" t="b">
        <v>0</v>
      </c>
      <c r="T479" s="78" t="b">
        <v>0</v>
      </c>
      <c r="U479" s="78" t="b">
        <v>0</v>
      </c>
      <c r="V479" s="30" t="b">
        <v>0</v>
      </c>
      <c r="W479" s="30" t="b">
        <v>0</v>
      </c>
      <c r="X479" s="30"/>
      <c r="Y479" s="30"/>
      <c r="Z479" s="30"/>
      <c r="AA479" s="30"/>
      <c r="AB479" s="30"/>
      <c r="AC479" s="50"/>
      <c r="AD479" s="30"/>
      <c r="AE479" s="12">
        <f t="shared" si="5"/>
        <v>0</v>
      </c>
      <c r="AF479" s="70">
        <f t="shared" si="6"/>
        <v>0</v>
      </c>
      <c r="AG479" s="76"/>
      <c r="AH479" s="76"/>
      <c r="AI479" s="76"/>
      <c r="AJ479" s="76"/>
      <c r="AK479" s="76"/>
      <c r="AL479" s="30"/>
      <c r="AM479" s="79"/>
      <c r="AN479" s="79"/>
      <c r="AO479" s="79"/>
    </row>
    <row r="480" hidden="1">
      <c r="A480" s="12" t="s">
        <v>74</v>
      </c>
      <c r="B480" s="64"/>
      <c r="C480" s="12" t="s">
        <v>248</v>
      </c>
      <c r="D480" s="12" t="str">
        <f>vlookup(C480,'List of Chargers'!$A$2:$B$5,2,FALSE)</f>
        <v>Roam Hub</v>
      </c>
      <c r="E480" s="12" t="s">
        <v>73</v>
      </c>
      <c r="F480" s="12" t="s">
        <v>75</v>
      </c>
      <c r="G480" s="12">
        <v>478.0</v>
      </c>
      <c r="H480" s="13" t="str">
        <f t="shared" si="1"/>
        <v>#RH-KE-A-478</v>
      </c>
      <c r="I480" s="13" t="str">
        <f t="shared" si="2"/>
        <v>FO-NBI-00#RH-KE-A-478</v>
      </c>
      <c r="J480" s="25"/>
      <c r="K480" s="66"/>
      <c r="L480" s="31"/>
      <c r="M480" s="31"/>
      <c r="N480" s="26" t="str">
        <f t="shared" si="3"/>
        <v>Roam Hub - </v>
      </c>
      <c r="O480" s="26" t="str">
        <f t="shared" si="4"/>
        <v>FO-NBI-00#RH-KE-A-478: Roam Hub - </v>
      </c>
      <c r="R480" s="53"/>
      <c r="S480" s="78" t="b">
        <v>0</v>
      </c>
      <c r="T480" s="78" t="b">
        <v>0</v>
      </c>
      <c r="U480" s="78" t="b">
        <v>0</v>
      </c>
      <c r="V480" s="30" t="b">
        <v>0</v>
      </c>
      <c r="W480" s="30" t="b">
        <v>0</v>
      </c>
      <c r="X480" s="30"/>
      <c r="Y480" s="30"/>
      <c r="Z480" s="30"/>
      <c r="AA480" s="30"/>
      <c r="AB480" s="30"/>
      <c r="AC480" s="50"/>
      <c r="AD480" s="30"/>
      <c r="AE480" s="12">
        <f t="shared" si="5"/>
        <v>0</v>
      </c>
      <c r="AF480" s="70">
        <f t="shared" si="6"/>
        <v>0</v>
      </c>
      <c r="AG480" s="76"/>
      <c r="AH480" s="76"/>
      <c r="AI480" s="76"/>
      <c r="AJ480" s="76"/>
      <c r="AK480" s="76"/>
      <c r="AL480" s="30"/>
      <c r="AM480" s="79"/>
      <c r="AN480" s="79"/>
      <c r="AO480" s="79"/>
    </row>
    <row r="481" hidden="1">
      <c r="A481" s="12" t="s">
        <v>74</v>
      </c>
      <c r="B481" s="64"/>
      <c r="C481" s="12" t="s">
        <v>248</v>
      </c>
      <c r="D481" s="12" t="str">
        <f>vlookup(C481,'List of Chargers'!$A$2:$B$5,2,FALSE)</f>
        <v>Roam Hub</v>
      </c>
      <c r="E481" s="12" t="s">
        <v>73</v>
      </c>
      <c r="F481" s="12" t="s">
        <v>75</v>
      </c>
      <c r="G481" s="12">
        <v>479.0</v>
      </c>
      <c r="H481" s="13" t="str">
        <f t="shared" si="1"/>
        <v>#RH-KE-A-479</v>
      </c>
      <c r="I481" s="13" t="str">
        <f t="shared" si="2"/>
        <v>FO-NBI-00#RH-KE-A-479</v>
      </c>
      <c r="J481" s="25"/>
      <c r="K481" s="66"/>
      <c r="L481" s="31"/>
      <c r="M481" s="31"/>
      <c r="N481" s="26" t="str">
        <f t="shared" si="3"/>
        <v>Roam Hub - </v>
      </c>
      <c r="O481" s="26" t="str">
        <f t="shared" si="4"/>
        <v>FO-NBI-00#RH-KE-A-479: Roam Hub - </v>
      </c>
      <c r="R481" s="53"/>
      <c r="S481" s="78" t="b">
        <v>0</v>
      </c>
      <c r="T481" s="78" t="b">
        <v>0</v>
      </c>
      <c r="U481" s="78" t="b">
        <v>0</v>
      </c>
      <c r="V481" s="30" t="b">
        <v>0</v>
      </c>
      <c r="W481" s="30" t="b">
        <v>0</v>
      </c>
      <c r="X481" s="30"/>
      <c r="Y481" s="30"/>
      <c r="Z481" s="30"/>
      <c r="AA481" s="30"/>
      <c r="AB481" s="30"/>
      <c r="AC481" s="50"/>
      <c r="AD481" s="30"/>
      <c r="AE481" s="12">
        <f t="shared" si="5"/>
        <v>0</v>
      </c>
      <c r="AF481" s="70">
        <f t="shared" si="6"/>
        <v>0</v>
      </c>
      <c r="AG481" s="76"/>
      <c r="AH481" s="76"/>
      <c r="AI481" s="76"/>
      <c r="AJ481" s="76"/>
      <c r="AK481" s="76"/>
      <c r="AL481" s="30"/>
      <c r="AM481" s="79"/>
      <c r="AN481" s="79"/>
      <c r="AO481" s="79"/>
    </row>
    <row r="482" hidden="1">
      <c r="A482" s="12" t="s">
        <v>74</v>
      </c>
      <c r="B482" s="64"/>
      <c r="C482" s="12" t="s">
        <v>248</v>
      </c>
      <c r="D482" s="12" t="str">
        <f>vlookup(C482,'List of Chargers'!$A$2:$B$5,2,FALSE)</f>
        <v>Roam Hub</v>
      </c>
      <c r="E482" s="12" t="s">
        <v>73</v>
      </c>
      <c r="F482" s="12" t="s">
        <v>75</v>
      </c>
      <c r="G482" s="12">
        <v>480.0</v>
      </c>
      <c r="H482" s="13" t="str">
        <f t="shared" si="1"/>
        <v>#RH-KE-A-480</v>
      </c>
      <c r="I482" s="13" t="str">
        <f t="shared" si="2"/>
        <v>FO-NBI-00#RH-KE-A-480</v>
      </c>
      <c r="J482" s="25"/>
      <c r="K482" s="66"/>
      <c r="L482" s="31"/>
      <c r="M482" s="31"/>
      <c r="N482" s="26" t="str">
        <f t="shared" si="3"/>
        <v>Roam Hub - </v>
      </c>
      <c r="O482" s="26" t="str">
        <f t="shared" si="4"/>
        <v>FO-NBI-00#RH-KE-A-480: Roam Hub - </v>
      </c>
      <c r="R482" s="53"/>
      <c r="S482" s="78" t="b">
        <v>0</v>
      </c>
      <c r="T482" s="78" t="b">
        <v>0</v>
      </c>
      <c r="U482" s="78" t="b">
        <v>0</v>
      </c>
      <c r="V482" s="30" t="b">
        <v>0</v>
      </c>
      <c r="W482" s="30" t="b">
        <v>0</v>
      </c>
      <c r="X482" s="30"/>
      <c r="Y482" s="30"/>
      <c r="Z482" s="30"/>
      <c r="AA482" s="30"/>
      <c r="AB482" s="30"/>
      <c r="AC482" s="50"/>
      <c r="AD482" s="30"/>
      <c r="AE482" s="12">
        <f t="shared" si="5"/>
        <v>0</v>
      </c>
      <c r="AF482" s="70">
        <f t="shared" si="6"/>
        <v>0</v>
      </c>
      <c r="AG482" s="76"/>
      <c r="AH482" s="76"/>
      <c r="AI482" s="76"/>
      <c r="AJ482" s="76"/>
      <c r="AK482" s="76"/>
      <c r="AL482" s="30"/>
      <c r="AM482" s="79"/>
      <c r="AN482" s="79"/>
      <c r="AO482" s="79"/>
    </row>
    <row r="483" hidden="1">
      <c r="A483" s="12" t="s">
        <v>74</v>
      </c>
      <c r="B483" s="64"/>
      <c r="C483" s="12" t="s">
        <v>248</v>
      </c>
      <c r="D483" s="12" t="str">
        <f>vlookup(C483,'List of Chargers'!$A$2:$B$5,2,FALSE)</f>
        <v>Roam Hub</v>
      </c>
      <c r="E483" s="12" t="s">
        <v>73</v>
      </c>
      <c r="F483" s="12" t="s">
        <v>75</v>
      </c>
      <c r="G483" s="12">
        <v>481.0</v>
      </c>
      <c r="H483" s="13" t="str">
        <f t="shared" si="1"/>
        <v>#RH-KE-A-481</v>
      </c>
      <c r="I483" s="13" t="str">
        <f t="shared" si="2"/>
        <v>FO-NBI-00#RH-KE-A-481</v>
      </c>
      <c r="J483" s="25"/>
      <c r="K483" s="66"/>
      <c r="L483" s="31"/>
      <c r="M483" s="31"/>
      <c r="N483" s="26" t="str">
        <f t="shared" si="3"/>
        <v>Roam Hub - </v>
      </c>
      <c r="O483" s="26" t="str">
        <f t="shared" si="4"/>
        <v>FO-NBI-00#RH-KE-A-481: Roam Hub - </v>
      </c>
      <c r="R483" s="53"/>
      <c r="S483" s="78" t="b">
        <v>0</v>
      </c>
      <c r="T483" s="78" t="b">
        <v>0</v>
      </c>
      <c r="U483" s="78" t="b">
        <v>0</v>
      </c>
      <c r="V483" s="30" t="b">
        <v>0</v>
      </c>
      <c r="W483" s="30" t="b">
        <v>0</v>
      </c>
      <c r="X483" s="30"/>
      <c r="Y483" s="30"/>
      <c r="Z483" s="30"/>
      <c r="AA483" s="30"/>
      <c r="AB483" s="30"/>
      <c r="AC483" s="50"/>
      <c r="AD483" s="30"/>
      <c r="AE483" s="12">
        <f t="shared" si="5"/>
        <v>0</v>
      </c>
      <c r="AF483" s="70">
        <f t="shared" si="6"/>
        <v>0</v>
      </c>
      <c r="AG483" s="76"/>
      <c r="AH483" s="76"/>
      <c r="AI483" s="76"/>
      <c r="AJ483" s="76"/>
      <c r="AK483" s="76"/>
      <c r="AL483" s="30"/>
      <c r="AM483" s="79"/>
      <c r="AN483" s="79"/>
      <c r="AO483" s="79"/>
    </row>
    <row r="484" hidden="1">
      <c r="A484" s="12" t="s">
        <v>74</v>
      </c>
      <c r="B484" s="64"/>
      <c r="C484" s="12" t="s">
        <v>248</v>
      </c>
      <c r="D484" s="12" t="str">
        <f>vlookup(C484,'List of Chargers'!$A$2:$B$5,2,FALSE)</f>
        <v>Roam Hub</v>
      </c>
      <c r="E484" s="12" t="s">
        <v>73</v>
      </c>
      <c r="F484" s="12" t="s">
        <v>75</v>
      </c>
      <c r="G484" s="12">
        <v>482.0</v>
      </c>
      <c r="H484" s="13" t="str">
        <f t="shared" si="1"/>
        <v>#RH-KE-A-482</v>
      </c>
      <c r="I484" s="13" t="str">
        <f t="shared" si="2"/>
        <v>FO-NBI-00#RH-KE-A-482</v>
      </c>
      <c r="J484" s="25"/>
      <c r="K484" s="66"/>
      <c r="L484" s="31"/>
      <c r="M484" s="31"/>
      <c r="N484" s="26" t="str">
        <f t="shared" si="3"/>
        <v>Roam Hub - </v>
      </c>
      <c r="O484" s="26" t="str">
        <f t="shared" si="4"/>
        <v>FO-NBI-00#RH-KE-A-482: Roam Hub - </v>
      </c>
      <c r="R484" s="53"/>
      <c r="S484" s="78" t="b">
        <v>0</v>
      </c>
      <c r="T484" s="78" t="b">
        <v>0</v>
      </c>
      <c r="U484" s="78" t="b">
        <v>0</v>
      </c>
      <c r="V484" s="30" t="b">
        <v>0</v>
      </c>
      <c r="W484" s="30" t="b">
        <v>0</v>
      </c>
      <c r="X484" s="30"/>
      <c r="Y484" s="30"/>
      <c r="Z484" s="30"/>
      <c r="AA484" s="30"/>
      <c r="AB484" s="30"/>
      <c r="AC484" s="50"/>
      <c r="AD484" s="30"/>
      <c r="AE484" s="12">
        <f t="shared" si="5"/>
        <v>0</v>
      </c>
      <c r="AF484" s="70">
        <f t="shared" si="6"/>
        <v>0</v>
      </c>
      <c r="AG484" s="76"/>
      <c r="AH484" s="76"/>
      <c r="AI484" s="76"/>
      <c r="AJ484" s="76"/>
      <c r="AK484" s="76"/>
      <c r="AL484" s="30"/>
      <c r="AM484" s="79"/>
      <c r="AN484" s="79"/>
      <c r="AO484" s="79"/>
    </row>
    <row r="485" hidden="1">
      <c r="A485" s="12" t="s">
        <v>74</v>
      </c>
      <c r="B485" s="64"/>
      <c r="C485" s="12" t="s">
        <v>248</v>
      </c>
      <c r="D485" s="12" t="str">
        <f>vlookup(C485,'List of Chargers'!$A$2:$B$5,2,FALSE)</f>
        <v>Roam Hub</v>
      </c>
      <c r="E485" s="12" t="s">
        <v>73</v>
      </c>
      <c r="F485" s="12" t="s">
        <v>75</v>
      </c>
      <c r="G485" s="12">
        <v>483.0</v>
      </c>
      <c r="H485" s="13" t="str">
        <f t="shared" si="1"/>
        <v>#RH-KE-A-483</v>
      </c>
      <c r="I485" s="13" t="str">
        <f t="shared" si="2"/>
        <v>FO-NBI-00#RH-KE-A-483</v>
      </c>
      <c r="J485" s="25"/>
      <c r="K485" s="66"/>
      <c r="L485" s="31"/>
      <c r="M485" s="31"/>
      <c r="N485" s="26" t="str">
        <f t="shared" si="3"/>
        <v>Roam Hub - </v>
      </c>
      <c r="O485" s="26" t="str">
        <f t="shared" si="4"/>
        <v>FO-NBI-00#RH-KE-A-483: Roam Hub - </v>
      </c>
      <c r="R485" s="53"/>
      <c r="S485" s="78" t="b">
        <v>0</v>
      </c>
      <c r="T485" s="78" t="b">
        <v>0</v>
      </c>
      <c r="U485" s="78" t="b">
        <v>0</v>
      </c>
      <c r="V485" s="30" t="b">
        <v>0</v>
      </c>
      <c r="W485" s="30" t="b">
        <v>0</v>
      </c>
      <c r="X485" s="30"/>
      <c r="Y485" s="30"/>
      <c r="Z485" s="30"/>
      <c r="AA485" s="30"/>
      <c r="AB485" s="30"/>
      <c r="AC485" s="50"/>
      <c r="AD485" s="30"/>
      <c r="AE485" s="12">
        <f t="shared" si="5"/>
        <v>0</v>
      </c>
      <c r="AF485" s="70">
        <f t="shared" si="6"/>
        <v>0</v>
      </c>
      <c r="AG485" s="76"/>
      <c r="AH485" s="76"/>
      <c r="AI485" s="76"/>
      <c r="AJ485" s="76"/>
      <c r="AK485" s="76"/>
      <c r="AL485" s="30"/>
      <c r="AM485" s="79"/>
      <c r="AN485" s="79"/>
      <c r="AO485" s="79"/>
    </row>
    <row r="486" hidden="1">
      <c r="A486" s="12" t="s">
        <v>74</v>
      </c>
      <c r="B486" s="64"/>
      <c r="C486" s="12" t="s">
        <v>248</v>
      </c>
      <c r="D486" s="12" t="str">
        <f>vlookup(C486,'List of Chargers'!$A$2:$B$5,2,FALSE)</f>
        <v>Roam Hub</v>
      </c>
      <c r="E486" s="12" t="s">
        <v>73</v>
      </c>
      <c r="F486" s="12" t="s">
        <v>75</v>
      </c>
      <c r="G486" s="12">
        <v>484.0</v>
      </c>
      <c r="H486" s="13" t="str">
        <f t="shared" si="1"/>
        <v>#RH-KE-A-484</v>
      </c>
      <c r="I486" s="13" t="str">
        <f t="shared" si="2"/>
        <v>FO-NBI-00#RH-KE-A-484</v>
      </c>
      <c r="J486" s="25"/>
      <c r="K486" s="66"/>
      <c r="L486" s="31"/>
      <c r="M486" s="31"/>
      <c r="N486" s="26" t="str">
        <f t="shared" si="3"/>
        <v>Roam Hub - </v>
      </c>
      <c r="O486" s="26" t="str">
        <f t="shared" si="4"/>
        <v>FO-NBI-00#RH-KE-A-484: Roam Hub - </v>
      </c>
      <c r="R486" s="53"/>
      <c r="S486" s="78" t="b">
        <v>0</v>
      </c>
      <c r="T486" s="78" t="b">
        <v>0</v>
      </c>
      <c r="U486" s="78" t="b">
        <v>0</v>
      </c>
      <c r="V486" s="30" t="b">
        <v>0</v>
      </c>
      <c r="W486" s="30" t="b">
        <v>0</v>
      </c>
      <c r="X486" s="30"/>
      <c r="Y486" s="30"/>
      <c r="Z486" s="30"/>
      <c r="AA486" s="30"/>
      <c r="AB486" s="30"/>
      <c r="AC486" s="50"/>
      <c r="AD486" s="30"/>
      <c r="AE486" s="12">
        <f t="shared" si="5"/>
        <v>0</v>
      </c>
      <c r="AF486" s="70">
        <f t="shared" si="6"/>
        <v>0</v>
      </c>
      <c r="AG486" s="76"/>
      <c r="AH486" s="76"/>
      <c r="AI486" s="76"/>
      <c r="AJ486" s="76"/>
      <c r="AK486" s="76"/>
      <c r="AL486" s="30"/>
      <c r="AM486" s="79"/>
      <c r="AN486" s="79"/>
      <c r="AO486" s="79"/>
    </row>
    <row r="487" hidden="1">
      <c r="A487" s="12" t="s">
        <v>74</v>
      </c>
      <c r="B487" s="64"/>
      <c r="C487" s="12" t="s">
        <v>248</v>
      </c>
      <c r="D487" s="12" t="str">
        <f>vlookup(C487,'List of Chargers'!$A$2:$B$5,2,FALSE)</f>
        <v>Roam Hub</v>
      </c>
      <c r="E487" s="12" t="s">
        <v>73</v>
      </c>
      <c r="F487" s="12" t="s">
        <v>75</v>
      </c>
      <c r="G487" s="12">
        <v>485.0</v>
      </c>
      <c r="H487" s="13" t="str">
        <f t="shared" si="1"/>
        <v>#RH-KE-A-485</v>
      </c>
      <c r="I487" s="13" t="str">
        <f t="shared" si="2"/>
        <v>FO-NBI-00#RH-KE-A-485</v>
      </c>
      <c r="J487" s="25"/>
      <c r="K487" s="66"/>
      <c r="L487" s="31"/>
      <c r="M487" s="31"/>
      <c r="N487" s="26" t="str">
        <f t="shared" si="3"/>
        <v>Roam Hub - </v>
      </c>
      <c r="O487" s="26" t="str">
        <f t="shared" si="4"/>
        <v>FO-NBI-00#RH-KE-A-485: Roam Hub - </v>
      </c>
      <c r="R487" s="53"/>
      <c r="S487" s="78" t="b">
        <v>0</v>
      </c>
      <c r="T487" s="78" t="b">
        <v>0</v>
      </c>
      <c r="U487" s="78" t="b">
        <v>0</v>
      </c>
      <c r="V487" s="30" t="b">
        <v>0</v>
      </c>
      <c r="W487" s="30" t="b">
        <v>0</v>
      </c>
      <c r="X487" s="30"/>
      <c r="Y487" s="30"/>
      <c r="Z487" s="30"/>
      <c r="AA487" s="30"/>
      <c r="AB487" s="30"/>
      <c r="AC487" s="50"/>
      <c r="AD487" s="30"/>
      <c r="AE487" s="12">
        <f t="shared" si="5"/>
        <v>0</v>
      </c>
      <c r="AF487" s="70">
        <f t="shared" si="6"/>
        <v>0</v>
      </c>
      <c r="AG487" s="76"/>
      <c r="AH487" s="76"/>
      <c r="AI487" s="76"/>
      <c r="AJ487" s="76"/>
      <c r="AK487" s="76"/>
      <c r="AL487" s="30"/>
      <c r="AM487" s="79"/>
      <c r="AN487" s="79"/>
      <c r="AO487" s="79"/>
    </row>
    <row r="488" hidden="1">
      <c r="A488" s="12" t="s">
        <v>74</v>
      </c>
      <c r="B488" s="64"/>
      <c r="C488" s="12" t="s">
        <v>248</v>
      </c>
      <c r="D488" s="12" t="str">
        <f>vlookup(C488,'List of Chargers'!$A$2:$B$5,2,FALSE)</f>
        <v>Roam Hub</v>
      </c>
      <c r="E488" s="12" t="s">
        <v>73</v>
      </c>
      <c r="F488" s="12" t="s">
        <v>75</v>
      </c>
      <c r="G488" s="12">
        <v>486.0</v>
      </c>
      <c r="H488" s="13" t="str">
        <f t="shared" si="1"/>
        <v>#RH-KE-A-486</v>
      </c>
      <c r="I488" s="13" t="str">
        <f t="shared" si="2"/>
        <v>FO-NBI-00#RH-KE-A-486</v>
      </c>
      <c r="J488" s="25"/>
      <c r="K488" s="66"/>
      <c r="L488" s="31"/>
      <c r="M488" s="31"/>
      <c r="N488" s="26" t="str">
        <f t="shared" si="3"/>
        <v>Roam Hub - </v>
      </c>
      <c r="O488" s="26" t="str">
        <f t="shared" si="4"/>
        <v>FO-NBI-00#RH-KE-A-486: Roam Hub - </v>
      </c>
      <c r="R488" s="53"/>
      <c r="S488" s="78" t="b">
        <v>0</v>
      </c>
      <c r="T488" s="78" t="b">
        <v>0</v>
      </c>
      <c r="U488" s="78" t="b">
        <v>0</v>
      </c>
      <c r="V488" s="30" t="b">
        <v>0</v>
      </c>
      <c r="W488" s="30" t="b">
        <v>0</v>
      </c>
      <c r="X488" s="30"/>
      <c r="Y488" s="30"/>
      <c r="Z488" s="30"/>
      <c r="AA488" s="30"/>
      <c r="AB488" s="30"/>
      <c r="AC488" s="50"/>
      <c r="AD488" s="30"/>
      <c r="AE488" s="12">
        <f t="shared" si="5"/>
        <v>0</v>
      </c>
      <c r="AF488" s="70">
        <f t="shared" si="6"/>
        <v>0</v>
      </c>
      <c r="AG488" s="76"/>
      <c r="AH488" s="76"/>
      <c r="AI488" s="76"/>
      <c r="AJ488" s="76"/>
      <c r="AK488" s="76"/>
      <c r="AL488" s="30"/>
      <c r="AM488" s="79"/>
      <c r="AN488" s="79"/>
      <c r="AO488" s="79"/>
    </row>
    <row r="489" hidden="1">
      <c r="A489" s="12" t="s">
        <v>74</v>
      </c>
      <c r="B489" s="64"/>
      <c r="C489" s="12" t="s">
        <v>248</v>
      </c>
      <c r="D489" s="12" t="str">
        <f>vlookup(C489,'List of Chargers'!$A$2:$B$5,2,FALSE)</f>
        <v>Roam Hub</v>
      </c>
      <c r="E489" s="12" t="s">
        <v>73</v>
      </c>
      <c r="F489" s="12" t="s">
        <v>75</v>
      </c>
      <c r="G489" s="12">
        <v>487.0</v>
      </c>
      <c r="H489" s="13" t="str">
        <f t="shared" si="1"/>
        <v>#RH-KE-A-487</v>
      </c>
      <c r="I489" s="13" t="str">
        <f t="shared" si="2"/>
        <v>FO-NBI-00#RH-KE-A-487</v>
      </c>
      <c r="J489" s="25"/>
      <c r="K489" s="66"/>
      <c r="L489" s="31"/>
      <c r="M489" s="31"/>
      <c r="N489" s="26" t="str">
        <f t="shared" si="3"/>
        <v>Roam Hub - </v>
      </c>
      <c r="O489" s="26" t="str">
        <f t="shared" si="4"/>
        <v>FO-NBI-00#RH-KE-A-487: Roam Hub - </v>
      </c>
      <c r="R489" s="53"/>
      <c r="S489" s="78" t="b">
        <v>0</v>
      </c>
      <c r="T489" s="78" t="b">
        <v>0</v>
      </c>
      <c r="U489" s="78" t="b">
        <v>0</v>
      </c>
      <c r="V489" s="30" t="b">
        <v>0</v>
      </c>
      <c r="W489" s="30" t="b">
        <v>0</v>
      </c>
      <c r="X489" s="30"/>
      <c r="Y489" s="30"/>
      <c r="Z489" s="30"/>
      <c r="AA489" s="30"/>
      <c r="AB489" s="30"/>
      <c r="AC489" s="50"/>
      <c r="AD489" s="30"/>
      <c r="AE489" s="12">
        <f t="shared" si="5"/>
        <v>0</v>
      </c>
      <c r="AF489" s="70">
        <f t="shared" si="6"/>
        <v>0</v>
      </c>
      <c r="AG489" s="76"/>
      <c r="AH489" s="76"/>
      <c r="AI489" s="76"/>
      <c r="AJ489" s="76"/>
      <c r="AK489" s="76"/>
      <c r="AL489" s="30"/>
      <c r="AM489" s="79"/>
      <c r="AN489" s="79"/>
      <c r="AO489" s="79"/>
    </row>
    <row r="490" hidden="1">
      <c r="A490" s="12" t="s">
        <v>74</v>
      </c>
      <c r="B490" s="64"/>
      <c r="C490" s="12" t="s">
        <v>248</v>
      </c>
      <c r="D490" s="12" t="str">
        <f>vlookup(C490,'List of Chargers'!$A$2:$B$5,2,FALSE)</f>
        <v>Roam Hub</v>
      </c>
      <c r="E490" s="12" t="s">
        <v>73</v>
      </c>
      <c r="F490" s="12" t="s">
        <v>75</v>
      </c>
      <c r="G490" s="12">
        <v>488.0</v>
      </c>
      <c r="H490" s="13" t="str">
        <f t="shared" si="1"/>
        <v>#RH-KE-A-488</v>
      </c>
      <c r="I490" s="13" t="str">
        <f t="shared" si="2"/>
        <v>FO-NBI-00#RH-KE-A-488</v>
      </c>
      <c r="J490" s="25"/>
      <c r="K490" s="66"/>
      <c r="L490" s="31"/>
      <c r="M490" s="31"/>
      <c r="N490" s="26" t="str">
        <f t="shared" si="3"/>
        <v>Roam Hub - </v>
      </c>
      <c r="O490" s="26" t="str">
        <f t="shared" si="4"/>
        <v>FO-NBI-00#RH-KE-A-488: Roam Hub - </v>
      </c>
      <c r="R490" s="53"/>
      <c r="S490" s="78" t="b">
        <v>0</v>
      </c>
      <c r="T490" s="78" t="b">
        <v>0</v>
      </c>
      <c r="U490" s="78" t="b">
        <v>0</v>
      </c>
      <c r="V490" s="30" t="b">
        <v>0</v>
      </c>
      <c r="W490" s="30" t="b">
        <v>0</v>
      </c>
      <c r="X490" s="30"/>
      <c r="Y490" s="30"/>
      <c r="Z490" s="30"/>
      <c r="AA490" s="30"/>
      <c r="AB490" s="30"/>
      <c r="AC490" s="50"/>
      <c r="AD490" s="30"/>
      <c r="AE490" s="12">
        <f t="shared" si="5"/>
        <v>0</v>
      </c>
      <c r="AF490" s="70">
        <f t="shared" si="6"/>
        <v>0</v>
      </c>
      <c r="AG490" s="76"/>
      <c r="AH490" s="76"/>
      <c r="AI490" s="76"/>
      <c r="AJ490" s="76"/>
      <c r="AK490" s="76"/>
      <c r="AL490" s="30"/>
      <c r="AM490" s="79"/>
      <c r="AN490" s="79"/>
      <c r="AO490" s="79"/>
    </row>
    <row r="491" hidden="1">
      <c r="A491" s="12" t="s">
        <v>74</v>
      </c>
      <c r="B491" s="64"/>
      <c r="C491" s="12" t="s">
        <v>248</v>
      </c>
      <c r="D491" s="12" t="str">
        <f>vlookup(C491,'List of Chargers'!$A$2:$B$5,2,FALSE)</f>
        <v>Roam Hub</v>
      </c>
      <c r="E491" s="12" t="s">
        <v>73</v>
      </c>
      <c r="F491" s="12" t="s">
        <v>75</v>
      </c>
      <c r="G491" s="12">
        <v>489.0</v>
      </c>
      <c r="H491" s="13" t="str">
        <f t="shared" si="1"/>
        <v>#RH-KE-A-489</v>
      </c>
      <c r="I491" s="13" t="str">
        <f t="shared" si="2"/>
        <v>FO-NBI-00#RH-KE-A-489</v>
      </c>
      <c r="J491" s="25"/>
      <c r="K491" s="66"/>
      <c r="L491" s="31"/>
      <c r="M491" s="31"/>
      <c r="N491" s="26" t="str">
        <f t="shared" si="3"/>
        <v>Roam Hub - </v>
      </c>
      <c r="O491" s="26" t="str">
        <f t="shared" si="4"/>
        <v>FO-NBI-00#RH-KE-A-489: Roam Hub - </v>
      </c>
      <c r="R491" s="53"/>
      <c r="S491" s="78" t="b">
        <v>0</v>
      </c>
      <c r="T491" s="78" t="b">
        <v>0</v>
      </c>
      <c r="U491" s="78" t="b">
        <v>0</v>
      </c>
      <c r="V491" s="30" t="b">
        <v>0</v>
      </c>
      <c r="W491" s="30" t="b">
        <v>0</v>
      </c>
      <c r="X491" s="30"/>
      <c r="Y491" s="30"/>
      <c r="Z491" s="30"/>
      <c r="AA491" s="30"/>
      <c r="AB491" s="30"/>
      <c r="AC491" s="50"/>
      <c r="AD491" s="30"/>
      <c r="AE491" s="12">
        <f t="shared" si="5"/>
        <v>0</v>
      </c>
      <c r="AF491" s="70">
        <f t="shared" si="6"/>
        <v>0</v>
      </c>
      <c r="AG491" s="76"/>
      <c r="AH491" s="76"/>
      <c r="AI491" s="76"/>
      <c r="AJ491" s="76"/>
      <c r="AK491" s="76"/>
      <c r="AL491" s="30"/>
      <c r="AM491" s="79"/>
      <c r="AN491" s="79"/>
      <c r="AO491" s="79"/>
    </row>
    <row r="492" hidden="1">
      <c r="A492" s="12" t="s">
        <v>74</v>
      </c>
      <c r="B492" s="64"/>
      <c r="C492" s="12" t="s">
        <v>248</v>
      </c>
      <c r="D492" s="12" t="str">
        <f>vlookup(C492,'List of Chargers'!$A$2:$B$5,2,FALSE)</f>
        <v>Roam Hub</v>
      </c>
      <c r="E492" s="12" t="s">
        <v>73</v>
      </c>
      <c r="F492" s="12" t="s">
        <v>75</v>
      </c>
      <c r="G492" s="12">
        <v>490.0</v>
      </c>
      <c r="H492" s="13" t="str">
        <f t="shared" si="1"/>
        <v>#RH-KE-A-490</v>
      </c>
      <c r="I492" s="13" t="str">
        <f t="shared" si="2"/>
        <v>FO-NBI-00#RH-KE-A-490</v>
      </c>
      <c r="J492" s="25"/>
      <c r="K492" s="66"/>
      <c r="L492" s="31"/>
      <c r="M492" s="31"/>
      <c r="N492" s="26" t="str">
        <f t="shared" si="3"/>
        <v>Roam Hub - </v>
      </c>
      <c r="O492" s="26" t="str">
        <f t="shared" si="4"/>
        <v>FO-NBI-00#RH-KE-A-490: Roam Hub - </v>
      </c>
      <c r="R492" s="53"/>
      <c r="S492" s="78" t="b">
        <v>0</v>
      </c>
      <c r="T492" s="78" t="b">
        <v>0</v>
      </c>
      <c r="U492" s="78" t="b">
        <v>0</v>
      </c>
      <c r="V492" s="30" t="b">
        <v>0</v>
      </c>
      <c r="W492" s="30" t="b">
        <v>0</v>
      </c>
      <c r="X492" s="30"/>
      <c r="Y492" s="30"/>
      <c r="Z492" s="30"/>
      <c r="AA492" s="30"/>
      <c r="AB492" s="30"/>
      <c r="AC492" s="50"/>
      <c r="AD492" s="30"/>
      <c r="AE492" s="12">
        <f t="shared" si="5"/>
        <v>0</v>
      </c>
      <c r="AF492" s="70">
        <f t="shared" si="6"/>
        <v>0</v>
      </c>
      <c r="AG492" s="76"/>
      <c r="AH492" s="76"/>
      <c r="AI492" s="76"/>
      <c r="AJ492" s="76"/>
      <c r="AK492" s="76"/>
      <c r="AL492" s="30"/>
      <c r="AM492" s="79"/>
      <c r="AN492" s="79"/>
      <c r="AO492" s="79"/>
    </row>
    <row r="493" hidden="1">
      <c r="A493" s="12" t="s">
        <v>74</v>
      </c>
      <c r="B493" s="64"/>
      <c r="C493" s="12" t="s">
        <v>248</v>
      </c>
      <c r="D493" s="12" t="str">
        <f>vlookup(C493,'List of Chargers'!$A$2:$B$5,2,FALSE)</f>
        <v>Roam Hub</v>
      </c>
      <c r="E493" s="12" t="s">
        <v>73</v>
      </c>
      <c r="F493" s="12" t="s">
        <v>75</v>
      </c>
      <c r="G493" s="12">
        <v>491.0</v>
      </c>
      <c r="H493" s="13" t="str">
        <f t="shared" si="1"/>
        <v>#RH-KE-A-491</v>
      </c>
      <c r="I493" s="13" t="str">
        <f t="shared" si="2"/>
        <v>FO-NBI-00#RH-KE-A-491</v>
      </c>
      <c r="J493" s="25"/>
      <c r="K493" s="66"/>
      <c r="L493" s="31"/>
      <c r="M493" s="31"/>
      <c r="N493" s="26" t="str">
        <f t="shared" si="3"/>
        <v>Roam Hub - </v>
      </c>
      <c r="O493" s="26" t="str">
        <f t="shared" si="4"/>
        <v>FO-NBI-00#RH-KE-A-491: Roam Hub - </v>
      </c>
      <c r="R493" s="53"/>
      <c r="S493" s="78" t="b">
        <v>0</v>
      </c>
      <c r="T493" s="78" t="b">
        <v>0</v>
      </c>
      <c r="U493" s="78" t="b">
        <v>0</v>
      </c>
      <c r="V493" s="30" t="b">
        <v>0</v>
      </c>
      <c r="W493" s="30" t="b">
        <v>0</v>
      </c>
      <c r="X493" s="30"/>
      <c r="Y493" s="30"/>
      <c r="Z493" s="30"/>
      <c r="AA493" s="30"/>
      <c r="AB493" s="30"/>
      <c r="AC493" s="50"/>
      <c r="AD493" s="30"/>
      <c r="AE493" s="12">
        <f t="shared" si="5"/>
        <v>0</v>
      </c>
      <c r="AF493" s="70">
        <f t="shared" si="6"/>
        <v>0</v>
      </c>
      <c r="AG493" s="76"/>
      <c r="AH493" s="76"/>
      <c r="AI493" s="76"/>
      <c r="AJ493" s="76"/>
      <c r="AK493" s="76"/>
      <c r="AL493" s="30"/>
      <c r="AM493" s="79"/>
      <c r="AN493" s="79"/>
      <c r="AO493" s="79"/>
    </row>
    <row r="494" hidden="1">
      <c r="A494" s="12" t="s">
        <v>74</v>
      </c>
      <c r="B494" s="64"/>
      <c r="C494" s="12" t="s">
        <v>248</v>
      </c>
      <c r="D494" s="12" t="str">
        <f>vlookup(C494,'List of Chargers'!$A$2:$B$5,2,FALSE)</f>
        <v>Roam Hub</v>
      </c>
      <c r="E494" s="12" t="s">
        <v>73</v>
      </c>
      <c r="F494" s="12" t="s">
        <v>75</v>
      </c>
      <c r="G494" s="12">
        <v>492.0</v>
      </c>
      <c r="H494" s="13" t="str">
        <f t="shared" si="1"/>
        <v>#RH-KE-A-492</v>
      </c>
      <c r="I494" s="13" t="str">
        <f t="shared" si="2"/>
        <v>FO-NBI-00#RH-KE-A-492</v>
      </c>
      <c r="J494" s="25"/>
      <c r="K494" s="66"/>
      <c r="L494" s="31"/>
      <c r="M494" s="31"/>
      <c r="N494" s="26" t="str">
        <f t="shared" si="3"/>
        <v>Roam Hub - </v>
      </c>
      <c r="O494" s="26" t="str">
        <f t="shared" si="4"/>
        <v>FO-NBI-00#RH-KE-A-492: Roam Hub - </v>
      </c>
      <c r="R494" s="53"/>
      <c r="S494" s="78" t="b">
        <v>0</v>
      </c>
      <c r="T494" s="78" t="b">
        <v>0</v>
      </c>
      <c r="U494" s="78" t="b">
        <v>0</v>
      </c>
      <c r="V494" s="30" t="b">
        <v>0</v>
      </c>
      <c r="W494" s="30" t="b">
        <v>0</v>
      </c>
      <c r="X494" s="30"/>
      <c r="Y494" s="30"/>
      <c r="Z494" s="30"/>
      <c r="AA494" s="30"/>
      <c r="AB494" s="30"/>
      <c r="AC494" s="50"/>
      <c r="AD494" s="30"/>
      <c r="AE494" s="12">
        <f t="shared" si="5"/>
        <v>0</v>
      </c>
      <c r="AF494" s="70">
        <f t="shared" si="6"/>
        <v>0</v>
      </c>
      <c r="AG494" s="76"/>
      <c r="AH494" s="76"/>
      <c r="AI494" s="76"/>
      <c r="AJ494" s="76"/>
      <c r="AK494" s="76"/>
      <c r="AL494" s="30"/>
      <c r="AM494" s="79"/>
      <c r="AN494" s="79"/>
      <c r="AO494" s="79"/>
    </row>
    <row r="495" hidden="1">
      <c r="A495" s="12" t="s">
        <v>74</v>
      </c>
      <c r="B495" s="64"/>
      <c r="C495" s="12" t="s">
        <v>248</v>
      </c>
      <c r="D495" s="12" t="str">
        <f>vlookup(C495,'List of Chargers'!$A$2:$B$5,2,FALSE)</f>
        <v>Roam Hub</v>
      </c>
      <c r="E495" s="12" t="s">
        <v>73</v>
      </c>
      <c r="F495" s="12" t="s">
        <v>75</v>
      </c>
      <c r="G495" s="12">
        <v>493.0</v>
      </c>
      <c r="H495" s="13" t="str">
        <f t="shared" si="1"/>
        <v>#RH-KE-A-493</v>
      </c>
      <c r="I495" s="13" t="str">
        <f t="shared" si="2"/>
        <v>FO-NBI-00#RH-KE-A-493</v>
      </c>
      <c r="J495" s="25"/>
      <c r="K495" s="66"/>
      <c r="L495" s="31"/>
      <c r="M495" s="31"/>
      <c r="N495" s="26" t="str">
        <f t="shared" si="3"/>
        <v>Roam Hub - </v>
      </c>
      <c r="O495" s="26" t="str">
        <f t="shared" si="4"/>
        <v>FO-NBI-00#RH-KE-A-493: Roam Hub - </v>
      </c>
      <c r="R495" s="53"/>
      <c r="S495" s="78" t="b">
        <v>0</v>
      </c>
      <c r="T495" s="78" t="b">
        <v>0</v>
      </c>
      <c r="U495" s="78" t="b">
        <v>0</v>
      </c>
      <c r="V495" s="30" t="b">
        <v>0</v>
      </c>
      <c r="W495" s="30" t="b">
        <v>0</v>
      </c>
      <c r="X495" s="30"/>
      <c r="Y495" s="30"/>
      <c r="Z495" s="30"/>
      <c r="AA495" s="30"/>
      <c r="AB495" s="30"/>
      <c r="AC495" s="50"/>
      <c r="AD495" s="30"/>
      <c r="AE495" s="12">
        <f t="shared" si="5"/>
        <v>0</v>
      </c>
      <c r="AF495" s="70">
        <f t="shared" si="6"/>
        <v>0</v>
      </c>
      <c r="AG495" s="76"/>
      <c r="AH495" s="76"/>
      <c r="AI495" s="76"/>
      <c r="AJ495" s="76"/>
      <c r="AK495" s="76"/>
      <c r="AL495" s="30"/>
      <c r="AM495" s="79"/>
      <c r="AN495" s="79"/>
      <c r="AO495" s="79"/>
    </row>
    <row r="496" hidden="1">
      <c r="A496" s="12" t="s">
        <v>74</v>
      </c>
      <c r="B496" s="64"/>
      <c r="C496" s="12" t="s">
        <v>248</v>
      </c>
      <c r="D496" s="12" t="str">
        <f>vlookup(C496,'List of Chargers'!$A$2:$B$5,2,FALSE)</f>
        <v>Roam Hub</v>
      </c>
      <c r="E496" s="12" t="s">
        <v>73</v>
      </c>
      <c r="F496" s="12" t="s">
        <v>75</v>
      </c>
      <c r="G496" s="12">
        <v>494.0</v>
      </c>
      <c r="H496" s="13" t="str">
        <f t="shared" si="1"/>
        <v>#RH-KE-A-494</v>
      </c>
      <c r="I496" s="13" t="str">
        <f t="shared" si="2"/>
        <v>FO-NBI-00#RH-KE-A-494</v>
      </c>
      <c r="J496" s="25"/>
      <c r="K496" s="66"/>
      <c r="L496" s="31"/>
      <c r="M496" s="31"/>
      <c r="N496" s="26" t="str">
        <f t="shared" si="3"/>
        <v>Roam Hub - </v>
      </c>
      <c r="O496" s="26" t="str">
        <f t="shared" si="4"/>
        <v>FO-NBI-00#RH-KE-A-494: Roam Hub - </v>
      </c>
      <c r="R496" s="53"/>
      <c r="S496" s="78" t="b">
        <v>0</v>
      </c>
      <c r="T496" s="78" t="b">
        <v>0</v>
      </c>
      <c r="U496" s="78" t="b">
        <v>0</v>
      </c>
      <c r="V496" s="30" t="b">
        <v>0</v>
      </c>
      <c r="W496" s="30" t="b">
        <v>0</v>
      </c>
      <c r="X496" s="30"/>
      <c r="Y496" s="30"/>
      <c r="Z496" s="30"/>
      <c r="AA496" s="30"/>
      <c r="AB496" s="30"/>
      <c r="AC496" s="50"/>
      <c r="AD496" s="30"/>
      <c r="AE496" s="12">
        <f t="shared" si="5"/>
        <v>0</v>
      </c>
      <c r="AF496" s="70">
        <f t="shared" si="6"/>
        <v>0</v>
      </c>
      <c r="AG496" s="76"/>
      <c r="AH496" s="76"/>
      <c r="AI496" s="76"/>
      <c r="AJ496" s="76"/>
      <c r="AK496" s="76"/>
      <c r="AL496" s="30"/>
      <c r="AM496" s="79"/>
      <c r="AN496" s="79"/>
      <c r="AO496" s="79"/>
    </row>
    <row r="497" hidden="1">
      <c r="A497" s="12" t="s">
        <v>74</v>
      </c>
      <c r="B497" s="64"/>
      <c r="C497" s="12" t="s">
        <v>248</v>
      </c>
      <c r="D497" s="12" t="str">
        <f>vlookup(C497,'List of Chargers'!$A$2:$B$5,2,FALSE)</f>
        <v>Roam Hub</v>
      </c>
      <c r="E497" s="12" t="s">
        <v>73</v>
      </c>
      <c r="F497" s="12" t="s">
        <v>75</v>
      </c>
      <c r="G497" s="12">
        <v>495.0</v>
      </c>
      <c r="H497" s="13" t="str">
        <f t="shared" si="1"/>
        <v>#RH-KE-A-495</v>
      </c>
      <c r="I497" s="13" t="str">
        <f t="shared" si="2"/>
        <v>FO-NBI-00#RH-KE-A-495</v>
      </c>
      <c r="J497" s="25"/>
      <c r="K497" s="66"/>
      <c r="L497" s="31"/>
      <c r="M497" s="31"/>
      <c r="N497" s="26" t="str">
        <f t="shared" si="3"/>
        <v>Roam Hub - </v>
      </c>
      <c r="O497" s="26" t="str">
        <f t="shared" si="4"/>
        <v>FO-NBI-00#RH-KE-A-495: Roam Hub - </v>
      </c>
      <c r="R497" s="53"/>
      <c r="S497" s="78" t="b">
        <v>0</v>
      </c>
      <c r="T497" s="78" t="b">
        <v>0</v>
      </c>
      <c r="U497" s="78" t="b">
        <v>0</v>
      </c>
      <c r="V497" s="30" t="b">
        <v>0</v>
      </c>
      <c r="W497" s="30" t="b">
        <v>0</v>
      </c>
      <c r="X497" s="30"/>
      <c r="Y497" s="30"/>
      <c r="Z497" s="30"/>
      <c r="AA497" s="30"/>
      <c r="AB497" s="30"/>
      <c r="AC497" s="50"/>
      <c r="AD497" s="30"/>
      <c r="AE497" s="12">
        <f t="shared" si="5"/>
        <v>0</v>
      </c>
      <c r="AF497" s="70">
        <f t="shared" si="6"/>
        <v>0</v>
      </c>
      <c r="AG497" s="76"/>
      <c r="AH497" s="76"/>
      <c r="AI497" s="76"/>
      <c r="AJ497" s="76"/>
      <c r="AK497" s="76"/>
      <c r="AL497" s="30"/>
      <c r="AM497" s="79"/>
      <c r="AN497" s="79"/>
      <c r="AO497" s="79"/>
    </row>
    <row r="498" hidden="1">
      <c r="A498" s="12" t="s">
        <v>74</v>
      </c>
      <c r="B498" s="64"/>
      <c r="C498" s="12" t="s">
        <v>248</v>
      </c>
      <c r="D498" s="12" t="str">
        <f>vlookup(C498,'List of Chargers'!$A$2:$B$5,2,FALSE)</f>
        <v>Roam Hub</v>
      </c>
      <c r="E498" s="12" t="s">
        <v>73</v>
      </c>
      <c r="F498" s="12" t="s">
        <v>75</v>
      </c>
      <c r="G498" s="12">
        <v>496.0</v>
      </c>
      <c r="H498" s="13" t="str">
        <f t="shared" si="1"/>
        <v>#RH-KE-A-496</v>
      </c>
      <c r="I498" s="13" t="str">
        <f t="shared" si="2"/>
        <v>FO-NBI-00#RH-KE-A-496</v>
      </c>
      <c r="J498" s="25"/>
      <c r="K498" s="66"/>
      <c r="L498" s="31"/>
      <c r="M498" s="31"/>
      <c r="N498" s="26" t="str">
        <f t="shared" si="3"/>
        <v>Roam Hub - </v>
      </c>
      <c r="O498" s="26" t="str">
        <f t="shared" si="4"/>
        <v>FO-NBI-00#RH-KE-A-496: Roam Hub - </v>
      </c>
      <c r="R498" s="53"/>
      <c r="S498" s="78" t="b">
        <v>0</v>
      </c>
      <c r="T498" s="78" t="b">
        <v>0</v>
      </c>
      <c r="U498" s="78" t="b">
        <v>0</v>
      </c>
      <c r="V498" s="30" t="b">
        <v>0</v>
      </c>
      <c r="W498" s="30" t="b">
        <v>0</v>
      </c>
      <c r="X498" s="30"/>
      <c r="Y498" s="30"/>
      <c r="Z498" s="30"/>
      <c r="AA498" s="30"/>
      <c r="AB498" s="30"/>
      <c r="AC498" s="50"/>
      <c r="AD498" s="30"/>
      <c r="AE498" s="12">
        <f t="shared" si="5"/>
        <v>0</v>
      </c>
      <c r="AF498" s="70">
        <f t="shared" si="6"/>
        <v>0</v>
      </c>
      <c r="AG498" s="76"/>
      <c r="AH498" s="76"/>
      <c r="AI498" s="76"/>
      <c r="AJ498" s="76"/>
      <c r="AK498" s="76"/>
      <c r="AL498" s="30"/>
      <c r="AM498" s="79"/>
      <c r="AN498" s="79"/>
      <c r="AO498" s="79"/>
    </row>
    <row r="499" hidden="1">
      <c r="A499" s="12" t="s">
        <v>74</v>
      </c>
      <c r="B499" s="64"/>
      <c r="C499" s="12" t="s">
        <v>248</v>
      </c>
      <c r="D499" s="12" t="str">
        <f>vlookup(C499,'List of Chargers'!$A$2:$B$5,2,FALSE)</f>
        <v>Roam Hub</v>
      </c>
      <c r="E499" s="12" t="s">
        <v>73</v>
      </c>
      <c r="F499" s="12" t="s">
        <v>75</v>
      </c>
      <c r="G499" s="12">
        <v>497.0</v>
      </c>
      <c r="H499" s="13" t="str">
        <f t="shared" si="1"/>
        <v>#RH-KE-A-497</v>
      </c>
      <c r="I499" s="13" t="str">
        <f t="shared" si="2"/>
        <v>FO-NBI-00#RH-KE-A-497</v>
      </c>
      <c r="J499" s="25"/>
      <c r="K499" s="66"/>
      <c r="L499" s="31"/>
      <c r="M499" s="31"/>
      <c r="N499" s="26" t="str">
        <f t="shared" si="3"/>
        <v>Roam Hub - </v>
      </c>
      <c r="O499" s="26" t="str">
        <f t="shared" si="4"/>
        <v>FO-NBI-00#RH-KE-A-497: Roam Hub - </v>
      </c>
      <c r="R499" s="53"/>
      <c r="S499" s="78" t="b">
        <v>0</v>
      </c>
      <c r="T499" s="78" t="b">
        <v>0</v>
      </c>
      <c r="U499" s="78" t="b">
        <v>0</v>
      </c>
      <c r="V499" s="30" t="b">
        <v>0</v>
      </c>
      <c r="W499" s="30" t="b">
        <v>0</v>
      </c>
      <c r="X499" s="30"/>
      <c r="Y499" s="30"/>
      <c r="Z499" s="30"/>
      <c r="AA499" s="30"/>
      <c r="AB499" s="30"/>
      <c r="AC499" s="50"/>
      <c r="AD499" s="30"/>
      <c r="AE499" s="12">
        <f t="shared" si="5"/>
        <v>0</v>
      </c>
      <c r="AF499" s="70">
        <f t="shared" si="6"/>
        <v>0</v>
      </c>
      <c r="AG499" s="76"/>
      <c r="AH499" s="76"/>
      <c r="AI499" s="76"/>
      <c r="AJ499" s="76"/>
      <c r="AK499" s="76"/>
      <c r="AL499" s="30"/>
      <c r="AM499" s="79"/>
      <c r="AN499" s="79"/>
      <c r="AO499" s="79"/>
    </row>
    <row r="500" hidden="1">
      <c r="A500" s="12" t="s">
        <v>74</v>
      </c>
      <c r="B500" s="64"/>
      <c r="C500" s="12" t="s">
        <v>248</v>
      </c>
      <c r="D500" s="12" t="str">
        <f>vlookup(C500,'List of Chargers'!$A$2:$B$5,2,FALSE)</f>
        <v>Roam Hub</v>
      </c>
      <c r="E500" s="12" t="s">
        <v>73</v>
      </c>
      <c r="F500" s="12" t="s">
        <v>75</v>
      </c>
      <c r="G500" s="12">
        <v>498.0</v>
      </c>
      <c r="H500" s="13" t="str">
        <f t="shared" si="1"/>
        <v>#RH-KE-A-498</v>
      </c>
      <c r="I500" s="13" t="str">
        <f t="shared" si="2"/>
        <v>FO-NBI-00#RH-KE-A-498</v>
      </c>
      <c r="J500" s="25"/>
      <c r="K500" s="66"/>
      <c r="L500" s="31"/>
      <c r="M500" s="31"/>
      <c r="N500" s="26" t="str">
        <f t="shared" si="3"/>
        <v>Roam Hub - </v>
      </c>
      <c r="O500" s="26" t="str">
        <f t="shared" si="4"/>
        <v>FO-NBI-00#RH-KE-A-498: Roam Hub - </v>
      </c>
      <c r="R500" s="53"/>
      <c r="S500" s="78" t="b">
        <v>0</v>
      </c>
      <c r="T500" s="78" t="b">
        <v>0</v>
      </c>
      <c r="U500" s="78" t="b">
        <v>0</v>
      </c>
      <c r="V500" s="30" t="b">
        <v>0</v>
      </c>
      <c r="W500" s="30" t="b">
        <v>0</v>
      </c>
      <c r="X500" s="30"/>
      <c r="Y500" s="30"/>
      <c r="Z500" s="30"/>
      <c r="AA500" s="30"/>
      <c r="AB500" s="30"/>
      <c r="AC500" s="50"/>
      <c r="AD500" s="30"/>
      <c r="AE500" s="12">
        <f t="shared" si="5"/>
        <v>0</v>
      </c>
      <c r="AF500" s="70">
        <f t="shared" si="6"/>
        <v>0</v>
      </c>
      <c r="AG500" s="76"/>
      <c r="AH500" s="76"/>
      <c r="AI500" s="76"/>
      <c r="AJ500" s="76"/>
      <c r="AK500" s="76"/>
      <c r="AL500" s="30"/>
      <c r="AM500" s="79"/>
      <c r="AN500" s="79"/>
      <c r="AO500" s="79"/>
    </row>
    <row r="501" hidden="1">
      <c r="A501" s="12" t="s">
        <v>74</v>
      </c>
      <c r="B501" s="64"/>
      <c r="C501" s="12" t="s">
        <v>248</v>
      </c>
      <c r="D501" s="12" t="str">
        <f>vlookup(C501,'List of Chargers'!$A$2:$B$5,2,FALSE)</f>
        <v>Roam Hub</v>
      </c>
      <c r="E501" s="12" t="s">
        <v>73</v>
      </c>
      <c r="F501" s="12" t="s">
        <v>75</v>
      </c>
      <c r="G501" s="12">
        <v>499.0</v>
      </c>
      <c r="H501" s="13" t="str">
        <f t="shared" si="1"/>
        <v>#RH-KE-A-499</v>
      </c>
      <c r="I501" s="13" t="str">
        <f t="shared" si="2"/>
        <v>FO-NBI-00#RH-KE-A-499</v>
      </c>
      <c r="J501" s="25"/>
      <c r="K501" s="66"/>
      <c r="L501" s="31"/>
      <c r="M501" s="31"/>
      <c r="N501" s="26" t="str">
        <f t="shared" si="3"/>
        <v>Roam Hub - </v>
      </c>
      <c r="O501" s="26" t="str">
        <f t="shared" si="4"/>
        <v>FO-NBI-00#RH-KE-A-499: Roam Hub - </v>
      </c>
      <c r="R501" s="53"/>
      <c r="S501" s="78" t="b">
        <v>0</v>
      </c>
      <c r="T501" s="78" t="b">
        <v>0</v>
      </c>
      <c r="U501" s="78" t="b">
        <v>0</v>
      </c>
      <c r="V501" s="30" t="b">
        <v>0</v>
      </c>
      <c r="W501" s="30" t="b">
        <v>0</v>
      </c>
      <c r="X501" s="30"/>
      <c r="Y501" s="30"/>
      <c r="Z501" s="30"/>
      <c r="AA501" s="30"/>
      <c r="AB501" s="30"/>
      <c r="AC501" s="50"/>
      <c r="AD501" s="30"/>
      <c r="AE501" s="12">
        <f t="shared" si="5"/>
        <v>0</v>
      </c>
      <c r="AF501" s="70">
        <f t="shared" si="6"/>
        <v>0</v>
      </c>
      <c r="AG501" s="76"/>
      <c r="AH501" s="76"/>
      <c r="AI501" s="76"/>
      <c r="AJ501" s="76"/>
      <c r="AK501" s="76"/>
      <c r="AL501" s="30"/>
      <c r="AM501" s="79"/>
      <c r="AN501" s="79"/>
      <c r="AO501" s="79"/>
    </row>
    <row r="502" hidden="1">
      <c r="A502" s="12" t="s">
        <v>74</v>
      </c>
      <c r="B502" s="64"/>
      <c r="C502" s="12" t="s">
        <v>248</v>
      </c>
      <c r="D502" s="12" t="str">
        <f>vlookup(C502,'List of Chargers'!$A$2:$B$5,2,FALSE)</f>
        <v>Roam Hub</v>
      </c>
      <c r="E502" s="12" t="s">
        <v>73</v>
      </c>
      <c r="F502" s="12" t="s">
        <v>75</v>
      </c>
      <c r="G502" s="12">
        <v>500.0</v>
      </c>
      <c r="H502" s="13" t="str">
        <f t="shared" si="1"/>
        <v>#RH-KE-A-500</v>
      </c>
      <c r="I502" s="13" t="str">
        <f t="shared" si="2"/>
        <v>FO-NBI-00#RH-KE-A-500</v>
      </c>
      <c r="J502" s="25"/>
      <c r="K502" s="66"/>
      <c r="L502" s="31"/>
      <c r="M502" s="31"/>
      <c r="N502" s="26" t="str">
        <f t="shared" si="3"/>
        <v>Roam Hub - </v>
      </c>
      <c r="O502" s="26" t="str">
        <f t="shared" si="4"/>
        <v>FO-NBI-00#RH-KE-A-500: Roam Hub - </v>
      </c>
      <c r="R502" s="53"/>
      <c r="S502" s="78" t="b">
        <v>0</v>
      </c>
      <c r="T502" s="78" t="b">
        <v>0</v>
      </c>
      <c r="U502" s="78" t="b">
        <v>0</v>
      </c>
      <c r="V502" s="30" t="b">
        <v>0</v>
      </c>
      <c r="W502" s="30" t="b">
        <v>0</v>
      </c>
      <c r="X502" s="30"/>
      <c r="Y502" s="30"/>
      <c r="Z502" s="30"/>
      <c r="AA502" s="30"/>
      <c r="AB502" s="30"/>
      <c r="AC502" s="50"/>
      <c r="AD502" s="30"/>
      <c r="AE502" s="12">
        <f t="shared" si="5"/>
        <v>0</v>
      </c>
      <c r="AF502" s="70">
        <f t="shared" si="6"/>
        <v>0</v>
      </c>
      <c r="AG502" s="76"/>
      <c r="AH502" s="76"/>
      <c r="AI502" s="76"/>
      <c r="AJ502" s="76"/>
      <c r="AK502" s="76"/>
      <c r="AL502" s="30"/>
      <c r="AM502" s="79"/>
      <c r="AN502" s="79"/>
      <c r="AO502" s="79"/>
    </row>
  </sheetData>
  <autoFilter ref="$A$2:$AS$502">
    <filterColumn colId="9">
      <filters>
        <filter val="Operational"/>
      </filters>
    </filterColumn>
  </autoFilter>
  <mergeCells count="9">
    <mergeCell ref="AL1:AO1"/>
    <mergeCell ref="AP1:AS1"/>
    <mergeCell ref="A1:B1"/>
    <mergeCell ref="C1:I1"/>
    <mergeCell ref="Q1:R1"/>
    <mergeCell ref="V1:W1"/>
    <mergeCell ref="Y1:AB1"/>
    <mergeCell ref="AC1:AD1"/>
    <mergeCell ref="AE1:AK1"/>
  </mergeCells>
  <dataValidations>
    <dataValidation type="list" allowBlank="1" showErrorMessage="1" sqref="B3:B502">
      <formula1>"01,02,03,04,05"</formula1>
    </dataValidation>
    <dataValidation type="list" allowBlank="1" showErrorMessage="1" sqref="AL3:AL502">
      <formula1>"Yes,No"</formula1>
    </dataValidation>
    <dataValidation type="list" allowBlank="1" showErrorMessage="1" sqref="J3:J502">
      <formula1>"Operational,Construction,Blocked"</formula1>
    </dataValidation>
    <dataValidation type="list" allowBlank="1" showErrorMessage="1" sqref="A3:A502">
      <formula1>"NBI,UGS,MSA"</formula1>
    </dataValidation>
    <dataValidation type="list" allowBlank="1" showErrorMessage="1" sqref="C3:C502">
      <formula1>'List of Chargers'!$A$2:$A$5</formula1>
    </dataValidation>
  </dataValidations>
  <printOptions gridLines="1" horizontalCentered="1"/>
  <pageMargins bottom="0.75" footer="0.0" header="0.0" left="0.7" right="0.7" top="0.75"/>
  <pageSetup fitToHeight="0" paperSize="8" cellComments="atEnd" orientation="landscape"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1.5"/>
    <col customWidth="1" hidden="1" min="3" max="4" width="17.63"/>
    <col customWidth="1" min="5" max="7" width="7.38"/>
    <col customWidth="1" min="8" max="8" width="21.5"/>
    <col customWidth="1" min="9" max="9" width="22.5"/>
    <col customWidth="1" min="10" max="11" width="16.63"/>
    <col customWidth="1" min="12" max="12" width="32.13"/>
    <col customWidth="1" min="13" max="13" width="35.0"/>
    <col customWidth="1" min="14" max="14" width="46.13"/>
    <col customWidth="1" min="15" max="15" width="65.63"/>
    <col customWidth="1" min="16" max="16" width="24.75"/>
    <col customWidth="1" min="17" max="18" width="24.13"/>
    <col customWidth="1" min="19" max="19" width="15.38"/>
    <col customWidth="1" min="20" max="21" width="12.75"/>
    <col customWidth="1" min="22" max="22" width="13.63"/>
    <col customWidth="1" min="23" max="23" width="19.25"/>
    <col customWidth="1" min="24" max="24" width="20.5"/>
    <col customWidth="1" min="25" max="25" width="22.0"/>
    <col customWidth="1" min="26" max="26" width="21.13"/>
    <col customWidth="1" min="27" max="27" width="22.63"/>
  </cols>
  <sheetData>
    <row r="1">
      <c r="A1" s="14" t="s">
        <v>374</v>
      </c>
      <c r="C1" s="12"/>
      <c r="D1" s="12"/>
      <c r="E1" s="12"/>
      <c r="F1" s="12"/>
      <c r="G1" s="12"/>
      <c r="H1" s="13"/>
      <c r="I1" s="14"/>
      <c r="J1" s="83">
        <f>countif(J3:J1001,"Operational")</f>
        <v>0</v>
      </c>
      <c r="K1" s="56" t="s">
        <v>375</v>
      </c>
      <c r="L1" s="15" t="s">
        <v>41</v>
      </c>
      <c r="Q1" s="84" t="s">
        <v>42</v>
      </c>
      <c r="S1" s="59" t="s">
        <v>270</v>
      </c>
      <c r="T1" s="61" t="s">
        <v>295</v>
      </c>
      <c r="U1" s="61" t="s">
        <v>296</v>
      </c>
      <c r="V1" s="61" t="s">
        <v>297</v>
      </c>
      <c r="W1" s="12"/>
      <c r="X1" s="12"/>
      <c r="Y1" s="12"/>
      <c r="Z1" s="12"/>
    </row>
    <row r="2">
      <c r="A2" s="19" t="s">
        <v>274</v>
      </c>
      <c r="B2" s="85" t="s">
        <v>275</v>
      </c>
      <c r="C2" s="19" t="s">
        <v>47</v>
      </c>
      <c r="D2" s="19" t="s">
        <v>48</v>
      </c>
      <c r="E2" s="19" t="s">
        <v>49</v>
      </c>
      <c r="F2" s="19" t="s">
        <v>51</v>
      </c>
      <c r="G2" s="19" t="s">
        <v>52</v>
      </c>
      <c r="H2" s="20" t="s">
        <v>376</v>
      </c>
      <c r="I2" s="20" t="s">
        <v>54</v>
      </c>
      <c r="J2" s="20" t="s">
        <v>55</v>
      </c>
      <c r="K2" s="21" t="s">
        <v>278</v>
      </c>
      <c r="L2" s="20" t="s">
        <v>56</v>
      </c>
      <c r="M2" s="20" t="s">
        <v>57</v>
      </c>
      <c r="N2" s="20" t="s">
        <v>58</v>
      </c>
      <c r="O2" s="20" t="s">
        <v>59</v>
      </c>
      <c r="P2" s="20" t="s">
        <v>60</v>
      </c>
      <c r="Q2" s="20" t="s">
        <v>61</v>
      </c>
      <c r="R2" s="20" t="s">
        <v>62</v>
      </c>
      <c r="S2" s="21" t="s">
        <v>284</v>
      </c>
      <c r="T2" s="19" t="s">
        <v>377</v>
      </c>
      <c r="U2" s="19" t="s">
        <v>378</v>
      </c>
      <c r="V2" s="19" t="s">
        <v>378</v>
      </c>
      <c r="W2" s="20" t="s">
        <v>63</v>
      </c>
      <c r="X2" s="20" t="s">
        <v>64</v>
      </c>
      <c r="Y2" s="19" t="s">
        <v>379</v>
      </c>
      <c r="Z2" s="19" t="s">
        <v>380</v>
      </c>
      <c r="AA2" s="19" t="s">
        <v>381</v>
      </c>
      <c r="AB2" s="22"/>
      <c r="AC2" s="22"/>
      <c r="AD2" s="22"/>
      <c r="AE2" s="22"/>
      <c r="AF2" s="22"/>
      <c r="AG2" s="22"/>
      <c r="AH2" s="22"/>
      <c r="AI2" s="22"/>
      <c r="AJ2" s="22"/>
      <c r="AK2" s="22"/>
      <c r="AL2" s="22"/>
    </row>
    <row r="3">
      <c r="A3" s="12" t="s">
        <v>74</v>
      </c>
      <c r="B3" s="64">
        <v>1.0</v>
      </c>
      <c r="C3" s="23" t="s">
        <v>382</v>
      </c>
      <c r="D3" s="12" t="str">
        <f>vlookup(C3,'List of Chargers'!$A$2:$B$5,2,FALSE)</f>
        <v>Roam Point</v>
      </c>
      <c r="E3" s="23" t="s">
        <v>73</v>
      </c>
      <c r="F3" s="23" t="s">
        <v>75</v>
      </c>
      <c r="G3" s="24" t="s">
        <v>76</v>
      </c>
      <c r="H3" s="13" t="str">
        <f t="shared" ref="H3:H305" si="1">CONCATENATE("#",C3,"-",E3,"-",F3,"-",G3,)</f>
        <v>#RP-KE-A-01</v>
      </c>
      <c r="I3" s="13" t="str">
        <f t="shared" ref="I3:I305" si="2">concatenate("FO-",A3,"-",TEXT(B3,"00"),H3)</f>
        <v>FO-NBI-01#RP-KE-A-01</v>
      </c>
      <c r="J3" s="25" t="s">
        <v>92</v>
      </c>
      <c r="K3" s="66"/>
      <c r="L3" s="25" t="s">
        <v>383</v>
      </c>
      <c r="M3" s="25" t="s">
        <v>384</v>
      </c>
      <c r="N3" s="26" t="str">
        <f t="shared" ref="N3:N62" si="3">D3&amp;" - "&amp;M3</f>
        <v>Roam Point - Pangani 1</v>
      </c>
      <c r="O3" s="26" t="str">
        <f t="shared" ref="O3:O62" si="4">CONCATENATE(I3,": ",N3)</f>
        <v>FO-NBI-01#RP-KE-A-01: Roam Point - Pangani 1</v>
      </c>
      <c r="P3" s="27" t="s">
        <v>385</v>
      </c>
      <c r="Q3" s="13" t="s">
        <v>383</v>
      </c>
      <c r="R3" s="46" t="s">
        <v>386</v>
      </c>
      <c r="S3" s="11" t="s">
        <v>307</v>
      </c>
      <c r="T3" s="12"/>
      <c r="U3" s="12"/>
      <c r="V3" s="12"/>
      <c r="W3" s="13" t="s">
        <v>80</v>
      </c>
      <c r="X3" s="13" t="s">
        <v>80</v>
      </c>
      <c r="Y3" s="12"/>
      <c r="Z3" s="12">
        <v>1.0</v>
      </c>
    </row>
    <row r="4">
      <c r="A4" s="12" t="s">
        <v>74</v>
      </c>
      <c r="B4" s="64">
        <v>1.0</v>
      </c>
      <c r="C4" s="23" t="s">
        <v>382</v>
      </c>
      <c r="D4" s="12" t="str">
        <f>vlookup(C4,'List of Chargers'!$A$2:$B$5,2,FALSE)</f>
        <v>Roam Point</v>
      </c>
      <c r="E4" s="23" t="s">
        <v>73</v>
      </c>
      <c r="F4" s="23" t="s">
        <v>75</v>
      </c>
      <c r="G4" s="23" t="s">
        <v>83</v>
      </c>
      <c r="H4" s="13" t="str">
        <f t="shared" si="1"/>
        <v>#RP-KE-A-02</v>
      </c>
      <c r="I4" s="13" t="str">
        <f t="shared" si="2"/>
        <v>FO-NBI-01#RP-KE-A-02</v>
      </c>
      <c r="J4" s="25" t="s">
        <v>92</v>
      </c>
      <c r="K4" s="72"/>
      <c r="L4" s="25" t="s">
        <v>387</v>
      </c>
      <c r="M4" s="25" t="s">
        <v>388</v>
      </c>
      <c r="N4" s="26" t="str">
        <f t="shared" si="3"/>
        <v>Roam Point - Kariobangi North 1</v>
      </c>
      <c r="O4" s="26" t="str">
        <f t="shared" si="4"/>
        <v>FO-NBI-01#RP-KE-A-02: Roam Point - Kariobangi North 1</v>
      </c>
      <c r="P4" s="27" t="s">
        <v>389</v>
      </c>
      <c r="Q4" s="13" t="s">
        <v>387</v>
      </c>
      <c r="R4" s="46" t="s">
        <v>390</v>
      </c>
      <c r="S4" s="11"/>
      <c r="T4" s="12"/>
      <c r="U4" s="12"/>
      <c r="V4" s="12"/>
      <c r="W4" s="13" t="s">
        <v>80</v>
      </c>
      <c r="X4" s="13" t="s">
        <v>80</v>
      </c>
      <c r="Y4" s="12"/>
      <c r="Z4" s="12"/>
      <c r="AA4" s="12">
        <v>1.0</v>
      </c>
    </row>
    <row r="5">
      <c r="A5" s="12" t="s">
        <v>74</v>
      </c>
      <c r="B5" s="64">
        <v>6.0</v>
      </c>
      <c r="C5" s="23" t="s">
        <v>382</v>
      </c>
      <c r="D5" s="12" t="str">
        <f>vlookup(C5,'List of Chargers'!$A$2:$B$5,2,FALSE)</f>
        <v>Roam Point</v>
      </c>
      <c r="E5" s="23" t="s">
        <v>73</v>
      </c>
      <c r="F5" s="23" t="s">
        <v>75</v>
      </c>
      <c r="G5" s="23" t="s">
        <v>85</v>
      </c>
      <c r="H5" s="13" t="str">
        <f t="shared" si="1"/>
        <v>#RP-KE-A-03</v>
      </c>
      <c r="I5" s="13" t="str">
        <f t="shared" si="2"/>
        <v>FO-NBI-06#RP-KE-A-03</v>
      </c>
      <c r="J5" s="25" t="s">
        <v>88</v>
      </c>
      <c r="K5" s="72"/>
      <c r="L5" s="25" t="s">
        <v>391</v>
      </c>
      <c r="M5" s="25" t="s">
        <v>392</v>
      </c>
      <c r="N5" s="26" t="str">
        <f t="shared" si="3"/>
        <v>Roam Point - Rongai 1</v>
      </c>
      <c r="O5" s="26" t="str">
        <f t="shared" si="4"/>
        <v>FO-NBI-06#RP-KE-A-03: Roam Point - Rongai 1</v>
      </c>
      <c r="P5" s="29" t="s">
        <v>393</v>
      </c>
      <c r="Q5" s="13" t="s">
        <v>391</v>
      </c>
      <c r="R5" s="46" t="s">
        <v>394</v>
      </c>
      <c r="S5" s="11"/>
      <c r="T5" s="12"/>
      <c r="U5" s="12"/>
      <c r="V5" s="12"/>
      <c r="W5" s="13" t="s">
        <v>80</v>
      </c>
      <c r="X5" s="13" t="s">
        <v>80</v>
      </c>
      <c r="Y5" s="12"/>
      <c r="Z5" s="12"/>
      <c r="AA5" s="12">
        <v>1.0</v>
      </c>
    </row>
    <row r="6">
      <c r="A6" s="12" t="s">
        <v>74</v>
      </c>
      <c r="B6" s="64">
        <v>5.0</v>
      </c>
      <c r="C6" s="23" t="s">
        <v>382</v>
      </c>
      <c r="D6" s="12" t="str">
        <f>vlookup(C6,'List of Chargers'!$A$2:$B$5,2,FALSE)</f>
        <v>Roam Point</v>
      </c>
      <c r="E6" s="23" t="s">
        <v>73</v>
      </c>
      <c r="F6" s="23" t="s">
        <v>75</v>
      </c>
      <c r="G6" s="23" t="s">
        <v>87</v>
      </c>
      <c r="H6" s="13" t="str">
        <f t="shared" si="1"/>
        <v>#RP-KE-A-04</v>
      </c>
      <c r="I6" s="13" t="str">
        <f t="shared" si="2"/>
        <v>FO-NBI-05#RP-KE-A-04</v>
      </c>
      <c r="J6" s="25" t="s">
        <v>92</v>
      </c>
      <c r="K6" s="72"/>
      <c r="L6" s="25" t="s">
        <v>395</v>
      </c>
      <c r="M6" s="25" t="s">
        <v>396</v>
      </c>
      <c r="N6" s="26" t="str">
        <f t="shared" si="3"/>
        <v>Roam Point - Kitengela 1</v>
      </c>
      <c r="O6" s="26" t="str">
        <f t="shared" si="4"/>
        <v>FO-NBI-05#RP-KE-A-04: Roam Point - Kitengela 1</v>
      </c>
      <c r="P6" s="27" t="s">
        <v>397</v>
      </c>
      <c r="Q6" s="13" t="s">
        <v>395</v>
      </c>
      <c r="R6" s="46" t="s">
        <v>398</v>
      </c>
      <c r="S6" s="11"/>
      <c r="T6" s="12"/>
      <c r="U6" s="12"/>
      <c r="V6" s="12"/>
      <c r="W6" s="13" t="s">
        <v>80</v>
      </c>
      <c r="X6" s="13" t="s">
        <v>80</v>
      </c>
      <c r="Y6" s="30"/>
      <c r="Z6" s="12"/>
      <c r="AA6" s="12">
        <v>1.0</v>
      </c>
    </row>
    <row r="7">
      <c r="A7" s="12" t="s">
        <v>74</v>
      </c>
      <c r="B7" s="64">
        <v>1.0</v>
      </c>
      <c r="C7" s="23" t="s">
        <v>382</v>
      </c>
      <c r="D7" s="12" t="str">
        <f>vlookup(C7,'List of Chargers'!$A$2:$B$5,2,FALSE)</f>
        <v>Roam Point</v>
      </c>
      <c r="E7" s="23" t="s">
        <v>73</v>
      </c>
      <c r="F7" s="23" t="s">
        <v>75</v>
      </c>
      <c r="G7" s="23" t="s">
        <v>91</v>
      </c>
      <c r="H7" s="13" t="str">
        <f t="shared" si="1"/>
        <v>#RP-KE-A-05</v>
      </c>
      <c r="I7" s="13" t="str">
        <f t="shared" si="2"/>
        <v>FO-NBI-01#RP-KE-A-05</v>
      </c>
      <c r="J7" s="25" t="s">
        <v>88</v>
      </c>
      <c r="K7" s="74"/>
      <c r="L7" s="25" t="s">
        <v>399</v>
      </c>
      <c r="M7" s="25" t="s">
        <v>400</v>
      </c>
      <c r="N7" s="26" t="str">
        <f t="shared" si="3"/>
        <v>Roam Point - Point Mall</v>
      </c>
      <c r="O7" s="26" t="str">
        <f t="shared" si="4"/>
        <v>FO-NBI-01#RP-KE-A-05: Roam Point - Point Mall</v>
      </c>
      <c r="P7" s="27" t="s">
        <v>401</v>
      </c>
      <c r="Q7" s="13" t="s">
        <v>399</v>
      </c>
      <c r="R7" s="46" t="s">
        <v>402</v>
      </c>
      <c r="S7" s="11"/>
      <c r="T7" s="12"/>
      <c r="U7" s="12"/>
      <c r="V7" s="12"/>
      <c r="W7" s="13" t="s">
        <v>80</v>
      </c>
      <c r="X7" s="13" t="s">
        <v>80</v>
      </c>
      <c r="Y7" s="30"/>
      <c r="Z7" s="12"/>
      <c r="AA7" s="12">
        <v>1.0</v>
      </c>
    </row>
    <row r="8">
      <c r="A8" s="12" t="s">
        <v>74</v>
      </c>
      <c r="B8" s="64">
        <v>1.0</v>
      </c>
      <c r="C8" s="23" t="s">
        <v>382</v>
      </c>
      <c r="D8" s="12" t="str">
        <f>vlookup(C8,'List of Chargers'!$A$2:$B$5,2,FALSE)</f>
        <v>Roam Point</v>
      </c>
      <c r="E8" s="23" t="s">
        <v>73</v>
      </c>
      <c r="F8" s="23" t="s">
        <v>75</v>
      </c>
      <c r="G8" s="23" t="s">
        <v>95</v>
      </c>
      <c r="H8" s="13" t="str">
        <f t="shared" si="1"/>
        <v>#RP-KE-A-06</v>
      </c>
      <c r="I8" s="13" t="str">
        <f t="shared" si="2"/>
        <v>FO-NBI-01#RP-KE-A-06</v>
      </c>
      <c r="J8" s="25" t="s">
        <v>403</v>
      </c>
      <c r="K8" s="74"/>
      <c r="L8" s="25" t="s">
        <v>404</v>
      </c>
      <c r="M8" s="25" t="s">
        <v>405</v>
      </c>
      <c r="N8" s="26" t="str">
        <f t="shared" si="3"/>
        <v>Roam Point - Kawangware 1</v>
      </c>
      <c r="O8" s="26" t="str">
        <f t="shared" si="4"/>
        <v>FO-NBI-01#RP-KE-A-06: Roam Point - Kawangware 1</v>
      </c>
      <c r="P8" s="45" t="s">
        <v>406</v>
      </c>
      <c r="Q8" s="13" t="s">
        <v>404</v>
      </c>
      <c r="R8" s="46" t="s">
        <v>407</v>
      </c>
      <c r="S8" s="30"/>
      <c r="T8" s="30"/>
      <c r="U8" s="30"/>
      <c r="V8" s="30"/>
      <c r="W8" s="13" t="s">
        <v>80</v>
      </c>
      <c r="X8" s="13" t="s">
        <v>80</v>
      </c>
      <c r="Y8" s="30"/>
      <c r="Z8" s="30"/>
      <c r="AA8" s="12">
        <v>1.0</v>
      </c>
    </row>
    <row r="9">
      <c r="A9" s="12" t="s">
        <v>74</v>
      </c>
      <c r="B9" s="64">
        <v>1.0</v>
      </c>
      <c r="C9" s="23" t="s">
        <v>382</v>
      </c>
      <c r="D9" s="12" t="str">
        <f>vlookup(C9,'List of Chargers'!$A$2:$B$5,2,FALSE)</f>
        <v>Roam Point</v>
      </c>
      <c r="E9" s="23" t="s">
        <v>73</v>
      </c>
      <c r="F9" s="23" t="s">
        <v>75</v>
      </c>
      <c r="G9" s="23" t="s">
        <v>96</v>
      </c>
      <c r="H9" s="13" t="str">
        <f t="shared" si="1"/>
        <v>#RP-KE-A-07</v>
      </c>
      <c r="I9" s="13" t="str">
        <f t="shared" si="2"/>
        <v>FO-NBI-01#RP-KE-A-07</v>
      </c>
      <c r="J9" s="25" t="s">
        <v>403</v>
      </c>
      <c r="K9" s="74"/>
      <c r="L9" s="25" t="s">
        <v>408</v>
      </c>
      <c r="M9" s="25" t="s">
        <v>409</v>
      </c>
      <c r="N9" s="26" t="str">
        <f t="shared" si="3"/>
        <v>Roam Point - Ruaka 1</v>
      </c>
      <c r="O9" s="26" t="str">
        <f t="shared" si="4"/>
        <v>FO-NBI-01#RP-KE-A-07: Roam Point - Ruaka 1</v>
      </c>
      <c r="P9" s="45" t="s">
        <v>410</v>
      </c>
      <c r="Q9" s="13" t="s">
        <v>408</v>
      </c>
      <c r="R9" s="46" t="s">
        <v>411</v>
      </c>
      <c r="S9" s="30"/>
      <c r="T9" s="30"/>
      <c r="U9" s="30"/>
      <c r="V9" s="12"/>
      <c r="W9" s="13" t="s">
        <v>80</v>
      </c>
      <c r="X9" s="13" t="s">
        <v>80</v>
      </c>
      <c r="Y9" s="30"/>
      <c r="Z9" s="30"/>
    </row>
    <row r="10">
      <c r="A10" s="12" t="s">
        <v>74</v>
      </c>
      <c r="B10" s="64">
        <v>1.0</v>
      </c>
      <c r="C10" s="23" t="s">
        <v>382</v>
      </c>
      <c r="D10" s="12" t="str">
        <f>vlookup(C10,'List of Chargers'!$A$2:$B$5,2,FALSE)</f>
        <v>Roam Point</v>
      </c>
      <c r="E10" s="23" t="s">
        <v>73</v>
      </c>
      <c r="F10" s="23" t="s">
        <v>75</v>
      </c>
      <c r="G10" s="23" t="s">
        <v>97</v>
      </c>
      <c r="H10" s="13" t="str">
        <f t="shared" si="1"/>
        <v>#RP-KE-A-08</v>
      </c>
      <c r="I10" s="13" t="str">
        <f t="shared" si="2"/>
        <v>FO-NBI-01#RP-KE-A-08</v>
      </c>
      <c r="J10" s="25" t="s">
        <v>92</v>
      </c>
      <c r="K10" s="74"/>
      <c r="L10" s="25" t="s">
        <v>412</v>
      </c>
      <c r="M10" s="25" t="s">
        <v>413</v>
      </c>
      <c r="N10" s="26" t="str">
        <f t="shared" si="3"/>
        <v>Roam Point - Kiambu Road 1</v>
      </c>
      <c r="O10" s="26" t="str">
        <f t="shared" si="4"/>
        <v>FO-NBI-01#RP-KE-A-08: Roam Point - Kiambu Road 1</v>
      </c>
      <c r="P10" s="45" t="s">
        <v>414</v>
      </c>
      <c r="Q10" s="13" t="s">
        <v>412</v>
      </c>
      <c r="R10" s="46" t="s">
        <v>415</v>
      </c>
      <c r="S10" s="30"/>
      <c r="T10" s="30"/>
      <c r="U10" s="30"/>
      <c r="V10" s="30"/>
      <c r="W10" s="13" t="s">
        <v>80</v>
      </c>
      <c r="X10" s="13" t="s">
        <v>80</v>
      </c>
      <c r="Y10" s="30"/>
      <c r="Z10" s="30"/>
    </row>
    <row r="11">
      <c r="A11" s="12" t="s">
        <v>74</v>
      </c>
      <c r="B11" s="64">
        <v>2.0</v>
      </c>
      <c r="C11" s="23" t="s">
        <v>382</v>
      </c>
      <c r="D11" s="12" t="str">
        <f>vlookup(C11,'List of Chargers'!$A$2:$B$5,2,FALSE)</f>
        <v>Roam Point</v>
      </c>
      <c r="E11" s="23" t="s">
        <v>73</v>
      </c>
      <c r="F11" s="23" t="s">
        <v>75</v>
      </c>
      <c r="G11" s="23" t="s">
        <v>98</v>
      </c>
      <c r="H11" s="13" t="str">
        <f t="shared" si="1"/>
        <v>#RP-KE-A-09</v>
      </c>
      <c r="I11" s="13" t="str">
        <f t="shared" si="2"/>
        <v>FO-NBI-02#RP-KE-A-09</v>
      </c>
      <c r="J11" s="25" t="s">
        <v>403</v>
      </c>
      <c r="K11" s="66"/>
      <c r="L11" s="25" t="s">
        <v>416</v>
      </c>
      <c r="M11" s="25" t="s">
        <v>417</v>
      </c>
      <c r="N11" s="26" t="str">
        <f t="shared" si="3"/>
        <v>Roam Point - Juja 1</v>
      </c>
      <c r="O11" s="26" t="str">
        <f t="shared" si="4"/>
        <v>FO-NBI-02#RP-KE-A-09: Roam Point - Juja 1</v>
      </c>
      <c r="P11" s="86" t="s">
        <v>418</v>
      </c>
      <c r="Q11" s="13" t="s">
        <v>416</v>
      </c>
      <c r="R11" s="46" t="s">
        <v>419</v>
      </c>
      <c r="S11" s="30"/>
      <c r="T11" s="30"/>
      <c r="U11" s="30"/>
      <c r="V11" s="30"/>
      <c r="W11" s="13" t="s">
        <v>80</v>
      </c>
      <c r="X11" s="13" t="s">
        <v>80</v>
      </c>
      <c r="Y11" s="30"/>
      <c r="Z11" s="30"/>
    </row>
    <row r="12">
      <c r="A12" s="12" t="s">
        <v>74</v>
      </c>
      <c r="B12" s="64">
        <v>1.0</v>
      </c>
      <c r="C12" s="23" t="s">
        <v>382</v>
      </c>
      <c r="D12" s="12" t="str">
        <f>vlookup(C12,'List of Chargers'!$A$2:$B$5,2,FALSE)</f>
        <v>Roam Point</v>
      </c>
      <c r="E12" s="23" t="s">
        <v>73</v>
      </c>
      <c r="F12" s="23" t="s">
        <v>75</v>
      </c>
      <c r="G12" s="23" t="s">
        <v>99</v>
      </c>
      <c r="H12" s="13" t="str">
        <f t="shared" si="1"/>
        <v>#RP-KE-A-10</v>
      </c>
      <c r="I12" s="13" t="str">
        <f t="shared" si="2"/>
        <v>FO-NBI-01#RP-KE-A-10</v>
      </c>
      <c r="J12" s="25" t="s">
        <v>403</v>
      </c>
      <c r="K12" s="66"/>
      <c r="L12" s="25" t="s">
        <v>420</v>
      </c>
      <c r="M12" s="25" t="s">
        <v>421</v>
      </c>
      <c r="N12" s="26" t="str">
        <f t="shared" si="3"/>
        <v>Roam Point - Umoja 1</v>
      </c>
      <c r="O12" s="26" t="str">
        <f t="shared" si="4"/>
        <v>FO-NBI-01#RP-KE-A-10: Roam Point - Umoja 1</v>
      </c>
      <c r="P12" s="45" t="s">
        <v>422</v>
      </c>
      <c r="Q12" s="13" t="s">
        <v>420</v>
      </c>
      <c r="R12" s="46" t="s">
        <v>423</v>
      </c>
      <c r="S12" s="30"/>
      <c r="T12" s="30"/>
      <c r="U12" s="30"/>
      <c r="V12" s="30"/>
      <c r="W12" s="13" t="s">
        <v>80</v>
      </c>
      <c r="X12" s="13" t="s">
        <v>80</v>
      </c>
      <c r="Y12" s="30"/>
      <c r="Z12" s="30"/>
    </row>
    <row r="13">
      <c r="A13" s="12" t="s">
        <v>74</v>
      </c>
      <c r="B13" s="64">
        <v>1.0</v>
      </c>
      <c r="C13" s="23" t="s">
        <v>382</v>
      </c>
      <c r="D13" s="12" t="str">
        <f>vlookup(C13,'List of Chargers'!$A$2:$B$5,2,FALSE)</f>
        <v>Roam Point</v>
      </c>
      <c r="E13" s="23" t="s">
        <v>73</v>
      </c>
      <c r="F13" s="23" t="s">
        <v>75</v>
      </c>
      <c r="G13" s="23" t="s">
        <v>100</v>
      </c>
      <c r="H13" s="13" t="str">
        <f t="shared" si="1"/>
        <v>#RP-KE-A-11</v>
      </c>
      <c r="I13" s="13" t="str">
        <f t="shared" si="2"/>
        <v>FO-NBI-01#RP-KE-A-11</v>
      </c>
      <c r="J13" s="25" t="s">
        <v>403</v>
      </c>
      <c r="K13" s="66"/>
      <c r="L13" s="25" t="s">
        <v>424</v>
      </c>
      <c r="M13" s="25" t="s">
        <v>425</v>
      </c>
      <c r="N13" s="26" t="str">
        <f t="shared" si="3"/>
        <v>Roam Point - Marurui 1</v>
      </c>
      <c r="O13" s="26" t="str">
        <f t="shared" si="4"/>
        <v>FO-NBI-01#RP-KE-A-11: Roam Point - Marurui 1</v>
      </c>
      <c r="P13" s="45" t="s">
        <v>426</v>
      </c>
      <c r="Q13" s="13" t="s">
        <v>424</v>
      </c>
      <c r="R13" s="46" t="s">
        <v>427</v>
      </c>
      <c r="S13" s="30"/>
      <c r="T13" s="30"/>
      <c r="U13" s="30"/>
      <c r="V13" s="30"/>
      <c r="W13" s="13" t="s">
        <v>80</v>
      </c>
      <c r="X13" s="13" t="s">
        <v>80</v>
      </c>
      <c r="Y13" s="30"/>
      <c r="Z13" s="30"/>
    </row>
    <row r="14">
      <c r="A14" s="12" t="s">
        <v>74</v>
      </c>
      <c r="B14" s="64">
        <v>1.0</v>
      </c>
      <c r="C14" s="23" t="s">
        <v>382</v>
      </c>
      <c r="D14" s="12" t="str">
        <f>vlookup(C14,'List of Chargers'!$A$2:$B$5,2,FALSE)</f>
        <v>Roam Point</v>
      </c>
      <c r="E14" s="23" t="s">
        <v>73</v>
      </c>
      <c r="F14" s="23" t="s">
        <v>75</v>
      </c>
      <c r="G14" s="23" t="s">
        <v>101</v>
      </c>
      <c r="H14" s="13" t="str">
        <f t="shared" si="1"/>
        <v>#RP-KE-A-12</v>
      </c>
      <c r="I14" s="13" t="str">
        <f t="shared" si="2"/>
        <v>FO-NBI-01#RP-KE-A-12</v>
      </c>
      <c r="J14" s="25" t="s">
        <v>403</v>
      </c>
      <c r="K14" s="66"/>
      <c r="L14" s="25" t="s">
        <v>428</v>
      </c>
      <c r="M14" s="25" t="s">
        <v>429</v>
      </c>
      <c r="N14" s="26" t="str">
        <f t="shared" si="3"/>
        <v>Roam Point - TRM Drive 1</v>
      </c>
      <c r="O14" s="26" t="str">
        <f t="shared" si="4"/>
        <v>FO-NBI-01#RP-KE-A-12: Roam Point - TRM Drive 1</v>
      </c>
      <c r="P14" s="45" t="s">
        <v>430</v>
      </c>
      <c r="Q14" s="13" t="s">
        <v>428</v>
      </c>
      <c r="R14" s="46" t="s">
        <v>431</v>
      </c>
      <c r="S14" s="30"/>
      <c r="T14" s="30"/>
      <c r="U14" s="30"/>
      <c r="V14" s="30"/>
      <c r="W14" s="13" t="s">
        <v>80</v>
      </c>
      <c r="X14" s="13" t="s">
        <v>80</v>
      </c>
      <c r="Y14" s="30"/>
      <c r="Z14" s="30"/>
    </row>
    <row r="15">
      <c r="A15" s="12" t="s">
        <v>74</v>
      </c>
      <c r="B15" s="64">
        <v>1.0</v>
      </c>
      <c r="C15" s="23" t="s">
        <v>382</v>
      </c>
      <c r="D15" s="12" t="str">
        <f>vlookup(C15,'List of Chargers'!$A$2:$B$5,2,FALSE)</f>
        <v>Roam Point</v>
      </c>
      <c r="E15" s="23" t="s">
        <v>73</v>
      </c>
      <c r="F15" s="23" t="s">
        <v>75</v>
      </c>
      <c r="G15" s="23" t="s">
        <v>102</v>
      </c>
      <c r="H15" s="13" t="str">
        <f t="shared" si="1"/>
        <v>#RP-KE-A-13</v>
      </c>
      <c r="I15" s="13" t="str">
        <f t="shared" si="2"/>
        <v>FO-NBI-01#RP-KE-A-13</v>
      </c>
      <c r="J15" s="25" t="s">
        <v>403</v>
      </c>
      <c r="K15" s="66"/>
      <c r="L15" s="25" t="s">
        <v>432</v>
      </c>
      <c r="M15" s="25" t="s">
        <v>433</v>
      </c>
      <c r="N15" s="26" t="str">
        <f t="shared" si="3"/>
        <v>Roam Point - Ngara 1</v>
      </c>
      <c r="O15" s="26" t="str">
        <f t="shared" si="4"/>
        <v>FO-NBI-01#RP-KE-A-13: Roam Point - Ngara 1</v>
      </c>
      <c r="P15" s="45" t="s">
        <v>434</v>
      </c>
      <c r="Q15" s="13" t="s">
        <v>432</v>
      </c>
      <c r="R15" s="46" t="s">
        <v>435</v>
      </c>
      <c r="S15" s="30"/>
      <c r="T15" s="30"/>
      <c r="U15" s="30"/>
      <c r="V15" s="30"/>
      <c r="W15" s="13" t="s">
        <v>80</v>
      </c>
      <c r="X15" s="13" t="s">
        <v>80</v>
      </c>
      <c r="Y15" s="30"/>
      <c r="Z15" s="30"/>
    </row>
    <row r="16">
      <c r="A16" s="12" t="s">
        <v>74</v>
      </c>
      <c r="B16" s="64">
        <v>1.0</v>
      </c>
      <c r="C16" s="23" t="s">
        <v>382</v>
      </c>
      <c r="D16" s="12" t="str">
        <f>vlookup(C16,'List of Chargers'!$A$2:$B$5,2,FALSE)</f>
        <v>Roam Point</v>
      </c>
      <c r="E16" s="23" t="s">
        <v>73</v>
      </c>
      <c r="F16" s="23" t="s">
        <v>75</v>
      </c>
      <c r="G16" s="23" t="s">
        <v>103</v>
      </c>
      <c r="H16" s="13" t="str">
        <f t="shared" si="1"/>
        <v>#RP-KE-A-14</v>
      </c>
      <c r="I16" s="13" t="str">
        <f t="shared" si="2"/>
        <v>FO-NBI-01#RP-KE-A-14</v>
      </c>
      <c r="J16" s="25" t="s">
        <v>92</v>
      </c>
      <c r="K16" s="66"/>
      <c r="L16" s="25" t="s">
        <v>436</v>
      </c>
      <c r="M16" s="25" t="s">
        <v>437</v>
      </c>
      <c r="N16" s="26" t="str">
        <f t="shared" si="3"/>
        <v>Roam Point - Mirema Drive 1</v>
      </c>
      <c r="O16" s="26" t="str">
        <f t="shared" si="4"/>
        <v>FO-NBI-01#RP-KE-A-14: Roam Point - Mirema Drive 1</v>
      </c>
      <c r="P16" s="45" t="s">
        <v>438</v>
      </c>
      <c r="Q16" s="13" t="s">
        <v>436</v>
      </c>
      <c r="R16" s="46" t="s">
        <v>439</v>
      </c>
      <c r="S16" s="30"/>
      <c r="T16" s="30"/>
      <c r="U16" s="30"/>
      <c r="V16" s="30"/>
      <c r="W16" s="13" t="s">
        <v>80</v>
      </c>
      <c r="X16" s="13" t="s">
        <v>80</v>
      </c>
      <c r="Y16" s="30"/>
      <c r="Z16" s="30"/>
    </row>
    <row r="17">
      <c r="A17" s="12" t="s">
        <v>74</v>
      </c>
      <c r="B17" s="64">
        <v>1.0</v>
      </c>
      <c r="C17" s="23" t="s">
        <v>382</v>
      </c>
      <c r="D17" s="12" t="str">
        <f>vlookup(C17,'List of Chargers'!$A$2:$B$5,2,FALSE)</f>
        <v>Roam Point</v>
      </c>
      <c r="E17" s="23" t="s">
        <v>73</v>
      </c>
      <c r="F17" s="23" t="s">
        <v>75</v>
      </c>
      <c r="G17" s="23" t="s">
        <v>104</v>
      </c>
      <c r="H17" s="13" t="str">
        <f t="shared" si="1"/>
        <v>#RP-KE-A-15</v>
      </c>
      <c r="I17" s="13" t="str">
        <f t="shared" si="2"/>
        <v>FO-NBI-01#RP-KE-A-15</v>
      </c>
      <c r="J17" s="25" t="s">
        <v>92</v>
      </c>
      <c r="K17" s="66"/>
      <c r="L17" s="25" t="s">
        <v>436</v>
      </c>
      <c r="M17" s="25" t="s">
        <v>440</v>
      </c>
      <c r="N17" s="26" t="str">
        <f t="shared" si="3"/>
        <v>Roam Point - Alcapone Lounge </v>
      </c>
      <c r="O17" s="26" t="str">
        <f t="shared" si="4"/>
        <v>FO-NBI-01#RP-KE-A-15: Roam Point - Alcapone Lounge </v>
      </c>
      <c r="P17" s="45" t="s">
        <v>441</v>
      </c>
      <c r="Q17" s="13" t="s">
        <v>436</v>
      </c>
      <c r="R17" s="46" t="s">
        <v>439</v>
      </c>
      <c r="S17" s="30"/>
      <c r="T17" s="30"/>
      <c r="U17" s="30"/>
      <c r="V17" s="30"/>
      <c r="W17" s="13" t="s">
        <v>80</v>
      </c>
      <c r="X17" s="13" t="s">
        <v>80</v>
      </c>
      <c r="Y17" s="30"/>
      <c r="Z17" s="30"/>
    </row>
    <row r="18">
      <c r="A18" s="12" t="s">
        <v>74</v>
      </c>
      <c r="B18" s="64">
        <v>1.0</v>
      </c>
      <c r="C18" s="23" t="s">
        <v>382</v>
      </c>
      <c r="D18" s="12" t="str">
        <f>vlookup(C18,'List of Chargers'!$A$2:$B$5,2,FALSE)</f>
        <v>Roam Point</v>
      </c>
      <c r="E18" s="23" t="s">
        <v>73</v>
      </c>
      <c r="F18" s="23" t="s">
        <v>75</v>
      </c>
      <c r="G18" s="23" t="s">
        <v>105</v>
      </c>
      <c r="H18" s="13" t="str">
        <f t="shared" si="1"/>
        <v>#RP-KE-A-16</v>
      </c>
      <c r="I18" s="13" t="str">
        <f t="shared" si="2"/>
        <v>FO-NBI-01#RP-KE-A-16</v>
      </c>
      <c r="J18" s="25" t="s">
        <v>403</v>
      </c>
      <c r="K18" s="66"/>
      <c r="L18" s="25" t="s">
        <v>442</v>
      </c>
      <c r="M18" s="25" t="s">
        <v>443</v>
      </c>
      <c r="N18" s="26" t="str">
        <f t="shared" si="3"/>
        <v>Roam Point - Astrol Garden City 1</v>
      </c>
      <c r="O18" s="26" t="str">
        <f t="shared" si="4"/>
        <v>FO-NBI-01#RP-KE-A-16: Roam Point - Astrol Garden City 1</v>
      </c>
      <c r="P18" s="45" t="s">
        <v>444</v>
      </c>
      <c r="Q18" s="13" t="s">
        <v>442</v>
      </c>
      <c r="R18" s="46" t="s">
        <v>445</v>
      </c>
      <c r="S18" s="30"/>
      <c r="T18" s="30"/>
      <c r="U18" s="30"/>
      <c r="V18" s="30"/>
      <c r="W18" s="13" t="s">
        <v>80</v>
      </c>
      <c r="X18" s="13" t="s">
        <v>80</v>
      </c>
      <c r="Y18" s="30"/>
      <c r="Z18" s="30"/>
    </row>
    <row r="19">
      <c r="A19" s="12" t="s">
        <v>74</v>
      </c>
      <c r="B19" s="64">
        <v>1.0</v>
      </c>
      <c r="C19" s="23" t="s">
        <v>382</v>
      </c>
      <c r="D19" s="12" t="str">
        <f>vlookup(C19,'List of Chargers'!$A$2:$B$5,2,FALSE)</f>
        <v>Roam Point</v>
      </c>
      <c r="E19" s="23" t="s">
        <v>73</v>
      </c>
      <c r="F19" s="23" t="s">
        <v>75</v>
      </c>
      <c r="G19" s="23" t="s">
        <v>106</v>
      </c>
      <c r="H19" s="13" t="str">
        <f t="shared" si="1"/>
        <v>#RP-KE-A-17</v>
      </c>
      <c r="I19" s="13" t="str">
        <f t="shared" si="2"/>
        <v>FO-NBI-01#RP-KE-A-17</v>
      </c>
      <c r="J19" s="25" t="s">
        <v>92</v>
      </c>
      <c r="K19" s="66"/>
      <c r="L19" s="25" t="s">
        <v>446</v>
      </c>
      <c r="M19" s="25" t="s">
        <v>447</v>
      </c>
      <c r="N19" s="26" t="str">
        <f t="shared" si="3"/>
        <v>Roam Point - Kariobangi Roundabout 1</v>
      </c>
      <c r="O19" s="26" t="str">
        <f t="shared" si="4"/>
        <v>FO-NBI-01#RP-KE-A-17: Roam Point - Kariobangi Roundabout 1</v>
      </c>
      <c r="P19" s="45" t="s">
        <v>448</v>
      </c>
      <c r="Q19" s="13" t="s">
        <v>446</v>
      </c>
      <c r="R19" s="46" t="s">
        <v>449</v>
      </c>
      <c r="S19" s="30"/>
      <c r="T19" s="30"/>
      <c r="U19" s="30"/>
      <c r="V19" s="12"/>
      <c r="W19" s="13" t="s">
        <v>80</v>
      </c>
      <c r="X19" s="13" t="s">
        <v>80</v>
      </c>
      <c r="Y19" s="30"/>
      <c r="Z19" s="30"/>
    </row>
    <row r="20">
      <c r="A20" s="12" t="s">
        <v>74</v>
      </c>
      <c r="B20" s="64">
        <v>1.0</v>
      </c>
      <c r="C20" s="23" t="s">
        <v>382</v>
      </c>
      <c r="D20" s="12" t="str">
        <f>vlookup(C20,'List of Chargers'!$A$2:$B$5,2,FALSE)</f>
        <v>Roam Point</v>
      </c>
      <c r="E20" s="23" t="s">
        <v>73</v>
      </c>
      <c r="F20" s="23" t="s">
        <v>75</v>
      </c>
      <c r="G20" s="23" t="s">
        <v>107</v>
      </c>
      <c r="H20" s="13" t="str">
        <f t="shared" si="1"/>
        <v>#RP-KE-A-18</v>
      </c>
      <c r="I20" s="13" t="str">
        <f t="shared" si="2"/>
        <v>FO-NBI-01#RP-KE-A-18</v>
      </c>
      <c r="J20" s="25" t="s">
        <v>403</v>
      </c>
      <c r="K20" s="74"/>
      <c r="L20" s="25" t="s">
        <v>450</v>
      </c>
      <c r="M20" s="25" t="s">
        <v>451</v>
      </c>
      <c r="N20" s="26" t="str">
        <f t="shared" si="3"/>
        <v>Roam Point - Kawangware 2</v>
      </c>
      <c r="O20" s="26" t="str">
        <f t="shared" si="4"/>
        <v>FO-NBI-01#RP-KE-A-18: Roam Point - Kawangware 2</v>
      </c>
      <c r="P20" s="45" t="s">
        <v>452</v>
      </c>
      <c r="Q20" s="13" t="s">
        <v>450</v>
      </c>
      <c r="R20" s="46" t="s">
        <v>453</v>
      </c>
      <c r="S20" s="30"/>
      <c r="T20" s="30"/>
      <c r="U20" s="30"/>
      <c r="V20" s="30"/>
      <c r="W20" s="13" t="s">
        <v>80</v>
      </c>
      <c r="X20" s="13" t="s">
        <v>80</v>
      </c>
      <c r="Y20" s="30"/>
      <c r="Z20" s="30"/>
    </row>
    <row r="21">
      <c r="A21" s="12" t="s">
        <v>74</v>
      </c>
      <c r="B21" s="64">
        <v>5.0</v>
      </c>
      <c r="C21" s="23" t="s">
        <v>382</v>
      </c>
      <c r="D21" s="12" t="str">
        <f>vlookup(C21,'List of Chargers'!$A$2:$B$5,2,FALSE)</f>
        <v>Roam Point</v>
      </c>
      <c r="E21" s="23" t="s">
        <v>73</v>
      </c>
      <c r="F21" s="23" t="s">
        <v>75</v>
      </c>
      <c r="G21" s="23" t="s">
        <v>108</v>
      </c>
      <c r="H21" s="13" t="str">
        <f t="shared" si="1"/>
        <v>#RP-KE-A-19</v>
      </c>
      <c r="I21" s="13" t="str">
        <f t="shared" si="2"/>
        <v>FO-NBI-05#RP-KE-A-19</v>
      </c>
      <c r="J21" s="25" t="s">
        <v>403</v>
      </c>
      <c r="K21" s="74"/>
      <c r="L21" s="25" t="s">
        <v>454</v>
      </c>
      <c r="M21" s="25" t="s">
        <v>455</v>
      </c>
      <c r="N21" s="26" t="str">
        <f t="shared" si="3"/>
        <v>Roam Point - Kitengela 2</v>
      </c>
      <c r="O21" s="26" t="str">
        <f t="shared" si="4"/>
        <v>FO-NBI-05#RP-KE-A-19: Roam Point - Kitengela 2</v>
      </c>
      <c r="P21" s="45" t="s">
        <v>456</v>
      </c>
      <c r="Q21" s="13" t="s">
        <v>454</v>
      </c>
      <c r="R21" s="46" t="s">
        <v>457</v>
      </c>
      <c r="S21" s="11"/>
      <c r="T21" s="12"/>
      <c r="U21" s="12"/>
      <c r="V21" s="12"/>
      <c r="W21" s="13" t="s">
        <v>80</v>
      </c>
      <c r="X21" s="13" t="s">
        <v>80</v>
      </c>
      <c r="Y21" s="30"/>
      <c r="Z21" s="30"/>
    </row>
    <row r="22">
      <c r="A22" s="12" t="s">
        <v>74</v>
      </c>
      <c r="B22" s="64">
        <v>1.0</v>
      </c>
      <c r="C22" s="23" t="s">
        <v>382</v>
      </c>
      <c r="D22" s="12" t="str">
        <f>vlookup(C22,'List of Chargers'!$A$2:$B$5,2,FALSE)</f>
        <v>Roam Point</v>
      </c>
      <c r="E22" s="23" t="s">
        <v>73</v>
      </c>
      <c r="F22" s="23" t="s">
        <v>75</v>
      </c>
      <c r="G22" s="23" t="s">
        <v>109</v>
      </c>
      <c r="H22" s="13" t="str">
        <f t="shared" si="1"/>
        <v>#RP-KE-A-20</v>
      </c>
      <c r="I22" s="13" t="str">
        <f t="shared" si="2"/>
        <v>FO-NBI-01#RP-KE-A-20</v>
      </c>
      <c r="J22" s="25" t="s">
        <v>403</v>
      </c>
      <c r="K22" s="66"/>
      <c r="L22" s="25" t="s">
        <v>458</v>
      </c>
      <c r="M22" s="25" t="s">
        <v>459</v>
      </c>
      <c r="N22" s="26" t="str">
        <f t="shared" si="3"/>
        <v>Roam Point - Ngara West 1</v>
      </c>
      <c r="O22" s="26" t="str">
        <f t="shared" si="4"/>
        <v>FO-NBI-01#RP-KE-A-20: Roam Point - Ngara West 1</v>
      </c>
      <c r="P22" s="45" t="s">
        <v>460</v>
      </c>
      <c r="Q22" s="13" t="s">
        <v>458</v>
      </c>
      <c r="R22" s="46" t="s">
        <v>461</v>
      </c>
      <c r="S22" s="30"/>
      <c r="T22" s="30"/>
      <c r="U22" s="30"/>
      <c r="V22" s="30"/>
      <c r="W22" s="13" t="s">
        <v>80</v>
      </c>
      <c r="X22" s="13" t="s">
        <v>80</v>
      </c>
      <c r="Y22" s="30"/>
      <c r="Z22" s="30"/>
    </row>
    <row r="23">
      <c r="A23" s="12" t="s">
        <v>74</v>
      </c>
      <c r="B23" s="64">
        <v>2.0</v>
      </c>
      <c r="C23" s="23" t="s">
        <v>382</v>
      </c>
      <c r="D23" s="12" t="str">
        <f>vlookup(C23,'List of Chargers'!$A$2:$B$5,2,FALSE)</f>
        <v>Roam Point</v>
      </c>
      <c r="E23" s="23" t="s">
        <v>73</v>
      </c>
      <c r="F23" s="23" t="s">
        <v>75</v>
      </c>
      <c r="G23" s="23" t="s">
        <v>110</v>
      </c>
      <c r="H23" s="13" t="str">
        <f t="shared" si="1"/>
        <v>#RP-KE-A-21</v>
      </c>
      <c r="I23" s="13" t="str">
        <f t="shared" si="2"/>
        <v>FO-NBI-02#RP-KE-A-21</v>
      </c>
      <c r="J23" s="25" t="s">
        <v>403</v>
      </c>
      <c r="K23" s="66"/>
      <c r="L23" s="25" t="s">
        <v>462</v>
      </c>
      <c r="M23" s="25" t="s">
        <v>463</v>
      </c>
      <c r="N23" s="26" t="str">
        <f t="shared" si="3"/>
        <v>Roam Point - Ruiru Bypass 1</v>
      </c>
      <c r="O23" s="26" t="str">
        <f t="shared" si="4"/>
        <v>FO-NBI-02#RP-KE-A-21: Roam Point - Ruiru Bypass 1</v>
      </c>
      <c r="P23" s="45" t="s">
        <v>464</v>
      </c>
      <c r="Q23" s="13" t="s">
        <v>462</v>
      </c>
      <c r="R23" s="46" t="s">
        <v>465</v>
      </c>
      <c r="S23" s="30"/>
      <c r="T23" s="30"/>
      <c r="U23" s="30"/>
      <c r="V23" s="30"/>
      <c r="W23" s="13" t="s">
        <v>80</v>
      </c>
      <c r="X23" s="13" t="s">
        <v>80</v>
      </c>
      <c r="Y23" s="30"/>
      <c r="Z23" s="30"/>
    </row>
    <row r="24">
      <c r="A24" s="12" t="s">
        <v>74</v>
      </c>
      <c r="B24" s="64">
        <v>1.0</v>
      </c>
      <c r="C24" s="23" t="s">
        <v>382</v>
      </c>
      <c r="D24" s="12" t="str">
        <f>vlookup(C24,'List of Chargers'!$A$2:$B$5,2,FALSE)</f>
        <v>Roam Point</v>
      </c>
      <c r="E24" s="23" t="s">
        <v>73</v>
      </c>
      <c r="F24" s="23" t="s">
        <v>75</v>
      </c>
      <c r="G24" s="23" t="s">
        <v>111</v>
      </c>
      <c r="H24" s="13" t="str">
        <f t="shared" si="1"/>
        <v>#RP-KE-A-22</v>
      </c>
      <c r="I24" s="13" t="str">
        <f t="shared" si="2"/>
        <v>FO-NBI-01#RP-KE-A-22</v>
      </c>
      <c r="J24" s="25" t="s">
        <v>403</v>
      </c>
      <c r="K24" s="66"/>
      <c r="L24" s="25" t="s">
        <v>462</v>
      </c>
      <c r="M24" s="25" t="s">
        <v>466</v>
      </c>
      <c r="N24" s="26" t="str">
        <f t="shared" si="3"/>
        <v>Roam Point - Utawala 1</v>
      </c>
      <c r="O24" s="26" t="str">
        <f t="shared" si="4"/>
        <v>FO-NBI-01#RP-KE-A-22: Roam Point - Utawala 1</v>
      </c>
      <c r="P24" s="45" t="s">
        <v>467</v>
      </c>
      <c r="Q24" s="13" t="s">
        <v>462</v>
      </c>
      <c r="R24" s="13" t="s">
        <v>468</v>
      </c>
      <c r="S24" s="30"/>
      <c r="T24" s="30"/>
      <c r="U24" s="30"/>
      <c r="V24" s="30"/>
      <c r="W24" s="13" t="s">
        <v>80</v>
      </c>
      <c r="X24" s="13" t="s">
        <v>80</v>
      </c>
      <c r="Y24" s="30"/>
      <c r="Z24" s="30"/>
    </row>
    <row r="25">
      <c r="A25" s="12" t="s">
        <v>74</v>
      </c>
      <c r="B25" s="64">
        <v>1.0</v>
      </c>
      <c r="C25" s="23" t="s">
        <v>382</v>
      </c>
      <c r="D25" s="12" t="str">
        <f>vlookup(C25,'List of Chargers'!$A$2:$B$5,2,FALSE)</f>
        <v>Roam Point</v>
      </c>
      <c r="E25" s="23" t="s">
        <v>73</v>
      </c>
      <c r="F25" s="23" t="s">
        <v>75</v>
      </c>
      <c r="G25" s="23" t="s">
        <v>112</v>
      </c>
      <c r="H25" s="13" t="str">
        <f t="shared" si="1"/>
        <v>#RP-KE-A-23</v>
      </c>
      <c r="I25" s="13" t="str">
        <f t="shared" si="2"/>
        <v>FO-NBI-01#RP-KE-A-23</v>
      </c>
      <c r="J25" s="25" t="s">
        <v>403</v>
      </c>
      <c r="K25" s="66"/>
      <c r="L25" s="25" t="s">
        <v>462</v>
      </c>
      <c r="M25" s="25" t="s">
        <v>469</v>
      </c>
      <c r="N25" s="26" t="str">
        <f t="shared" si="3"/>
        <v>Roam Point - Mihango 1</v>
      </c>
      <c r="O25" s="26" t="str">
        <f t="shared" si="4"/>
        <v>FO-NBI-01#RP-KE-A-23: Roam Point - Mihango 1</v>
      </c>
      <c r="P25" s="45" t="s">
        <v>470</v>
      </c>
      <c r="Q25" s="13" t="s">
        <v>462</v>
      </c>
      <c r="R25" s="13" t="s">
        <v>471</v>
      </c>
      <c r="S25" s="30"/>
      <c r="T25" s="30"/>
      <c r="U25" s="30"/>
      <c r="V25" s="30"/>
      <c r="W25" s="13" t="s">
        <v>80</v>
      </c>
      <c r="X25" s="13" t="s">
        <v>80</v>
      </c>
      <c r="Y25" s="30"/>
      <c r="Z25" s="30"/>
    </row>
    <row r="26">
      <c r="A26" s="12" t="s">
        <v>74</v>
      </c>
      <c r="B26" s="64">
        <v>2.0</v>
      </c>
      <c r="C26" s="23" t="s">
        <v>382</v>
      </c>
      <c r="D26" s="12" t="str">
        <f>vlookup(C26,'List of Chargers'!$A$2:$B$5,2,FALSE)</f>
        <v>Roam Point</v>
      </c>
      <c r="E26" s="23" t="s">
        <v>73</v>
      </c>
      <c r="F26" s="23" t="s">
        <v>75</v>
      </c>
      <c r="G26" s="23" t="s">
        <v>113</v>
      </c>
      <c r="H26" s="13" t="str">
        <f t="shared" si="1"/>
        <v>#RP-KE-A-24</v>
      </c>
      <c r="I26" s="13" t="str">
        <f t="shared" si="2"/>
        <v>FO-NBI-02#RP-KE-A-24</v>
      </c>
      <c r="J26" s="25" t="s">
        <v>403</v>
      </c>
      <c r="K26" s="66" t="s">
        <v>472</v>
      </c>
      <c r="L26" s="25" t="s">
        <v>473</v>
      </c>
      <c r="M26" s="25" t="s">
        <v>474</v>
      </c>
      <c r="N26" s="26" t="str">
        <f t="shared" si="3"/>
        <v>Roam Point - Ruiru 1</v>
      </c>
      <c r="O26" s="26" t="str">
        <f t="shared" si="4"/>
        <v>FO-NBI-02#RP-KE-A-24: Roam Point - Ruiru 1</v>
      </c>
      <c r="P26" s="45" t="s">
        <v>475</v>
      </c>
      <c r="Q26" s="13" t="s">
        <v>473</v>
      </c>
      <c r="R26" s="46" t="s">
        <v>476</v>
      </c>
      <c r="S26" s="30"/>
      <c r="T26" s="30"/>
      <c r="U26" s="30"/>
      <c r="V26" s="30"/>
      <c r="W26" s="13" t="s">
        <v>80</v>
      </c>
      <c r="X26" s="13" t="s">
        <v>80</v>
      </c>
      <c r="Y26" s="30"/>
      <c r="Z26" s="30"/>
    </row>
    <row r="27">
      <c r="A27" s="12" t="s">
        <v>74</v>
      </c>
      <c r="B27" s="64">
        <v>2.0</v>
      </c>
      <c r="C27" s="23" t="s">
        <v>382</v>
      </c>
      <c r="D27" s="12" t="str">
        <f>vlookup(C27,'List of Chargers'!$A$2:$B$5,2,FALSE)</f>
        <v>Roam Point</v>
      </c>
      <c r="E27" s="23" t="s">
        <v>73</v>
      </c>
      <c r="F27" s="23" t="s">
        <v>75</v>
      </c>
      <c r="G27" s="23" t="s">
        <v>114</v>
      </c>
      <c r="H27" s="13" t="str">
        <f t="shared" si="1"/>
        <v>#RP-KE-A-25</v>
      </c>
      <c r="I27" s="13" t="str">
        <f t="shared" si="2"/>
        <v>FO-NBI-02#RP-KE-A-25</v>
      </c>
      <c r="J27" s="25" t="s">
        <v>403</v>
      </c>
      <c r="K27" s="66"/>
      <c r="L27" s="25" t="s">
        <v>477</v>
      </c>
      <c r="M27" s="25" t="s">
        <v>478</v>
      </c>
      <c r="N27" s="26" t="str">
        <f t="shared" si="3"/>
        <v>Roam Point - Kiambu 1</v>
      </c>
      <c r="O27" s="26" t="str">
        <f t="shared" si="4"/>
        <v>FO-NBI-02#RP-KE-A-25: Roam Point - Kiambu 1</v>
      </c>
      <c r="P27" s="45" t="s">
        <v>479</v>
      </c>
      <c r="Q27" s="13" t="s">
        <v>477</v>
      </c>
      <c r="R27" s="46" t="s">
        <v>480</v>
      </c>
      <c r="S27" s="30"/>
      <c r="T27" s="30"/>
      <c r="U27" s="30"/>
      <c r="V27" s="30"/>
      <c r="W27" s="13" t="s">
        <v>80</v>
      </c>
      <c r="X27" s="13" t="s">
        <v>80</v>
      </c>
      <c r="Y27" s="30"/>
      <c r="Z27" s="30"/>
    </row>
    <row r="28">
      <c r="A28" s="12" t="s">
        <v>74</v>
      </c>
      <c r="B28" s="64">
        <v>1.0</v>
      </c>
      <c r="C28" s="23" t="s">
        <v>382</v>
      </c>
      <c r="D28" s="12" t="str">
        <f>vlookup(C28,'List of Chargers'!$A$2:$B$5,2,FALSE)</f>
        <v>Roam Point</v>
      </c>
      <c r="E28" s="23" t="s">
        <v>73</v>
      </c>
      <c r="F28" s="23" t="s">
        <v>75</v>
      </c>
      <c r="G28" s="23" t="s">
        <v>115</v>
      </c>
      <c r="H28" s="13" t="str">
        <f t="shared" si="1"/>
        <v>#RP-KE-A-26</v>
      </c>
      <c r="I28" s="13" t="str">
        <f t="shared" si="2"/>
        <v>FO-NBI-01#RP-KE-A-26</v>
      </c>
      <c r="J28" s="25" t="s">
        <v>403</v>
      </c>
      <c r="K28" s="66"/>
      <c r="L28" s="25" t="s">
        <v>481</v>
      </c>
      <c r="M28" s="25" t="s">
        <v>482</v>
      </c>
      <c r="N28" s="26" t="str">
        <f t="shared" si="3"/>
        <v>Roam Point - Utawala 2</v>
      </c>
      <c r="O28" s="26" t="str">
        <f t="shared" si="4"/>
        <v>FO-NBI-01#RP-KE-A-26: Roam Point - Utawala 2</v>
      </c>
      <c r="P28" s="45" t="s">
        <v>483</v>
      </c>
      <c r="Q28" s="13" t="s">
        <v>481</v>
      </c>
      <c r="R28" s="46" t="s">
        <v>484</v>
      </c>
      <c r="S28" s="30"/>
      <c r="T28" s="30"/>
      <c r="U28" s="30"/>
      <c r="V28" s="30"/>
      <c r="W28" s="13" t="s">
        <v>80</v>
      </c>
      <c r="X28" s="13" t="s">
        <v>80</v>
      </c>
      <c r="Y28" s="30"/>
      <c r="Z28" s="30"/>
    </row>
    <row r="29">
      <c r="A29" s="12" t="s">
        <v>74</v>
      </c>
      <c r="B29" s="64">
        <v>1.0</v>
      </c>
      <c r="C29" s="23" t="s">
        <v>382</v>
      </c>
      <c r="D29" s="12" t="str">
        <f>vlookup(C29,'List of Chargers'!$A$2:$B$5,2,FALSE)</f>
        <v>Roam Point</v>
      </c>
      <c r="E29" s="23" t="s">
        <v>73</v>
      </c>
      <c r="F29" s="23" t="s">
        <v>75</v>
      </c>
      <c r="G29" s="23" t="s">
        <v>116</v>
      </c>
      <c r="H29" s="13" t="str">
        <f t="shared" si="1"/>
        <v>#RP-KE-A-27</v>
      </c>
      <c r="I29" s="13" t="str">
        <f t="shared" si="2"/>
        <v>FO-NBI-01#RP-KE-A-27</v>
      </c>
      <c r="J29" s="25" t="s">
        <v>403</v>
      </c>
      <c r="K29" s="66"/>
      <c r="L29" s="25" t="s">
        <v>485</v>
      </c>
      <c r="M29" s="25" t="s">
        <v>486</v>
      </c>
      <c r="N29" s="26" t="str">
        <f t="shared" si="3"/>
        <v>Roam Point - Kayole Junction 1</v>
      </c>
      <c r="O29" s="26" t="str">
        <f t="shared" si="4"/>
        <v>FO-NBI-01#RP-KE-A-27: Roam Point - Kayole Junction 1</v>
      </c>
      <c r="P29" s="45" t="s">
        <v>487</v>
      </c>
      <c r="Q29" s="13" t="s">
        <v>485</v>
      </c>
      <c r="R29" s="46" t="s">
        <v>488</v>
      </c>
      <c r="S29" s="30"/>
      <c r="T29" s="30"/>
      <c r="U29" s="30"/>
      <c r="V29" s="30"/>
      <c r="W29" s="13" t="s">
        <v>80</v>
      </c>
      <c r="X29" s="13" t="s">
        <v>80</v>
      </c>
      <c r="Y29" s="30"/>
      <c r="Z29" s="30"/>
    </row>
    <row r="30">
      <c r="A30" s="12" t="s">
        <v>74</v>
      </c>
      <c r="B30" s="64">
        <v>4.0</v>
      </c>
      <c r="C30" s="23" t="s">
        <v>382</v>
      </c>
      <c r="D30" s="12" t="str">
        <f>vlookup(C30,'List of Chargers'!$A$2:$B$5,2,FALSE)</f>
        <v>Roam Point</v>
      </c>
      <c r="E30" s="23" t="s">
        <v>73</v>
      </c>
      <c r="F30" s="23" t="s">
        <v>75</v>
      </c>
      <c r="G30" s="23" t="s">
        <v>117</v>
      </c>
      <c r="H30" s="13" t="str">
        <f t="shared" si="1"/>
        <v>#RP-KE-A-28</v>
      </c>
      <c r="I30" s="13" t="str">
        <f t="shared" si="2"/>
        <v>FO-NBI-04#RP-KE-A-28</v>
      </c>
      <c r="J30" s="25" t="s">
        <v>403</v>
      </c>
      <c r="K30" s="66"/>
      <c r="L30" s="25" t="s">
        <v>489</v>
      </c>
      <c r="M30" s="25" t="s">
        <v>490</v>
      </c>
      <c r="N30" s="26" t="str">
        <f t="shared" si="3"/>
        <v>Roam Point - Ngong Racecourse 1</v>
      </c>
      <c r="O30" s="26" t="str">
        <f t="shared" si="4"/>
        <v>FO-NBI-04#RP-KE-A-28: Roam Point - Ngong Racecourse 1</v>
      </c>
      <c r="P30" s="45" t="s">
        <v>491</v>
      </c>
      <c r="Q30" s="13" t="s">
        <v>489</v>
      </c>
      <c r="R30" s="46" t="s">
        <v>492</v>
      </c>
      <c r="S30" s="30"/>
      <c r="T30" s="30"/>
      <c r="U30" s="30"/>
      <c r="V30" s="30"/>
      <c r="W30" s="13" t="s">
        <v>80</v>
      </c>
      <c r="X30" s="13" t="s">
        <v>80</v>
      </c>
      <c r="Y30" s="30"/>
      <c r="Z30" s="30"/>
    </row>
    <row r="31">
      <c r="A31" s="12" t="s">
        <v>74</v>
      </c>
      <c r="B31" s="64">
        <v>1.0</v>
      </c>
      <c r="C31" s="23" t="s">
        <v>382</v>
      </c>
      <c r="D31" s="12" t="str">
        <f>vlookup(C31,'List of Chargers'!$A$2:$B$5,2,FALSE)</f>
        <v>Roam Point</v>
      </c>
      <c r="E31" s="23" t="s">
        <v>73</v>
      </c>
      <c r="F31" s="23" t="s">
        <v>75</v>
      </c>
      <c r="G31" s="23" t="s">
        <v>118</v>
      </c>
      <c r="H31" s="13" t="str">
        <f t="shared" si="1"/>
        <v>#RP-KE-A-29</v>
      </c>
      <c r="I31" s="13" t="str">
        <f t="shared" si="2"/>
        <v>FO-NBI-01#RP-KE-A-29</v>
      </c>
      <c r="J31" s="25" t="s">
        <v>403</v>
      </c>
      <c r="K31" s="66"/>
      <c r="L31" s="25" t="s">
        <v>493</v>
      </c>
      <c r="M31" s="25" t="s">
        <v>494</v>
      </c>
      <c r="N31" s="26" t="str">
        <f t="shared" si="3"/>
        <v>Roam Point - Gitaru 1</v>
      </c>
      <c r="O31" s="26" t="str">
        <f t="shared" si="4"/>
        <v>FO-NBI-01#RP-KE-A-29: Roam Point - Gitaru 1</v>
      </c>
      <c r="P31" s="45" t="s">
        <v>495</v>
      </c>
      <c r="Q31" s="13" t="s">
        <v>493</v>
      </c>
      <c r="R31" s="46" t="s">
        <v>496</v>
      </c>
      <c r="S31" s="30"/>
      <c r="T31" s="30"/>
      <c r="U31" s="30"/>
      <c r="V31" s="30"/>
      <c r="W31" s="13" t="s">
        <v>80</v>
      </c>
      <c r="X31" s="13" t="s">
        <v>80</v>
      </c>
      <c r="Y31" s="30"/>
      <c r="Z31" s="30"/>
    </row>
    <row r="32">
      <c r="A32" s="12" t="s">
        <v>74</v>
      </c>
      <c r="B32" s="64">
        <v>1.0</v>
      </c>
      <c r="C32" s="23" t="s">
        <v>382</v>
      </c>
      <c r="D32" s="12" t="str">
        <f>vlookup(C32,'List of Chargers'!$A$2:$B$5,2,FALSE)</f>
        <v>Roam Point</v>
      </c>
      <c r="E32" s="23" t="s">
        <v>73</v>
      </c>
      <c r="F32" s="23" t="s">
        <v>75</v>
      </c>
      <c r="G32" s="23" t="s">
        <v>119</v>
      </c>
      <c r="H32" s="13" t="str">
        <f t="shared" si="1"/>
        <v>#RP-KE-A-30</v>
      </c>
      <c r="I32" s="13" t="str">
        <f t="shared" si="2"/>
        <v>FO-NBI-01#RP-KE-A-30</v>
      </c>
      <c r="J32" s="25" t="s">
        <v>403</v>
      </c>
      <c r="K32" s="66"/>
      <c r="L32" s="25" t="s">
        <v>497</v>
      </c>
      <c r="M32" s="25" t="s">
        <v>498</v>
      </c>
      <c r="N32" s="26" t="str">
        <f t="shared" si="3"/>
        <v>Roam Point - Thome 1</v>
      </c>
      <c r="O32" s="26" t="str">
        <f t="shared" si="4"/>
        <v>FO-NBI-01#RP-KE-A-30: Roam Point - Thome 1</v>
      </c>
      <c r="P32" s="45" t="s">
        <v>499</v>
      </c>
      <c r="Q32" s="13" t="s">
        <v>497</v>
      </c>
      <c r="R32" s="46" t="s">
        <v>500</v>
      </c>
      <c r="S32" s="30"/>
      <c r="T32" s="30"/>
      <c r="U32" s="30"/>
      <c r="V32" s="30"/>
      <c r="W32" s="13" t="s">
        <v>80</v>
      </c>
      <c r="X32" s="13" t="s">
        <v>80</v>
      </c>
      <c r="Y32" s="30"/>
      <c r="Z32" s="30"/>
    </row>
    <row r="33">
      <c r="A33" s="12" t="s">
        <v>74</v>
      </c>
      <c r="B33" s="64">
        <v>1.0</v>
      </c>
      <c r="C33" s="23" t="s">
        <v>382</v>
      </c>
      <c r="D33" s="12" t="str">
        <f>vlookup(C33,'List of Chargers'!$A$2:$B$5,2,FALSE)</f>
        <v>Roam Point</v>
      </c>
      <c r="E33" s="23" t="s">
        <v>73</v>
      </c>
      <c r="F33" s="23" t="s">
        <v>75</v>
      </c>
      <c r="G33" s="23" t="s">
        <v>120</v>
      </c>
      <c r="H33" s="13" t="str">
        <f t="shared" si="1"/>
        <v>#RP-KE-A-31</v>
      </c>
      <c r="I33" s="13" t="str">
        <f t="shared" si="2"/>
        <v>FO-NBI-01#RP-KE-A-31</v>
      </c>
      <c r="J33" s="25" t="s">
        <v>403</v>
      </c>
      <c r="K33" s="66"/>
      <c r="L33" s="25" t="s">
        <v>497</v>
      </c>
      <c r="M33" s="25" t="s">
        <v>501</v>
      </c>
      <c r="N33" s="26" t="str">
        <f t="shared" si="3"/>
        <v>Roam Point - Dagoretti 1</v>
      </c>
      <c r="O33" s="26" t="str">
        <f t="shared" si="4"/>
        <v>FO-NBI-01#RP-KE-A-31: Roam Point - Dagoretti 1</v>
      </c>
      <c r="P33" s="45" t="s">
        <v>502</v>
      </c>
      <c r="Q33" s="13" t="s">
        <v>497</v>
      </c>
      <c r="R33" s="13" t="s">
        <v>503</v>
      </c>
      <c r="S33" s="30"/>
      <c r="T33" s="30"/>
      <c r="U33" s="30"/>
      <c r="V33" s="30"/>
      <c r="W33" s="13" t="s">
        <v>80</v>
      </c>
      <c r="X33" s="13" t="s">
        <v>80</v>
      </c>
      <c r="Y33" s="30"/>
      <c r="Z33" s="30"/>
    </row>
    <row r="34">
      <c r="A34" s="12" t="s">
        <v>74</v>
      </c>
      <c r="B34" s="64">
        <v>1.0</v>
      </c>
      <c r="C34" s="23" t="s">
        <v>382</v>
      </c>
      <c r="D34" s="12" t="str">
        <f>vlookup(C34,'List of Chargers'!$A$2:$B$5,2,FALSE)</f>
        <v>Roam Point</v>
      </c>
      <c r="E34" s="23" t="s">
        <v>73</v>
      </c>
      <c r="F34" s="23" t="s">
        <v>75</v>
      </c>
      <c r="G34" s="23" t="s">
        <v>121</v>
      </c>
      <c r="H34" s="13" t="str">
        <f t="shared" si="1"/>
        <v>#RP-KE-A-32</v>
      </c>
      <c r="I34" s="13" t="str">
        <f t="shared" si="2"/>
        <v>FO-NBI-01#RP-KE-A-32</v>
      </c>
      <c r="J34" s="25" t="s">
        <v>403</v>
      </c>
      <c r="K34" s="66"/>
      <c r="L34" s="25" t="s">
        <v>504</v>
      </c>
      <c r="M34" s="25" t="s">
        <v>505</v>
      </c>
      <c r="N34" s="26" t="str">
        <f t="shared" si="3"/>
        <v>Roam Point - Buruburu 1</v>
      </c>
      <c r="O34" s="26" t="str">
        <f t="shared" si="4"/>
        <v>FO-NBI-01#RP-KE-A-32: Roam Point - Buruburu 1</v>
      </c>
      <c r="S34" s="30"/>
      <c r="T34" s="30"/>
      <c r="U34" s="30"/>
      <c r="V34" s="30"/>
      <c r="W34" s="13" t="s">
        <v>80</v>
      </c>
      <c r="X34" s="13" t="s">
        <v>80</v>
      </c>
      <c r="Y34" s="30"/>
      <c r="Z34" s="30"/>
    </row>
    <row r="35">
      <c r="A35" s="12" t="s">
        <v>74</v>
      </c>
      <c r="B35" s="64">
        <v>5.0</v>
      </c>
      <c r="C35" s="23" t="s">
        <v>382</v>
      </c>
      <c r="D35" s="12" t="str">
        <f>vlookup(C35,'List of Chargers'!$A$2:$B$5,2,FALSE)</f>
        <v>Roam Point</v>
      </c>
      <c r="E35" s="23" t="s">
        <v>73</v>
      </c>
      <c r="F35" s="23" t="s">
        <v>75</v>
      </c>
      <c r="G35" s="23" t="s">
        <v>122</v>
      </c>
      <c r="H35" s="13" t="str">
        <f t="shared" si="1"/>
        <v>#RP-KE-A-33</v>
      </c>
      <c r="I35" s="13" t="str">
        <f t="shared" si="2"/>
        <v>FO-NBI-05#RP-KE-A-33</v>
      </c>
      <c r="J35" s="25" t="s">
        <v>403</v>
      </c>
      <c r="K35" s="66"/>
      <c r="L35" s="25" t="s">
        <v>497</v>
      </c>
      <c r="M35" s="25" t="s">
        <v>506</v>
      </c>
      <c r="N35" s="26" t="str">
        <f t="shared" si="3"/>
        <v>Roam Point - Rimpa 1</v>
      </c>
      <c r="O35" s="26" t="str">
        <f t="shared" si="4"/>
        <v>FO-NBI-05#RP-KE-A-33: Roam Point - Rimpa 1</v>
      </c>
      <c r="P35" s="45" t="s">
        <v>507</v>
      </c>
      <c r="Q35" s="13" t="s">
        <v>497</v>
      </c>
      <c r="R35" s="13" t="s">
        <v>508</v>
      </c>
      <c r="S35" s="30"/>
      <c r="T35" s="30"/>
      <c r="U35" s="30"/>
      <c r="V35" s="30"/>
      <c r="W35" s="13" t="s">
        <v>80</v>
      </c>
      <c r="X35" s="13" t="s">
        <v>80</v>
      </c>
      <c r="Y35" s="30"/>
      <c r="Z35" s="30"/>
    </row>
    <row r="36">
      <c r="A36" s="12" t="s">
        <v>74</v>
      </c>
      <c r="B36" s="64">
        <v>5.0</v>
      </c>
      <c r="C36" s="23" t="s">
        <v>382</v>
      </c>
      <c r="D36" s="12" t="str">
        <f>vlookup(C36,'List of Chargers'!$A$2:$B$5,2,FALSE)</f>
        <v>Roam Point</v>
      </c>
      <c r="E36" s="23" t="s">
        <v>73</v>
      </c>
      <c r="F36" s="23" t="s">
        <v>75</v>
      </c>
      <c r="G36" s="23" t="s">
        <v>509</v>
      </c>
      <c r="H36" s="13" t="str">
        <f t="shared" si="1"/>
        <v>#RP-KE-A-34</v>
      </c>
      <c r="I36" s="13" t="str">
        <f t="shared" si="2"/>
        <v>FO-NBI-05#RP-KE-A-34</v>
      </c>
      <c r="J36" s="25" t="s">
        <v>403</v>
      </c>
      <c r="K36" s="66"/>
      <c r="L36" s="25" t="s">
        <v>497</v>
      </c>
      <c r="M36" s="25" t="s">
        <v>510</v>
      </c>
      <c r="N36" s="26" t="str">
        <f t="shared" si="3"/>
        <v>Roam Point - Kiserian 1</v>
      </c>
      <c r="O36" s="26" t="str">
        <f t="shared" si="4"/>
        <v>FO-NBI-05#RP-KE-A-34: Roam Point - Kiserian 1</v>
      </c>
      <c r="P36" s="45" t="s">
        <v>511</v>
      </c>
      <c r="Q36" s="13" t="s">
        <v>497</v>
      </c>
      <c r="R36" s="13" t="s">
        <v>512</v>
      </c>
      <c r="S36" s="30"/>
      <c r="T36" s="30"/>
      <c r="U36" s="30"/>
      <c r="V36" s="30"/>
      <c r="W36" s="13" t="s">
        <v>80</v>
      </c>
      <c r="X36" s="13" t="s">
        <v>80</v>
      </c>
      <c r="Y36" s="30"/>
      <c r="Z36" s="30"/>
    </row>
    <row r="37">
      <c r="A37" s="12" t="s">
        <v>74</v>
      </c>
      <c r="B37" s="64">
        <v>2.0</v>
      </c>
      <c r="C37" s="23" t="s">
        <v>382</v>
      </c>
      <c r="D37" s="12" t="str">
        <f>vlookup(C37,'List of Chargers'!$A$2:$B$5,2,FALSE)</f>
        <v>Roam Point</v>
      </c>
      <c r="E37" s="23" t="s">
        <v>73</v>
      </c>
      <c r="F37" s="23" t="s">
        <v>75</v>
      </c>
      <c r="G37" s="23" t="s">
        <v>513</v>
      </c>
      <c r="H37" s="13" t="str">
        <f t="shared" si="1"/>
        <v>#RP-KE-A-35</v>
      </c>
      <c r="I37" s="13" t="str">
        <f t="shared" si="2"/>
        <v>FO-NBI-02#RP-KE-A-35</v>
      </c>
      <c r="J37" s="25" t="s">
        <v>403</v>
      </c>
      <c r="K37" s="66"/>
      <c r="L37" s="25" t="s">
        <v>514</v>
      </c>
      <c r="M37" s="25" t="s">
        <v>515</v>
      </c>
      <c r="N37" s="26" t="str">
        <f t="shared" si="3"/>
        <v>Roam Point - Ruiru 2</v>
      </c>
      <c r="O37" s="26" t="str">
        <f t="shared" si="4"/>
        <v>FO-NBI-02#RP-KE-A-35: Roam Point - Ruiru 2</v>
      </c>
      <c r="P37" s="45" t="s">
        <v>516</v>
      </c>
      <c r="Q37" s="13" t="s">
        <v>514</v>
      </c>
      <c r="R37" s="46" t="s">
        <v>517</v>
      </c>
      <c r="S37" s="30"/>
      <c r="T37" s="30"/>
      <c r="U37" s="30"/>
      <c r="V37" s="30"/>
      <c r="W37" s="13" t="s">
        <v>80</v>
      </c>
      <c r="X37" s="13" t="s">
        <v>80</v>
      </c>
      <c r="Y37" s="30"/>
      <c r="Z37" s="30"/>
    </row>
    <row r="38">
      <c r="A38" s="12" t="s">
        <v>74</v>
      </c>
      <c r="B38" s="64">
        <v>1.0</v>
      </c>
      <c r="C38" s="23" t="s">
        <v>382</v>
      </c>
      <c r="D38" s="12" t="str">
        <f>vlookup(C38,'List of Chargers'!$A$2:$B$5,2,FALSE)</f>
        <v>Roam Point</v>
      </c>
      <c r="E38" s="23" t="s">
        <v>73</v>
      </c>
      <c r="F38" s="23" t="s">
        <v>75</v>
      </c>
      <c r="G38" s="23" t="s">
        <v>518</v>
      </c>
      <c r="H38" s="13" t="str">
        <f t="shared" si="1"/>
        <v>#RP-KE-A-36</v>
      </c>
      <c r="I38" s="13" t="str">
        <f t="shared" si="2"/>
        <v>FO-NBI-01#RP-KE-A-36</v>
      </c>
      <c r="J38" s="25" t="s">
        <v>403</v>
      </c>
      <c r="K38" s="66"/>
      <c r="L38" s="25" t="s">
        <v>519</v>
      </c>
      <c r="M38" s="25" t="s">
        <v>520</v>
      </c>
      <c r="N38" s="26" t="str">
        <f t="shared" si="3"/>
        <v>Roam Point - Makadara 1</v>
      </c>
      <c r="O38" s="26" t="str">
        <f t="shared" si="4"/>
        <v>FO-NBI-01#RP-KE-A-36: Roam Point - Makadara 1</v>
      </c>
      <c r="P38" s="45" t="s">
        <v>521</v>
      </c>
      <c r="Q38" s="13" t="s">
        <v>519</v>
      </c>
      <c r="S38" s="30"/>
      <c r="T38" s="30"/>
      <c r="U38" s="30"/>
      <c r="V38" s="30"/>
      <c r="W38" s="13" t="s">
        <v>80</v>
      </c>
      <c r="X38" s="13" t="s">
        <v>80</v>
      </c>
      <c r="Y38" s="30"/>
      <c r="Z38" s="30"/>
    </row>
    <row r="39">
      <c r="A39" s="12" t="s">
        <v>74</v>
      </c>
      <c r="B39" s="64">
        <v>1.0</v>
      </c>
      <c r="C39" s="23" t="s">
        <v>382</v>
      </c>
      <c r="D39" s="12" t="str">
        <f>vlookup(C39,'List of Chargers'!$A$2:$B$5,2,FALSE)</f>
        <v>Roam Point</v>
      </c>
      <c r="E39" s="23" t="s">
        <v>73</v>
      </c>
      <c r="F39" s="23" t="s">
        <v>75</v>
      </c>
      <c r="G39" s="23" t="s">
        <v>522</v>
      </c>
      <c r="H39" s="13" t="str">
        <f t="shared" si="1"/>
        <v>#RP-KE-A-37</v>
      </c>
      <c r="I39" s="13" t="str">
        <f t="shared" si="2"/>
        <v>FO-NBI-01#RP-KE-A-37</v>
      </c>
      <c r="J39" s="25" t="s">
        <v>403</v>
      </c>
      <c r="K39" s="66"/>
      <c r="L39" s="25" t="s">
        <v>523</v>
      </c>
      <c r="M39" s="25" t="s">
        <v>524</v>
      </c>
      <c r="N39" s="26" t="str">
        <f t="shared" si="3"/>
        <v>Roam Point - Huruma 1</v>
      </c>
      <c r="O39" s="26" t="str">
        <f t="shared" si="4"/>
        <v>FO-NBI-01#RP-KE-A-37: Roam Point - Huruma 1</v>
      </c>
      <c r="Q39" s="13" t="s">
        <v>523</v>
      </c>
      <c r="R39" s="46" t="s">
        <v>525</v>
      </c>
      <c r="S39" s="30"/>
      <c r="T39" s="30"/>
      <c r="U39" s="30"/>
      <c r="V39" s="30"/>
      <c r="W39" s="13" t="s">
        <v>80</v>
      </c>
      <c r="X39" s="13" t="s">
        <v>80</v>
      </c>
      <c r="Y39" s="30"/>
      <c r="Z39" s="30"/>
    </row>
    <row r="40">
      <c r="A40" s="12" t="s">
        <v>74</v>
      </c>
      <c r="B40" s="64">
        <v>1.0</v>
      </c>
      <c r="C40" s="23" t="s">
        <v>382</v>
      </c>
      <c r="D40" s="12" t="str">
        <f>vlookup(C40,'List of Chargers'!$A$2:$B$5,2,FALSE)</f>
        <v>Roam Point</v>
      </c>
      <c r="E40" s="23" t="s">
        <v>73</v>
      </c>
      <c r="F40" s="23" t="s">
        <v>75</v>
      </c>
      <c r="G40" s="23" t="s">
        <v>526</v>
      </c>
      <c r="H40" s="13" t="str">
        <f t="shared" si="1"/>
        <v>#RP-KE-A-38</v>
      </c>
      <c r="I40" s="13" t="str">
        <f t="shared" si="2"/>
        <v>FO-NBI-01#RP-KE-A-38</v>
      </c>
      <c r="J40" s="25" t="s">
        <v>403</v>
      </c>
      <c r="K40" s="66"/>
      <c r="L40" s="25" t="s">
        <v>527</v>
      </c>
      <c r="M40" s="25" t="s">
        <v>528</v>
      </c>
      <c r="N40" s="26" t="str">
        <f t="shared" si="3"/>
        <v>Roam Point - Industrial Area 1</v>
      </c>
      <c r="O40" s="26" t="str">
        <f t="shared" si="4"/>
        <v>FO-NBI-01#RP-KE-A-38: Roam Point - Industrial Area 1</v>
      </c>
      <c r="P40" s="45" t="s">
        <v>529</v>
      </c>
      <c r="Q40" s="13" t="s">
        <v>527</v>
      </c>
      <c r="R40" s="46" t="s">
        <v>530</v>
      </c>
      <c r="S40" s="30"/>
      <c r="T40" s="30"/>
      <c r="U40" s="30"/>
      <c r="V40" s="30"/>
      <c r="W40" s="13" t="s">
        <v>80</v>
      </c>
      <c r="X40" s="13" t="s">
        <v>80</v>
      </c>
      <c r="Y40" s="30"/>
      <c r="Z40" s="30"/>
    </row>
    <row r="41">
      <c r="A41" s="12" t="s">
        <v>74</v>
      </c>
      <c r="B41" s="64">
        <v>1.0</v>
      </c>
      <c r="C41" s="23" t="s">
        <v>382</v>
      </c>
      <c r="D41" s="12" t="str">
        <f>vlookup(C41,'List of Chargers'!$A$2:$B$5,2,FALSE)</f>
        <v>Roam Point</v>
      </c>
      <c r="E41" s="23" t="s">
        <v>73</v>
      </c>
      <c r="F41" s="23" t="s">
        <v>75</v>
      </c>
      <c r="G41" s="23" t="s">
        <v>531</v>
      </c>
      <c r="H41" s="13" t="str">
        <f t="shared" si="1"/>
        <v>#RP-KE-A-39</v>
      </c>
      <c r="I41" s="13" t="str">
        <f t="shared" si="2"/>
        <v>FO-NBI-01#RP-KE-A-39</v>
      </c>
      <c r="J41" s="25" t="s">
        <v>403</v>
      </c>
      <c r="K41" s="66"/>
      <c r="L41" s="25" t="s">
        <v>532</v>
      </c>
      <c r="M41" s="25" t="s">
        <v>533</v>
      </c>
      <c r="N41" s="26" t="str">
        <f t="shared" si="3"/>
        <v>Roam Point - Industrial Area 2</v>
      </c>
      <c r="O41" s="26" t="str">
        <f t="shared" si="4"/>
        <v>FO-NBI-01#RP-KE-A-39: Roam Point - Industrial Area 2</v>
      </c>
      <c r="Q41" s="13" t="s">
        <v>532</v>
      </c>
      <c r="R41" s="46" t="s">
        <v>534</v>
      </c>
      <c r="S41" s="30"/>
      <c r="T41" s="30"/>
      <c r="U41" s="30"/>
      <c r="V41" s="30"/>
      <c r="W41" s="13" t="s">
        <v>80</v>
      </c>
      <c r="X41" s="13" t="s">
        <v>80</v>
      </c>
      <c r="Y41" s="30"/>
      <c r="Z41" s="30"/>
    </row>
    <row r="42">
      <c r="A42" s="12" t="s">
        <v>74</v>
      </c>
      <c r="B42" s="64">
        <v>1.0</v>
      </c>
      <c r="C42" s="23" t="s">
        <v>382</v>
      </c>
      <c r="D42" s="12" t="str">
        <f>vlookup(C42,'List of Chargers'!$A$2:$B$5,2,FALSE)</f>
        <v>Roam Point</v>
      </c>
      <c r="E42" s="23" t="s">
        <v>73</v>
      </c>
      <c r="F42" s="23" t="s">
        <v>75</v>
      </c>
      <c r="G42" s="23" t="s">
        <v>535</v>
      </c>
      <c r="H42" s="13" t="str">
        <f t="shared" si="1"/>
        <v>#RP-KE-A-40</v>
      </c>
      <c r="I42" s="13" t="str">
        <f t="shared" si="2"/>
        <v>FO-NBI-01#RP-KE-A-40</v>
      </c>
      <c r="J42" s="25" t="s">
        <v>403</v>
      </c>
      <c r="K42" s="66"/>
      <c r="L42" s="25" t="s">
        <v>536</v>
      </c>
      <c r="M42" s="25" t="s">
        <v>537</v>
      </c>
      <c r="N42" s="26" t="str">
        <f t="shared" si="3"/>
        <v>Roam Point - Upperhill 1</v>
      </c>
      <c r="O42" s="26" t="str">
        <f t="shared" si="4"/>
        <v>FO-NBI-01#RP-KE-A-40: Roam Point - Upperhill 1</v>
      </c>
      <c r="P42" s="45" t="s">
        <v>538</v>
      </c>
      <c r="Q42" s="13" t="s">
        <v>536</v>
      </c>
      <c r="R42" s="46" t="s">
        <v>539</v>
      </c>
      <c r="S42" s="30"/>
      <c r="T42" s="30"/>
      <c r="U42" s="30"/>
      <c r="V42" s="30"/>
      <c r="W42" s="13" t="s">
        <v>80</v>
      </c>
      <c r="X42" s="13" t="s">
        <v>80</v>
      </c>
      <c r="Y42" s="30"/>
      <c r="Z42" s="30"/>
    </row>
    <row r="43">
      <c r="A43" s="12" t="s">
        <v>74</v>
      </c>
      <c r="B43" s="64">
        <v>1.0</v>
      </c>
      <c r="C43" s="23" t="s">
        <v>382</v>
      </c>
      <c r="D43" s="12" t="str">
        <f>vlookup(C43,'List of Chargers'!$A$2:$B$5,2,FALSE)</f>
        <v>Roam Point</v>
      </c>
      <c r="E43" s="23" t="s">
        <v>73</v>
      </c>
      <c r="F43" s="23" t="s">
        <v>75</v>
      </c>
      <c r="G43" s="23" t="s">
        <v>540</v>
      </c>
      <c r="H43" s="13" t="str">
        <f t="shared" si="1"/>
        <v>#RP-KE-A-41</v>
      </c>
      <c r="I43" s="13" t="str">
        <f t="shared" si="2"/>
        <v>FO-NBI-01#RP-KE-A-41</v>
      </c>
      <c r="J43" s="25" t="s">
        <v>403</v>
      </c>
      <c r="K43" s="66"/>
      <c r="L43" s="25" t="s">
        <v>541</v>
      </c>
      <c r="M43" s="25" t="s">
        <v>542</v>
      </c>
      <c r="N43" s="26" t="str">
        <f t="shared" si="3"/>
        <v>Roam Point - Kilimani 1</v>
      </c>
      <c r="O43" s="26" t="str">
        <f t="shared" si="4"/>
        <v>FO-NBI-01#RP-KE-A-41: Roam Point - Kilimani 1</v>
      </c>
      <c r="P43" s="45" t="s">
        <v>543</v>
      </c>
      <c r="Q43" s="13" t="s">
        <v>541</v>
      </c>
      <c r="R43" s="46" t="s">
        <v>544</v>
      </c>
      <c r="S43" s="30"/>
      <c r="T43" s="30"/>
      <c r="U43" s="30"/>
      <c r="V43" s="30"/>
      <c r="W43" s="13" t="s">
        <v>80</v>
      </c>
      <c r="X43" s="13" t="s">
        <v>80</v>
      </c>
      <c r="Y43" s="30"/>
      <c r="Z43" s="30"/>
    </row>
    <row r="44">
      <c r="A44" s="12" t="s">
        <v>74</v>
      </c>
      <c r="B44" s="64">
        <v>1.0</v>
      </c>
      <c r="C44" s="23" t="s">
        <v>382</v>
      </c>
      <c r="D44" s="12" t="str">
        <f>vlookup(C44,'List of Chargers'!$A$2:$B$5,2,FALSE)</f>
        <v>Roam Point</v>
      </c>
      <c r="E44" s="23" t="s">
        <v>73</v>
      </c>
      <c r="F44" s="23" t="s">
        <v>75</v>
      </c>
      <c r="G44" s="23" t="s">
        <v>545</v>
      </c>
      <c r="H44" s="13" t="str">
        <f t="shared" si="1"/>
        <v>#RP-KE-A-42</v>
      </c>
      <c r="I44" s="13" t="str">
        <f t="shared" si="2"/>
        <v>FO-NBI-01#RP-KE-A-42</v>
      </c>
      <c r="J44" s="25" t="s">
        <v>403</v>
      </c>
      <c r="K44" s="66"/>
      <c r="L44" s="25" t="s">
        <v>546</v>
      </c>
      <c r="M44" s="25" t="s">
        <v>547</v>
      </c>
      <c r="N44" s="26" t="str">
        <f t="shared" si="3"/>
        <v>Roam Point - Hurlingham 1</v>
      </c>
      <c r="O44" s="26" t="str">
        <f t="shared" si="4"/>
        <v>FO-NBI-01#RP-KE-A-42: Roam Point - Hurlingham 1</v>
      </c>
      <c r="P44" s="45" t="s">
        <v>548</v>
      </c>
      <c r="Q44" s="13" t="s">
        <v>546</v>
      </c>
      <c r="S44" s="30"/>
      <c r="T44" s="30"/>
      <c r="U44" s="30"/>
      <c r="V44" s="30"/>
      <c r="W44" s="13" t="s">
        <v>80</v>
      </c>
      <c r="X44" s="13" t="s">
        <v>80</v>
      </c>
      <c r="Y44" s="30"/>
      <c r="Z44" s="30"/>
    </row>
    <row r="45">
      <c r="A45" s="12" t="s">
        <v>74</v>
      </c>
      <c r="B45" s="64">
        <v>3.0</v>
      </c>
      <c r="C45" s="23" t="s">
        <v>382</v>
      </c>
      <c r="D45" s="12" t="str">
        <f>vlookup(C45,'List of Chargers'!$A$2:$B$5,2,FALSE)</f>
        <v>Roam Point</v>
      </c>
      <c r="E45" s="23" t="s">
        <v>73</v>
      </c>
      <c r="F45" s="23" t="s">
        <v>75</v>
      </c>
      <c r="G45" s="23" t="s">
        <v>549</v>
      </c>
      <c r="H45" s="13" t="str">
        <f t="shared" si="1"/>
        <v>#RP-KE-A-43</v>
      </c>
      <c r="I45" s="13" t="str">
        <f t="shared" si="2"/>
        <v>FO-NBI-03#RP-KE-A-43</v>
      </c>
      <c r="J45" s="25" t="s">
        <v>403</v>
      </c>
      <c r="K45" s="66"/>
      <c r="L45" s="25" t="s">
        <v>550</v>
      </c>
      <c r="M45" s="25" t="s">
        <v>551</v>
      </c>
      <c r="N45" s="26" t="str">
        <f t="shared" si="3"/>
        <v>Roam Point - Kamulu 1</v>
      </c>
      <c r="O45" s="26" t="str">
        <f t="shared" si="4"/>
        <v>FO-NBI-03#RP-KE-A-43: Roam Point - Kamulu 1</v>
      </c>
      <c r="P45" s="45" t="s">
        <v>552</v>
      </c>
      <c r="Q45" s="13" t="s">
        <v>550</v>
      </c>
      <c r="S45" s="30"/>
      <c r="T45" s="30"/>
      <c r="U45" s="30"/>
      <c r="V45" s="30"/>
      <c r="W45" s="13" t="s">
        <v>80</v>
      </c>
      <c r="X45" s="13" t="s">
        <v>80</v>
      </c>
      <c r="Y45" s="30"/>
      <c r="Z45" s="30"/>
    </row>
    <row r="46">
      <c r="A46" s="12" t="s">
        <v>74</v>
      </c>
      <c r="B46" s="64">
        <v>1.0</v>
      </c>
      <c r="C46" s="23" t="s">
        <v>382</v>
      </c>
      <c r="D46" s="12" t="str">
        <f>vlookup(C46,'List of Chargers'!$A$2:$B$5,2,FALSE)</f>
        <v>Roam Point</v>
      </c>
      <c r="E46" s="23" t="s">
        <v>73</v>
      </c>
      <c r="F46" s="23" t="s">
        <v>75</v>
      </c>
      <c r="G46" s="23" t="s">
        <v>553</v>
      </c>
      <c r="H46" s="13" t="str">
        <f t="shared" si="1"/>
        <v>#RP-KE-A-44</v>
      </c>
      <c r="I46" s="13" t="str">
        <f t="shared" si="2"/>
        <v>FO-NBI-01#RP-KE-A-44</v>
      </c>
      <c r="J46" s="25" t="s">
        <v>403</v>
      </c>
      <c r="K46" s="66"/>
      <c r="L46" s="25" t="s">
        <v>554</v>
      </c>
      <c r="M46" s="25" t="s">
        <v>555</v>
      </c>
      <c r="N46" s="26" t="str">
        <f t="shared" si="3"/>
        <v>Roam Point - City Mortuary 1</v>
      </c>
      <c r="O46" s="26" t="str">
        <f t="shared" si="4"/>
        <v>FO-NBI-01#RP-KE-A-44: Roam Point - City Mortuary 1</v>
      </c>
      <c r="P46" s="45" t="s">
        <v>556</v>
      </c>
      <c r="Q46" s="13" t="s">
        <v>554</v>
      </c>
      <c r="R46" s="46" t="s">
        <v>557</v>
      </c>
      <c r="S46" s="30"/>
      <c r="T46" s="30"/>
      <c r="U46" s="30"/>
      <c r="V46" s="30"/>
      <c r="W46" s="13" t="s">
        <v>80</v>
      </c>
      <c r="X46" s="13" t="s">
        <v>80</v>
      </c>
      <c r="Y46" s="30"/>
      <c r="Z46" s="30"/>
    </row>
    <row r="47">
      <c r="A47" s="12" t="s">
        <v>74</v>
      </c>
      <c r="B47" s="64">
        <v>1.0</v>
      </c>
      <c r="C47" s="23" t="s">
        <v>382</v>
      </c>
      <c r="D47" s="12" t="str">
        <f>vlookup(C47,'List of Chargers'!$A$2:$B$5,2,FALSE)</f>
        <v>Roam Point</v>
      </c>
      <c r="E47" s="23" t="s">
        <v>73</v>
      </c>
      <c r="F47" s="23" t="s">
        <v>75</v>
      </c>
      <c r="G47" s="23" t="s">
        <v>558</v>
      </c>
      <c r="H47" s="13" t="str">
        <f t="shared" si="1"/>
        <v>#RP-KE-A-45</v>
      </c>
      <c r="I47" s="13" t="str">
        <f t="shared" si="2"/>
        <v>FO-NBI-01#RP-KE-A-45</v>
      </c>
      <c r="J47" s="25" t="s">
        <v>403</v>
      </c>
      <c r="K47" s="66"/>
      <c r="L47" s="25" t="s">
        <v>559</v>
      </c>
      <c r="M47" s="25" t="s">
        <v>560</v>
      </c>
      <c r="N47" s="26" t="str">
        <f t="shared" si="3"/>
        <v>Roam Point - Thogoto 1</v>
      </c>
      <c r="O47" s="26" t="str">
        <f t="shared" si="4"/>
        <v>FO-NBI-01#RP-KE-A-45: Roam Point - Thogoto 1</v>
      </c>
      <c r="P47" s="45" t="s">
        <v>561</v>
      </c>
      <c r="Q47" s="13" t="s">
        <v>559</v>
      </c>
      <c r="R47" s="46" t="s">
        <v>562</v>
      </c>
      <c r="S47" s="30"/>
      <c r="T47" s="30"/>
      <c r="U47" s="30"/>
      <c r="V47" s="30"/>
      <c r="W47" s="13" t="s">
        <v>80</v>
      </c>
      <c r="X47" s="13" t="s">
        <v>80</v>
      </c>
      <c r="Y47" s="30"/>
      <c r="Z47" s="30"/>
    </row>
    <row r="48">
      <c r="A48" s="12" t="s">
        <v>74</v>
      </c>
      <c r="B48" s="64">
        <v>1.0</v>
      </c>
      <c r="C48" s="23" t="s">
        <v>382</v>
      </c>
      <c r="D48" s="12" t="str">
        <f>vlookup(C48,'List of Chargers'!$A$2:$B$5,2,FALSE)</f>
        <v>Roam Point</v>
      </c>
      <c r="E48" s="23" t="s">
        <v>73</v>
      </c>
      <c r="F48" s="23" t="s">
        <v>75</v>
      </c>
      <c r="G48" s="23" t="s">
        <v>563</v>
      </c>
      <c r="H48" s="13" t="str">
        <f t="shared" si="1"/>
        <v>#RP-KE-A-46</v>
      </c>
      <c r="I48" s="13" t="str">
        <f t="shared" si="2"/>
        <v>FO-NBI-01#RP-KE-A-46</v>
      </c>
      <c r="J48" s="25" t="s">
        <v>403</v>
      </c>
      <c r="K48" s="66"/>
      <c r="L48" s="25" t="s">
        <v>564</v>
      </c>
      <c r="M48" s="25" t="s">
        <v>565</v>
      </c>
      <c r="N48" s="26" t="str">
        <f t="shared" si="3"/>
        <v>Roam Point - Parklands 1</v>
      </c>
      <c r="O48" s="26" t="str">
        <f t="shared" si="4"/>
        <v>FO-NBI-01#RP-KE-A-46: Roam Point - Parklands 1</v>
      </c>
      <c r="P48" s="45" t="s">
        <v>566</v>
      </c>
      <c r="Q48" s="13" t="s">
        <v>564</v>
      </c>
      <c r="R48" s="46" t="s">
        <v>567</v>
      </c>
      <c r="S48" s="30"/>
      <c r="T48" s="30"/>
      <c r="U48" s="30"/>
      <c r="V48" s="30"/>
      <c r="W48" s="13" t="s">
        <v>80</v>
      </c>
      <c r="X48" s="13" t="s">
        <v>80</v>
      </c>
      <c r="Y48" s="30"/>
      <c r="Z48" s="30"/>
    </row>
    <row r="49">
      <c r="A49" s="12" t="s">
        <v>74</v>
      </c>
      <c r="B49" s="64">
        <v>1.0</v>
      </c>
      <c r="C49" s="23" t="s">
        <v>382</v>
      </c>
      <c r="D49" s="12" t="str">
        <f>vlookup(C49,'List of Chargers'!$A$2:$B$5,2,FALSE)</f>
        <v>Roam Point</v>
      </c>
      <c r="E49" s="23" t="s">
        <v>73</v>
      </c>
      <c r="F49" s="23" t="s">
        <v>75</v>
      </c>
      <c r="G49" s="23" t="s">
        <v>568</v>
      </c>
      <c r="H49" s="13" t="str">
        <f t="shared" si="1"/>
        <v>#RP-KE-A-47</v>
      </c>
      <c r="I49" s="13" t="str">
        <f t="shared" si="2"/>
        <v>FO-NBI-01#RP-KE-A-47</v>
      </c>
      <c r="J49" s="25" t="s">
        <v>403</v>
      </c>
      <c r="K49" s="66"/>
      <c r="L49" s="25" t="s">
        <v>569</v>
      </c>
      <c r="M49" s="25" t="s">
        <v>570</v>
      </c>
      <c r="N49" s="26" t="str">
        <f t="shared" si="3"/>
        <v>Roam Point - Kasarani 1</v>
      </c>
      <c r="O49" s="26" t="str">
        <f t="shared" si="4"/>
        <v>FO-NBI-01#RP-KE-A-47: Roam Point - Kasarani 1</v>
      </c>
      <c r="P49" s="45" t="s">
        <v>571</v>
      </c>
      <c r="Q49" s="13" t="s">
        <v>569</v>
      </c>
      <c r="R49" s="46" t="s">
        <v>572</v>
      </c>
      <c r="S49" s="30"/>
      <c r="T49" s="30"/>
      <c r="U49" s="30"/>
      <c r="V49" s="30"/>
      <c r="W49" s="13" t="s">
        <v>80</v>
      </c>
      <c r="X49" s="13" t="s">
        <v>80</v>
      </c>
      <c r="Y49" s="30"/>
      <c r="Z49" s="30"/>
    </row>
    <row r="50">
      <c r="A50" s="12" t="s">
        <v>74</v>
      </c>
      <c r="B50" s="64">
        <v>1.0</v>
      </c>
      <c r="C50" s="23" t="s">
        <v>382</v>
      </c>
      <c r="D50" s="12" t="str">
        <f>vlookup(C50,'List of Chargers'!$A$2:$B$5,2,FALSE)</f>
        <v>Roam Point</v>
      </c>
      <c r="E50" s="23" t="s">
        <v>73</v>
      </c>
      <c r="F50" s="23" t="s">
        <v>75</v>
      </c>
      <c r="G50" s="23" t="s">
        <v>573</v>
      </c>
      <c r="H50" s="13" t="str">
        <f t="shared" si="1"/>
        <v>#RP-KE-A-48</v>
      </c>
      <c r="I50" s="13" t="str">
        <f t="shared" si="2"/>
        <v>FO-NBI-01#RP-KE-A-48</v>
      </c>
      <c r="J50" s="25" t="s">
        <v>403</v>
      </c>
      <c r="K50" s="66"/>
      <c r="L50" s="25" t="s">
        <v>574</v>
      </c>
      <c r="M50" s="25" t="s">
        <v>575</v>
      </c>
      <c r="N50" s="26" t="str">
        <f t="shared" si="3"/>
        <v>Roam Point - Outering Bus Stop</v>
      </c>
      <c r="O50" s="26" t="str">
        <f t="shared" si="4"/>
        <v>FO-NBI-01#RP-KE-A-48: Roam Point - Outering Bus Stop</v>
      </c>
      <c r="S50" s="30"/>
      <c r="T50" s="30"/>
      <c r="U50" s="30"/>
      <c r="V50" s="30"/>
      <c r="Y50" s="30"/>
      <c r="Z50" s="30"/>
    </row>
    <row r="51">
      <c r="A51" s="12" t="s">
        <v>74</v>
      </c>
      <c r="B51" s="64"/>
      <c r="C51" s="23" t="s">
        <v>382</v>
      </c>
      <c r="D51" s="12" t="str">
        <f>vlookup(C51,'List of Chargers'!$A$2:$B$5,2,FALSE)</f>
        <v>Roam Point</v>
      </c>
      <c r="E51" s="23" t="s">
        <v>73</v>
      </c>
      <c r="F51" s="23" t="s">
        <v>75</v>
      </c>
      <c r="G51" s="23" t="s">
        <v>576</v>
      </c>
      <c r="H51" s="13" t="str">
        <f t="shared" si="1"/>
        <v>#RP-KE-A-49</v>
      </c>
      <c r="I51" s="13" t="str">
        <f t="shared" si="2"/>
        <v>FO-NBI-00#RP-KE-A-49</v>
      </c>
      <c r="J51" s="25" t="s">
        <v>403</v>
      </c>
      <c r="K51" s="66"/>
      <c r="L51" s="31"/>
      <c r="M51" s="25"/>
      <c r="N51" s="26" t="str">
        <f t="shared" si="3"/>
        <v>Roam Point - </v>
      </c>
      <c r="O51" s="26" t="str">
        <f t="shared" si="4"/>
        <v>FO-NBI-00#RP-KE-A-49: Roam Point - </v>
      </c>
      <c r="S51" s="30"/>
      <c r="T51" s="30"/>
      <c r="U51" s="30"/>
      <c r="V51" s="30"/>
      <c r="Y51" s="30"/>
      <c r="Z51" s="30"/>
    </row>
    <row r="52">
      <c r="A52" s="12" t="s">
        <v>74</v>
      </c>
      <c r="B52" s="64"/>
      <c r="C52" s="23" t="s">
        <v>382</v>
      </c>
      <c r="D52" s="12" t="str">
        <f>vlookup(C52,'List of Chargers'!$A$2:$B$5,2,FALSE)</f>
        <v>Roam Point</v>
      </c>
      <c r="E52" s="23" t="s">
        <v>73</v>
      </c>
      <c r="F52" s="23" t="s">
        <v>75</v>
      </c>
      <c r="G52" s="23" t="s">
        <v>577</v>
      </c>
      <c r="H52" s="13" t="str">
        <f t="shared" si="1"/>
        <v>#RP-KE-A-50</v>
      </c>
      <c r="I52" s="13" t="str">
        <f t="shared" si="2"/>
        <v>FO-NBI-00#RP-KE-A-50</v>
      </c>
      <c r="J52" s="25"/>
      <c r="K52" s="66"/>
      <c r="L52" s="31"/>
      <c r="M52" s="25"/>
      <c r="N52" s="26" t="str">
        <f t="shared" si="3"/>
        <v>Roam Point - </v>
      </c>
      <c r="O52" s="26" t="str">
        <f t="shared" si="4"/>
        <v>FO-NBI-00#RP-KE-A-50: Roam Point - </v>
      </c>
      <c r="S52" s="30"/>
      <c r="T52" s="30"/>
      <c r="U52" s="30"/>
      <c r="V52" s="30"/>
      <c r="Y52" s="30"/>
      <c r="Z52" s="30"/>
    </row>
    <row r="53">
      <c r="A53" s="12" t="s">
        <v>74</v>
      </c>
      <c r="B53" s="64"/>
      <c r="C53" s="23" t="s">
        <v>382</v>
      </c>
      <c r="D53" s="12" t="str">
        <f>vlookup(C53,'List of Chargers'!$A$2:$B$5,2,FALSE)</f>
        <v>Roam Point</v>
      </c>
      <c r="E53" s="23" t="s">
        <v>73</v>
      </c>
      <c r="F53" s="23" t="s">
        <v>75</v>
      </c>
      <c r="G53" s="23" t="s">
        <v>578</v>
      </c>
      <c r="H53" s="13" t="str">
        <f t="shared" si="1"/>
        <v>#RP-KE-A-51</v>
      </c>
      <c r="I53" s="13" t="str">
        <f t="shared" si="2"/>
        <v>FO-NBI-00#RP-KE-A-51</v>
      </c>
      <c r="J53" s="25"/>
      <c r="K53" s="66"/>
      <c r="L53" s="31"/>
      <c r="M53" s="25"/>
      <c r="N53" s="26" t="str">
        <f t="shared" si="3"/>
        <v>Roam Point - </v>
      </c>
      <c r="O53" s="26" t="str">
        <f t="shared" si="4"/>
        <v>FO-NBI-00#RP-KE-A-51: Roam Point - </v>
      </c>
      <c r="S53" s="30"/>
      <c r="T53" s="30"/>
      <c r="U53" s="30"/>
      <c r="V53" s="30"/>
      <c r="Y53" s="30"/>
      <c r="Z53" s="30"/>
    </row>
    <row r="54">
      <c r="A54" s="12" t="s">
        <v>74</v>
      </c>
      <c r="B54" s="64"/>
      <c r="C54" s="23" t="s">
        <v>382</v>
      </c>
      <c r="D54" s="12" t="str">
        <f>vlookup(C54,'List of Chargers'!$A$2:$B$5,2,FALSE)</f>
        <v>Roam Point</v>
      </c>
      <c r="E54" s="23" t="s">
        <v>73</v>
      </c>
      <c r="F54" s="23" t="s">
        <v>75</v>
      </c>
      <c r="G54" s="23" t="s">
        <v>579</v>
      </c>
      <c r="H54" s="13" t="str">
        <f t="shared" si="1"/>
        <v>#RP-KE-A-52</v>
      </c>
      <c r="I54" s="13" t="str">
        <f t="shared" si="2"/>
        <v>FO-NBI-00#RP-KE-A-52</v>
      </c>
      <c r="J54" s="25"/>
      <c r="K54" s="66"/>
      <c r="L54" s="31"/>
      <c r="M54" s="25"/>
      <c r="N54" s="26" t="str">
        <f t="shared" si="3"/>
        <v>Roam Point - </v>
      </c>
      <c r="O54" s="26" t="str">
        <f t="shared" si="4"/>
        <v>FO-NBI-00#RP-KE-A-52: Roam Point - </v>
      </c>
      <c r="S54" s="30"/>
      <c r="T54" s="30"/>
      <c r="U54" s="30"/>
      <c r="V54" s="30"/>
      <c r="Y54" s="30"/>
      <c r="Z54" s="30"/>
    </row>
    <row r="55">
      <c r="A55" s="12" t="s">
        <v>74</v>
      </c>
      <c r="B55" s="64"/>
      <c r="C55" s="23" t="s">
        <v>382</v>
      </c>
      <c r="D55" s="12" t="str">
        <f>vlookup(C55,'List of Chargers'!$A$2:$B$5,2,FALSE)</f>
        <v>Roam Point</v>
      </c>
      <c r="E55" s="23" t="s">
        <v>73</v>
      </c>
      <c r="F55" s="23" t="s">
        <v>75</v>
      </c>
      <c r="G55" s="23" t="s">
        <v>580</v>
      </c>
      <c r="H55" s="13" t="str">
        <f t="shared" si="1"/>
        <v>#RP-KE-A-53</v>
      </c>
      <c r="I55" s="13" t="str">
        <f t="shared" si="2"/>
        <v>FO-NBI-00#RP-KE-A-53</v>
      </c>
      <c r="J55" s="25"/>
      <c r="K55" s="66"/>
      <c r="L55" s="31"/>
      <c r="M55" s="25"/>
      <c r="N55" s="26" t="str">
        <f t="shared" si="3"/>
        <v>Roam Point - </v>
      </c>
      <c r="O55" s="26" t="str">
        <f t="shared" si="4"/>
        <v>FO-NBI-00#RP-KE-A-53: Roam Point - </v>
      </c>
      <c r="S55" s="30"/>
      <c r="T55" s="30"/>
      <c r="U55" s="30"/>
      <c r="V55" s="30"/>
      <c r="Y55" s="30"/>
      <c r="Z55" s="30"/>
    </row>
    <row r="56">
      <c r="A56" s="12" t="s">
        <v>74</v>
      </c>
      <c r="B56" s="64"/>
      <c r="C56" s="23" t="s">
        <v>382</v>
      </c>
      <c r="D56" s="12" t="str">
        <f>vlookup(C56,'List of Chargers'!$A$2:$B$5,2,FALSE)</f>
        <v>Roam Point</v>
      </c>
      <c r="E56" s="23" t="s">
        <v>73</v>
      </c>
      <c r="F56" s="23" t="s">
        <v>75</v>
      </c>
      <c r="G56" s="23" t="s">
        <v>581</v>
      </c>
      <c r="H56" s="13" t="str">
        <f t="shared" si="1"/>
        <v>#RP-KE-A-54</v>
      </c>
      <c r="I56" s="13" t="str">
        <f t="shared" si="2"/>
        <v>FO-NBI-00#RP-KE-A-54</v>
      </c>
      <c r="J56" s="25"/>
      <c r="K56" s="66"/>
      <c r="L56" s="31"/>
      <c r="M56" s="25"/>
      <c r="N56" s="26" t="str">
        <f t="shared" si="3"/>
        <v>Roam Point - </v>
      </c>
      <c r="O56" s="26" t="str">
        <f t="shared" si="4"/>
        <v>FO-NBI-00#RP-KE-A-54: Roam Point - </v>
      </c>
      <c r="S56" s="30"/>
      <c r="T56" s="30"/>
      <c r="U56" s="30"/>
      <c r="V56" s="30"/>
      <c r="Y56" s="30"/>
      <c r="Z56" s="30"/>
    </row>
    <row r="57">
      <c r="A57" s="12" t="s">
        <v>74</v>
      </c>
      <c r="B57" s="64"/>
      <c r="C57" s="23" t="s">
        <v>382</v>
      </c>
      <c r="D57" s="12" t="str">
        <f>vlookup(C57,'List of Chargers'!$A$2:$B$5,2,FALSE)</f>
        <v>Roam Point</v>
      </c>
      <c r="E57" s="23" t="s">
        <v>73</v>
      </c>
      <c r="F57" s="23" t="s">
        <v>75</v>
      </c>
      <c r="G57" s="23" t="s">
        <v>582</v>
      </c>
      <c r="H57" s="13" t="str">
        <f t="shared" si="1"/>
        <v>#RP-KE-A-55</v>
      </c>
      <c r="I57" s="13" t="str">
        <f t="shared" si="2"/>
        <v>FO-NBI-00#RP-KE-A-55</v>
      </c>
      <c r="J57" s="25"/>
      <c r="K57" s="66"/>
      <c r="L57" s="31"/>
      <c r="M57" s="25"/>
      <c r="N57" s="26" t="str">
        <f t="shared" si="3"/>
        <v>Roam Point - </v>
      </c>
      <c r="O57" s="26" t="str">
        <f t="shared" si="4"/>
        <v>FO-NBI-00#RP-KE-A-55: Roam Point - </v>
      </c>
      <c r="S57" s="30"/>
      <c r="T57" s="30"/>
      <c r="U57" s="30"/>
      <c r="V57" s="30"/>
      <c r="Y57" s="30"/>
      <c r="Z57" s="30"/>
    </row>
    <row r="58">
      <c r="A58" s="12" t="s">
        <v>74</v>
      </c>
      <c r="B58" s="64"/>
      <c r="C58" s="23" t="s">
        <v>382</v>
      </c>
      <c r="D58" s="12" t="str">
        <f>vlookup(C58,'List of Chargers'!$A$2:$B$5,2,FALSE)</f>
        <v>Roam Point</v>
      </c>
      <c r="E58" s="23" t="s">
        <v>73</v>
      </c>
      <c r="F58" s="23" t="s">
        <v>75</v>
      </c>
      <c r="G58" s="23" t="s">
        <v>583</v>
      </c>
      <c r="H58" s="13" t="str">
        <f t="shared" si="1"/>
        <v>#RP-KE-A-56</v>
      </c>
      <c r="I58" s="13" t="str">
        <f t="shared" si="2"/>
        <v>FO-NBI-00#RP-KE-A-56</v>
      </c>
      <c r="J58" s="25"/>
      <c r="K58" s="66"/>
      <c r="L58" s="31"/>
      <c r="M58" s="25"/>
      <c r="N58" s="26" t="str">
        <f t="shared" si="3"/>
        <v>Roam Point - </v>
      </c>
      <c r="O58" s="26" t="str">
        <f t="shared" si="4"/>
        <v>FO-NBI-00#RP-KE-A-56: Roam Point - </v>
      </c>
      <c r="S58" s="30"/>
      <c r="T58" s="30"/>
      <c r="U58" s="30"/>
      <c r="V58" s="30"/>
      <c r="Y58" s="30"/>
      <c r="Z58" s="30"/>
    </row>
    <row r="59">
      <c r="A59" s="12" t="s">
        <v>74</v>
      </c>
      <c r="B59" s="64"/>
      <c r="C59" s="23" t="s">
        <v>382</v>
      </c>
      <c r="D59" s="12" t="str">
        <f>vlookup(C59,'List of Chargers'!$A$2:$B$5,2,FALSE)</f>
        <v>Roam Point</v>
      </c>
      <c r="E59" s="23" t="s">
        <v>73</v>
      </c>
      <c r="F59" s="23" t="s">
        <v>75</v>
      </c>
      <c r="G59" s="23" t="s">
        <v>584</v>
      </c>
      <c r="H59" s="13" t="str">
        <f t="shared" si="1"/>
        <v>#RP-KE-A-57</v>
      </c>
      <c r="I59" s="13" t="str">
        <f t="shared" si="2"/>
        <v>FO-NBI-00#RP-KE-A-57</v>
      </c>
      <c r="J59" s="25"/>
      <c r="K59" s="66"/>
      <c r="L59" s="31"/>
      <c r="M59" s="25"/>
      <c r="N59" s="26" t="str">
        <f t="shared" si="3"/>
        <v>Roam Point - </v>
      </c>
      <c r="O59" s="26" t="str">
        <f t="shared" si="4"/>
        <v>FO-NBI-00#RP-KE-A-57: Roam Point - </v>
      </c>
      <c r="S59" s="30"/>
      <c r="T59" s="30"/>
      <c r="U59" s="30"/>
      <c r="V59" s="30"/>
      <c r="Y59" s="30"/>
      <c r="Z59" s="30"/>
    </row>
    <row r="60">
      <c r="A60" s="12" t="s">
        <v>74</v>
      </c>
      <c r="B60" s="64"/>
      <c r="C60" s="23" t="s">
        <v>382</v>
      </c>
      <c r="D60" s="12" t="str">
        <f>vlookup(C60,'List of Chargers'!$A$2:$B$5,2,FALSE)</f>
        <v>Roam Point</v>
      </c>
      <c r="E60" s="23" t="s">
        <v>73</v>
      </c>
      <c r="F60" s="23" t="s">
        <v>75</v>
      </c>
      <c r="G60" s="23" t="s">
        <v>585</v>
      </c>
      <c r="H60" s="13" t="str">
        <f t="shared" si="1"/>
        <v>#RP-KE-A-58</v>
      </c>
      <c r="I60" s="13" t="str">
        <f t="shared" si="2"/>
        <v>FO-NBI-00#RP-KE-A-58</v>
      </c>
      <c r="J60" s="25"/>
      <c r="K60" s="66"/>
      <c r="L60" s="31"/>
      <c r="M60" s="25"/>
      <c r="N60" s="26" t="str">
        <f t="shared" si="3"/>
        <v>Roam Point - </v>
      </c>
      <c r="O60" s="26" t="str">
        <f t="shared" si="4"/>
        <v>FO-NBI-00#RP-KE-A-58: Roam Point - </v>
      </c>
      <c r="S60" s="30"/>
      <c r="T60" s="30"/>
      <c r="U60" s="30"/>
      <c r="V60" s="30"/>
      <c r="Y60" s="30"/>
      <c r="Z60" s="30"/>
    </row>
    <row r="61">
      <c r="A61" s="12" t="s">
        <v>74</v>
      </c>
      <c r="B61" s="64"/>
      <c r="C61" s="23" t="s">
        <v>382</v>
      </c>
      <c r="D61" s="12" t="str">
        <f>vlookup(C61,'List of Chargers'!$A$2:$B$5,2,FALSE)</f>
        <v>Roam Point</v>
      </c>
      <c r="E61" s="23" t="s">
        <v>73</v>
      </c>
      <c r="F61" s="23" t="s">
        <v>75</v>
      </c>
      <c r="G61" s="23" t="s">
        <v>586</v>
      </c>
      <c r="H61" s="13" t="str">
        <f t="shared" si="1"/>
        <v>#RP-KE-A-59</v>
      </c>
      <c r="I61" s="13" t="str">
        <f t="shared" si="2"/>
        <v>FO-NBI-00#RP-KE-A-59</v>
      </c>
      <c r="J61" s="25"/>
      <c r="K61" s="66"/>
      <c r="L61" s="31"/>
      <c r="M61" s="25"/>
      <c r="N61" s="26" t="str">
        <f t="shared" si="3"/>
        <v>Roam Point - </v>
      </c>
      <c r="O61" s="26" t="str">
        <f t="shared" si="4"/>
        <v>FO-NBI-00#RP-KE-A-59: Roam Point - </v>
      </c>
      <c r="S61" s="30"/>
      <c r="T61" s="30"/>
      <c r="U61" s="30"/>
      <c r="V61" s="30"/>
      <c r="Y61" s="30"/>
      <c r="Z61" s="30"/>
    </row>
    <row r="62">
      <c r="A62" s="12" t="s">
        <v>74</v>
      </c>
      <c r="B62" s="64"/>
      <c r="C62" s="23" t="s">
        <v>382</v>
      </c>
      <c r="D62" s="12" t="str">
        <f>vlookup(C62,'List of Chargers'!$A$2:$B$5,2,FALSE)</f>
        <v>Roam Point</v>
      </c>
      <c r="E62" s="23" t="s">
        <v>73</v>
      </c>
      <c r="F62" s="23" t="s">
        <v>75</v>
      </c>
      <c r="G62" s="23" t="s">
        <v>587</v>
      </c>
      <c r="H62" s="13" t="str">
        <f t="shared" si="1"/>
        <v>#RP-KE-A-60</v>
      </c>
      <c r="I62" s="13" t="str">
        <f t="shared" si="2"/>
        <v>FO-NBI-00#RP-KE-A-60</v>
      </c>
      <c r="J62" s="25"/>
      <c r="K62" s="66"/>
      <c r="L62" s="31"/>
      <c r="M62" s="25"/>
      <c r="N62" s="26" t="str">
        <f t="shared" si="3"/>
        <v>Roam Point - </v>
      </c>
      <c r="O62" s="26" t="str">
        <f t="shared" si="4"/>
        <v>FO-NBI-00#RP-KE-A-60: Roam Point - </v>
      </c>
      <c r="S62" s="30"/>
      <c r="T62" s="30"/>
      <c r="U62" s="30"/>
      <c r="V62" s="30"/>
      <c r="Y62" s="30"/>
      <c r="Z62" s="30"/>
    </row>
    <row r="63">
      <c r="A63" s="12" t="s">
        <v>74</v>
      </c>
      <c r="B63" s="64"/>
      <c r="C63" s="23" t="s">
        <v>382</v>
      </c>
      <c r="D63" s="12" t="str">
        <f>vlookup(C63,'List of Chargers'!$A$2:$B$5,2,FALSE)</f>
        <v>Roam Point</v>
      </c>
      <c r="E63" s="23" t="s">
        <v>73</v>
      </c>
      <c r="F63" s="23" t="s">
        <v>75</v>
      </c>
      <c r="G63" s="23" t="s">
        <v>588</v>
      </c>
      <c r="H63" s="13" t="str">
        <f t="shared" si="1"/>
        <v>#RP-KE-A-61</v>
      </c>
      <c r="I63" s="13" t="str">
        <f t="shared" si="2"/>
        <v>FO-NBI-00#RP-KE-A-61</v>
      </c>
      <c r="J63" s="25"/>
      <c r="K63" s="66"/>
      <c r="S63" s="30"/>
      <c r="T63" s="30"/>
      <c r="U63" s="30"/>
      <c r="V63" s="30"/>
      <c r="Y63" s="30"/>
      <c r="Z63" s="30"/>
    </row>
    <row r="64">
      <c r="A64" s="12" t="s">
        <v>74</v>
      </c>
      <c r="B64" s="64"/>
      <c r="C64" s="23" t="s">
        <v>382</v>
      </c>
      <c r="D64" s="12" t="str">
        <f>vlookup(C64,'List of Chargers'!$A$2:$B$5,2,FALSE)</f>
        <v>Roam Point</v>
      </c>
      <c r="E64" s="23" t="s">
        <v>73</v>
      </c>
      <c r="F64" s="23" t="s">
        <v>75</v>
      </c>
      <c r="G64" s="23" t="s">
        <v>589</v>
      </c>
      <c r="H64" s="13" t="str">
        <f t="shared" si="1"/>
        <v>#RP-KE-A-62</v>
      </c>
      <c r="I64" s="13" t="str">
        <f t="shared" si="2"/>
        <v>FO-NBI-00#RP-KE-A-62</v>
      </c>
      <c r="J64" s="25"/>
      <c r="K64" s="66"/>
      <c r="S64" s="30"/>
      <c r="T64" s="30"/>
      <c r="U64" s="30"/>
      <c r="V64" s="30"/>
      <c r="Y64" s="30"/>
      <c r="Z64" s="30"/>
    </row>
    <row r="65">
      <c r="A65" s="12" t="s">
        <v>74</v>
      </c>
      <c r="B65" s="64"/>
      <c r="C65" s="23" t="s">
        <v>382</v>
      </c>
      <c r="D65" s="12" t="str">
        <f>vlookup(C65,'List of Chargers'!$A$2:$B$5,2,FALSE)</f>
        <v>Roam Point</v>
      </c>
      <c r="E65" s="23" t="s">
        <v>73</v>
      </c>
      <c r="F65" s="23" t="s">
        <v>75</v>
      </c>
      <c r="G65" s="23" t="s">
        <v>590</v>
      </c>
      <c r="H65" s="13" t="str">
        <f t="shared" si="1"/>
        <v>#RP-KE-A-63</v>
      </c>
      <c r="I65" s="13" t="str">
        <f t="shared" si="2"/>
        <v>FO-NBI-00#RP-KE-A-63</v>
      </c>
      <c r="J65" s="25"/>
      <c r="K65" s="66"/>
      <c r="S65" s="30"/>
      <c r="T65" s="30"/>
      <c r="U65" s="30"/>
      <c r="V65" s="30"/>
      <c r="Y65" s="30"/>
      <c r="Z65" s="30"/>
    </row>
    <row r="66">
      <c r="A66" s="12" t="s">
        <v>74</v>
      </c>
      <c r="B66" s="64"/>
      <c r="C66" s="23" t="s">
        <v>382</v>
      </c>
      <c r="D66" s="12" t="str">
        <f>vlookup(C66,'List of Chargers'!$A$2:$B$5,2,FALSE)</f>
        <v>Roam Point</v>
      </c>
      <c r="E66" s="23" t="s">
        <v>73</v>
      </c>
      <c r="F66" s="23" t="s">
        <v>75</v>
      </c>
      <c r="G66" s="23" t="s">
        <v>591</v>
      </c>
      <c r="H66" s="13" t="str">
        <f t="shared" si="1"/>
        <v>#RP-KE-A-64</v>
      </c>
      <c r="I66" s="13" t="str">
        <f t="shared" si="2"/>
        <v>FO-NBI-00#RP-KE-A-64</v>
      </c>
      <c r="J66" s="25"/>
      <c r="K66" s="66"/>
      <c r="S66" s="30"/>
      <c r="T66" s="30"/>
      <c r="U66" s="30"/>
      <c r="V66" s="30"/>
      <c r="Y66" s="30"/>
      <c r="Z66" s="30"/>
    </row>
    <row r="67">
      <c r="A67" s="12" t="s">
        <v>74</v>
      </c>
      <c r="B67" s="64"/>
      <c r="C67" s="23" t="s">
        <v>382</v>
      </c>
      <c r="D67" s="12" t="str">
        <f>vlookup(C67,'List of Chargers'!$A$2:$B$5,2,FALSE)</f>
        <v>Roam Point</v>
      </c>
      <c r="E67" s="23" t="s">
        <v>73</v>
      </c>
      <c r="F67" s="23" t="s">
        <v>75</v>
      </c>
      <c r="G67" s="23" t="s">
        <v>592</v>
      </c>
      <c r="H67" s="13" t="str">
        <f t="shared" si="1"/>
        <v>#RP-KE-A-65</v>
      </c>
      <c r="I67" s="13" t="str">
        <f t="shared" si="2"/>
        <v>FO-NBI-00#RP-KE-A-65</v>
      </c>
      <c r="J67" s="25"/>
      <c r="K67" s="66"/>
      <c r="S67" s="30"/>
      <c r="T67" s="30"/>
      <c r="U67" s="30"/>
      <c r="V67" s="30"/>
      <c r="Y67" s="30"/>
      <c r="Z67" s="30"/>
    </row>
    <row r="68">
      <c r="A68" s="12" t="s">
        <v>74</v>
      </c>
      <c r="B68" s="64"/>
      <c r="C68" s="23" t="s">
        <v>382</v>
      </c>
      <c r="D68" s="12" t="str">
        <f>vlookup(C68,'List of Chargers'!$A$2:$B$5,2,FALSE)</f>
        <v>Roam Point</v>
      </c>
      <c r="E68" s="23" t="s">
        <v>73</v>
      </c>
      <c r="F68" s="23" t="s">
        <v>75</v>
      </c>
      <c r="G68" s="23" t="s">
        <v>593</v>
      </c>
      <c r="H68" s="13" t="str">
        <f t="shared" si="1"/>
        <v>#RP-KE-A-66</v>
      </c>
      <c r="I68" s="13" t="str">
        <f t="shared" si="2"/>
        <v>FO-NBI-00#RP-KE-A-66</v>
      </c>
      <c r="J68" s="25"/>
      <c r="K68" s="66"/>
      <c r="S68" s="30"/>
      <c r="T68" s="30"/>
      <c r="U68" s="30"/>
      <c r="V68" s="30"/>
      <c r="Y68" s="30"/>
      <c r="Z68" s="30"/>
    </row>
    <row r="69">
      <c r="A69" s="12" t="s">
        <v>74</v>
      </c>
      <c r="B69" s="64"/>
      <c r="C69" s="23" t="s">
        <v>382</v>
      </c>
      <c r="D69" s="12" t="str">
        <f>vlookup(C69,'List of Chargers'!$A$2:$B$5,2,FALSE)</f>
        <v>Roam Point</v>
      </c>
      <c r="E69" s="23" t="s">
        <v>73</v>
      </c>
      <c r="F69" s="23" t="s">
        <v>75</v>
      </c>
      <c r="G69" s="23" t="s">
        <v>594</v>
      </c>
      <c r="H69" s="13" t="str">
        <f t="shared" si="1"/>
        <v>#RP-KE-A-67</v>
      </c>
      <c r="I69" s="13" t="str">
        <f t="shared" si="2"/>
        <v>FO-NBI-00#RP-KE-A-67</v>
      </c>
      <c r="J69" s="25"/>
      <c r="K69" s="66"/>
      <c r="S69" s="30"/>
      <c r="T69" s="30"/>
      <c r="U69" s="30"/>
      <c r="V69" s="30"/>
      <c r="Y69" s="30"/>
      <c r="Z69" s="30"/>
    </row>
    <row r="70">
      <c r="A70" s="12" t="s">
        <v>74</v>
      </c>
      <c r="B70" s="64"/>
      <c r="C70" s="23" t="s">
        <v>382</v>
      </c>
      <c r="D70" s="12" t="str">
        <f>vlookup(C70,'List of Chargers'!$A$2:$B$5,2,FALSE)</f>
        <v>Roam Point</v>
      </c>
      <c r="E70" s="23" t="s">
        <v>73</v>
      </c>
      <c r="F70" s="23" t="s">
        <v>75</v>
      </c>
      <c r="G70" s="23" t="s">
        <v>595</v>
      </c>
      <c r="H70" s="13" t="str">
        <f t="shared" si="1"/>
        <v>#RP-KE-A-68</v>
      </c>
      <c r="I70" s="13" t="str">
        <f t="shared" si="2"/>
        <v>FO-NBI-00#RP-KE-A-68</v>
      </c>
      <c r="J70" s="25"/>
      <c r="K70" s="66"/>
      <c r="S70" s="30"/>
      <c r="T70" s="30"/>
      <c r="U70" s="30"/>
      <c r="V70" s="30"/>
      <c r="Y70" s="30"/>
      <c r="Z70" s="30"/>
    </row>
    <row r="71">
      <c r="A71" s="12" t="s">
        <v>74</v>
      </c>
      <c r="B71" s="64"/>
      <c r="C71" s="23" t="s">
        <v>382</v>
      </c>
      <c r="D71" s="12" t="str">
        <f>vlookup(C71,'List of Chargers'!$A$2:$B$5,2,FALSE)</f>
        <v>Roam Point</v>
      </c>
      <c r="E71" s="23" t="s">
        <v>73</v>
      </c>
      <c r="F71" s="23" t="s">
        <v>75</v>
      </c>
      <c r="G71" s="23" t="s">
        <v>596</v>
      </c>
      <c r="H71" s="13" t="str">
        <f t="shared" si="1"/>
        <v>#RP-KE-A-69</v>
      </c>
      <c r="I71" s="13" t="str">
        <f t="shared" si="2"/>
        <v>FO-NBI-00#RP-KE-A-69</v>
      </c>
      <c r="J71" s="25"/>
      <c r="K71" s="66"/>
      <c r="S71" s="30"/>
      <c r="T71" s="30"/>
      <c r="U71" s="30"/>
      <c r="V71" s="30"/>
      <c r="Y71" s="30"/>
      <c r="Z71" s="30"/>
    </row>
    <row r="72">
      <c r="A72" s="12" t="s">
        <v>74</v>
      </c>
      <c r="B72" s="64"/>
      <c r="C72" s="23" t="s">
        <v>382</v>
      </c>
      <c r="D72" s="12" t="str">
        <f>vlookup(C72,'List of Chargers'!$A$2:$B$5,2,FALSE)</f>
        <v>Roam Point</v>
      </c>
      <c r="E72" s="23" t="s">
        <v>73</v>
      </c>
      <c r="F72" s="23" t="s">
        <v>75</v>
      </c>
      <c r="G72" s="23" t="s">
        <v>597</v>
      </c>
      <c r="H72" s="13" t="str">
        <f t="shared" si="1"/>
        <v>#RP-KE-A-70</v>
      </c>
      <c r="I72" s="13" t="str">
        <f t="shared" si="2"/>
        <v>FO-NBI-00#RP-KE-A-70</v>
      </c>
      <c r="J72" s="25"/>
      <c r="K72" s="66"/>
      <c r="S72" s="30"/>
      <c r="T72" s="30"/>
      <c r="U72" s="30"/>
      <c r="V72" s="30"/>
      <c r="Y72" s="30"/>
      <c r="Z72" s="30"/>
    </row>
    <row r="73">
      <c r="A73" s="12" t="s">
        <v>74</v>
      </c>
      <c r="B73" s="64"/>
      <c r="C73" s="23" t="s">
        <v>382</v>
      </c>
      <c r="D73" s="12" t="str">
        <f>vlookup(C73,'List of Chargers'!$A$2:$B$5,2,FALSE)</f>
        <v>Roam Point</v>
      </c>
      <c r="E73" s="23" t="s">
        <v>73</v>
      </c>
      <c r="F73" s="23" t="s">
        <v>75</v>
      </c>
      <c r="G73" s="23" t="s">
        <v>598</v>
      </c>
      <c r="H73" s="13" t="str">
        <f t="shared" si="1"/>
        <v>#RP-KE-A-71</v>
      </c>
      <c r="I73" s="13" t="str">
        <f t="shared" si="2"/>
        <v>FO-NBI-00#RP-KE-A-71</v>
      </c>
      <c r="J73" s="25"/>
      <c r="K73" s="66"/>
      <c r="S73" s="30"/>
      <c r="T73" s="30"/>
      <c r="U73" s="30"/>
      <c r="V73" s="30"/>
      <c r="Y73" s="30"/>
      <c r="Z73" s="30"/>
    </row>
    <row r="74">
      <c r="A74" s="12" t="s">
        <v>74</v>
      </c>
      <c r="B74" s="64"/>
      <c r="C74" s="23" t="s">
        <v>382</v>
      </c>
      <c r="D74" s="12" t="str">
        <f>vlookup(C74,'List of Chargers'!$A$2:$B$5,2,FALSE)</f>
        <v>Roam Point</v>
      </c>
      <c r="E74" s="23" t="s">
        <v>73</v>
      </c>
      <c r="F74" s="23" t="s">
        <v>75</v>
      </c>
      <c r="G74" s="23" t="s">
        <v>599</v>
      </c>
      <c r="H74" s="13" t="str">
        <f t="shared" si="1"/>
        <v>#RP-KE-A-72</v>
      </c>
      <c r="I74" s="13" t="str">
        <f t="shared" si="2"/>
        <v>FO-NBI-00#RP-KE-A-72</v>
      </c>
      <c r="J74" s="25"/>
      <c r="K74" s="66"/>
      <c r="S74" s="30"/>
      <c r="T74" s="30"/>
      <c r="U74" s="30"/>
      <c r="V74" s="30"/>
      <c r="Y74" s="30"/>
      <c r="Z74" s="30"/>
    </row>
    <row r="75">
      <c r="A75" s="12" t="s">
        <v>74</v>
      </c>
      <c r="B75" s="64"/>
      <c r="C75" s="23" t="s">
        <v>382</v>
      </c>
      <c r="D75" s="12" t="str">
        <f>vlookup(C75,'List of Chargers'!$A$2:$B$5,2,FALSE)</f>
        <v>Roam Point</v>
      </c>
      <c r="E75" s="23" t="s">
        <v>73</v>
      </c>
      <c r="F75" s="23" t="s">
        <v>75</v>
      </c>
      <c r="G75" s="23" t="s">
        <v>600</v>
      </c>
      <c r="H75" s="13" t="str">
        <f t="shared" si="1"/>
        <v>#RP-KE-A-73</v>
      </c>
      <c r="I75" s="13" t="str">
        <f t="shared" si="2"/>
        <v>FO-NBI-00#RP-KE-A-73</v>
      </c>
      <c r="J75" s="25"/>
      <c r="K75" s="66"/>
      <c r="S75" s="30"/>
      <c r="T75" s="30"/>
      <c r="U75" s="30"/>
      <c r="V75" s="30"/>
      <c r="Y75" s="30"/>
      <c r="Z75" s="30"/>
    </row>
    <row r="76">
      <c r="A76" s="12" t="s">
        <v>74</v>
      </c>
      <c r="B76" s="64"/>
      <c r="C76" s="23" t="s">
        <v>382</v>
      </c>
      <c r="D76" s="12" t="str">
        <f>vlookup(C76,'List of Chargers'!$A$2:$B$5,2,FALSE)</f>
        <v>Roam Point</v>
      </c>
      <c r="E76" s="23" t="s">
        <v>73</v>
      </c>
      <c r="F76" s="23" t="s">
        <v>75</v>
      </c>
      <c r="G76" s="23" t="s">
        <v>601</v>
      </c>
      <c r="H76" s="13" t="str">
        <f t="shared" si="1"/>
        <v>#RP-KE-A-74</v>
      </c>
      <c r="I76" s="13" t="str">
        <f t="shared" si="2"/>
        <v>FO-NBI-00#RP-KE-A-74</v>
      </c>
      <c r="J76" s="25"/>
      <c r="K76" s="66"/>
      <c r="S76" s="30"/>
      <c r="T76" s="30"/>
      <c r="U76" s="30"/>
      <c r="V76" s="30"/>
      <c r="Y76" s="30"/>
      <c r="Z76" s="30"/>
    </row>
    <row r="77">
      <c r="A77" s="12" t="s">
        <v>74</v>
      </c>
      <c r="B77" s="64"/>
      <c r="C77" s="23" t="s">
        <v>382</v>
      </c>
      <c r="D77" s="12" t="str">
        <f>vlookup(C77,'List of Chargers'!$A$2:$B$5,2,FALSE)</f>
        <v>Roam Point</v>
      </c>
      <c r="E77" s="23" t="s">
        <v>73</v>
      </c>
      <c r="F77" s="23" t="s">
        <v>75</v>
      </c>
      <c r="G77" s="23" t="s">
        <v>602</v>
      </c>
      <c r="H77" s="13" t="str">
        <f t="shared" si="1"/>
        <v>#RP-KE-A-75</v>
      </c>
      <c r="I77" s="13" t="str">
        <f t="shared" si="2"/>
        <v>FO-NBI-00#RP-KE-A-75</v>
      </c>
      <c r="J77" s="25"/>
      <c r="K77" s="66"/>
      <c r="S77" s="30"/>
      <c r="T77" s="30"/>
      <c r="U77" s="30"/>
      <c r="V77" s="30"/>
      <c r="Y77" s="30"/>
      <c r="Z77" s="30"/>
    </row>
    <row r="78">
      <c r="A78" s="12" t="s">
        <v>74</v>
      </c>
      <c r="B78" s="64"/>
      <c r="C78" s="23" t="s">
        <v>382</v>
      </c>
      <c r="D78" s="12" t="str">
        <f>vlookup(C78,'List of Chargers'!$A$2:$B$5,2,FALSE)</f>
        <v>Roam Point</v>
      </c>
      <c r="E78" s="23" t="s">
        <v>73</v>
      </c>
      <c r="F78" s="23" t="s">
        <v>75</v>
      </c>
      <c r="G78" s="23" t="s">
        <v>603</v>
      </c>
      <c r="H78" s="13" t="str">
        <f t="shared" si="1"/>
        <v>#RP-KE-A-76</v>
      </c>
      <c r="I78" s="13" t="str">
        <f t="shared" si="2"/>
        <v>FO-NBI-00#RP-KE-A-76</v>
      </c>
      <c r="J78" s="25"/>
      <c r="K78" s="66"/>
      <c r="S78" s="30"/>
      <c r="T78" s="30"/>
      <c r="U78" s="30"/>
      <c r="V78" s="30"/>
      <c r="Y78" s="30"/>
      <c r="Z78" s="30"/>
    </row>
    <row r="79">
      <c r="A79" s="12" t="s">
        <v>74</v>
      </c>
      <c r="B79" s="64"/>
      <c r="C79" s="23" t="s">
        <v>382</v>
      </c>
      <c r="D79" s="12" t="str">
        <f>vlookup(C79,'List of Chargers'!$A$2:$B$5,2,FALSE)</f>
        <v>Roam Point</v>
      </c>
      <c r="E79" s="23" t="s">
        <v>73</v>
      </c>
      <c r="F79" s="23" t="s">
        <v>75</v>
      </c>
      <c r="G79" s="23" t="s">
        <v>604</v>
      </c>
      <c r="H79" s="13" t="str">
        <f t="shared" si="1"/>
        <v>#RP-KE-A-77</v>
      </c>
      <c r="I79" s="13" t="str">
        <f t="shared" si="2"/>
        <v>FO-NBI-00#RP-KE-A-77</v>
      </c>
      <c r="J79" s="25"/>
      <c r="K79" s="66"/>
      <c r="S79" s="30"/>
      <c r="T79" s="30"/>
      <c r="U79" s="30"/>
      <c r="V79" s="30"/>
      <c r="Y79" s="30"/>
      <c r="Z79" s="30"/>
    </row>
    <row r="80">
      <c r="A80" s="12" t="s">
        <v>74</v>
      </c>
      <c r="B80" s="64"/>
      <c r="C80" s="23" t="s">
        <v>382</v>
      </c>
      <c r="D80" s="12" t="str">
        <f>vlookup(C80,'List of Chargers'!$A$2:$B$5,2,FALSE)</f>
        <v>Roam Point</v>
      </c>
      <c r="E80" s="23" t="s">
        <v>73</v>
      </c>
      <c r="F80" s="23" t="s">
        <v>75</v>
      </c>
      <c r="G80" s="23" t="s">
        <v>605</v>
      </c>
      <c r="H80" s="13" t="str">
        <f t="shared" si="1"/>
        <v>#RP-KE-A-78</v>
      </c>
      <c r="I80" s="13" t="str">
        <f t="shared" si="2"/>
        <v>FO-NBI-00#RP-KE-A-78</v>
      </c>
      <c r="J80" s="25"/>
      <c r="K80" s="66"/>
      <c r="S80" s="30"/>
      <c r="T80" s="30"/>
      <c r="U80" s="30"/>
      <c r="V80" s="30"/>
      <c r="Y80" s="30"/>
      <c r="Z80" s="30"/>
    </row>
    <row r="81">
      <c r="A81" s="12" t="s">
        <v>74</v>
      </c>
      <c r="B81" s="64"/>
      <c r="C81" s="23" t="s">
        <v>382</v>
      </c>
      <c r="D81" s="12" t="str">
        <f>vlookup(C81,'List of Chargers'!$A$2:$B$5,2,FALSE)</f>
        <v>Roam Point</v>
      </c>
      <c r="E81" s="23" t="s">
        <v>73</v>
      </c>
      <c r="F81" s="23" t="s">
        <v>75</v>
      </c>
      <c r="G81" s="23" t="s">
        <v>606</v>
      </c>
      <c r="H81" s="13" t="str">
        <f t="shared" si="1"/>
        <v>#RP-KE-A-79</v>
      </c>
      <c r="I81" s="13" t="str">
        <f t="shared" si="2"/>
        <v>FO-NBI-00#RP-KE-A-79</v>
      </c>
      <c r="J81" s="25"/>
      <c r="K81" s="66"/>
      <c r="S81" s="30"/>
      <c r="T81" s="30"/>
      <c r="U81" s="30"/>
      <c r="V81" s="30"/>
      <c r="Y81" s="30"/>
      <c r="Z81" s="30"/>
    </row>
    <row r="82">
      <c r="A82" s="12" t="s">
        <v>74</v>
      </c>
      <c r="B82" s="64"/>
      <c r="C82" s="23" t="s">
        <v>382</v>
      </c>
      <c r="D82" s="12" t="str">
        <f>vlookup(C82,'List of Chargers'!$A$2:$B$5,2,FALSE)</f>
        <v>Roam Point</v>
      </c>
      <c r="E82" s="23" t="s">
        <v>73</v>
      </c>
      <c r="F82" s="23" t="s">
        <v>75</v>
      </c>
      <c r="G82" s="23" t="s">
        <v>607</v>
      </c>
      <c r="H82" s="13" t="str">
        <f t="shared" si="1"/>
        <v>#RP-KE-A-80</v>
      </c>
      <c r="I82" s="13" t="str">
        <f t="shared" si="2"/>
        <v>FO-NBI-00#RP-KE-A-80</v>
      </c>
      <c r="J82" s="25"/>
      <c r="K82" s="66"/>
      <c r="S82" s="30"/>
      <c r="T82" s="30"/>
      <c r="U82" s="30"/>
      <c r="V82" s="30"/>
      <c r="Y82" s="30"/>
      <c r="Z82" s="30"/>
    </row>
    <row r="83">
      <c r="A83" s="12" t="s">
        <v>74</v>
      </c>
      <c r="B83" s="64"/>
      <c r="C83" s="23" t="s">
        <v>382</v>
      </c>
      <c r="D83" s="12" t="str">
        <f>vlookup(C83,'List of Chargers'!$A$2:$B$5,2,FALSE)</f>
        <v>Roam Point</v>
      </c>
      <c r="E83" s="23" t="s">
        <v>73</v>
      </c>
      <c r="F83" s="23" t="s">
        <v>75</v>
      </c>
      <c r="G83" s="23" t="s">
        <v>608</v>
      </c>
      <c r="H83" s="13" t="str">
        <f t="shared" si="1"/>
        <v>#RP-KE-A-81</v>
      </c>
      <c r="I83" s="13" t="str">
        <f t="shared" si="2"/>
        <v>FO-NBI-00#RP-KE-A-81</v>
      </c>
      <c r="J83" s="25"/>
      <c r="K83" s="66"/>
      <c r="S83" s="30"/>
      <c r="T83" s="30"/>
      <c r="U83" s="30"/>
      <c r="V83" s="30"/>
      <c r="Y83" s="30"/>
      <c r="Z83" s="30"/>
    </row>
    <row r="84">
      <c r="A84" s="12" t="s">
        <v>74</v>
      </c>
      <c r="B84" s="64"/>
      <c r="C84" s="23" t="s">
        <v>382</v>
      </c>
      <c r="D84" s="12" t="str">
        <f>vlookup(C84,'List of Chargers'!$A$2:$B$5,2,FALSE)</f>
        <v>Roam Point</v>
      </c>
      <c r="E84" s="23" t="s">
        <v>73</v>
      </c>
      <c r="F84" s="23" t="s">
        <v>75</v>
      </c>
      <c r="G84" s="23" t="s">
        <v>609</v>
      </c>
      <c r="H84" s="13" t="str">
        <f t="shared" si="1"/>
        <v>#RP-KE-A-82</v>
      </c>
      <c r="I84" s="13" t="str">
        <f t="shared" si="2"/>
        <v>FO-NBI-00#RP-KE-A-82</v>
      </c>
      <c r="J84" s="25"/>
      <c r="K84" s="66"/>
      <c r="S84" s="30"/>
      <c r="T84" s="30"/>
      <c r="U84" s="30"/>
      <c r="V84" s="30"/>
      <c r="Y84" s="30"/>
      <c r="Z84" s="30"/>
    </row>
    <row r="85">
      <c r="A85" s="12" t="s">
        <v>74</v>
      </c>
      <c r="B85" s="64"/>
      <c r="C85" s="23" t="s">
        <v>382</v>
      </c>
      <c r="D85" s="12" t="str">
        <f>vlookup(C85,'List of Chargers'!$A$2:$B$5,2,FALSE)</f>
        <v>Roam Point</v>
      </c>
      <c r="E85" s="23" t="s">
        <v>73</v>
      </c>
      <c r="F85" s="23" t="s">
        <v>75</v>
      </c>
      <c r="G85" s="23" t="s">
        <v>610</v>
      </c>
      <c r="H85" s="13" t="str">
        <f t="shared" si="1"/>
        <v>#RP-KE-A-83</v>
      </c>
      <c r="I85" s="13" t="str">
        <f t="shared" si="2"/>
        <v>FO-NBI-00#RP-KE-A-83</v>
      </c>
      <c r="J85" s="25"/>
      <c r="K85" s="66"/>
      <c r="S85" s="30"/>
      <c r="T85" s="30"/>
      <c r="U85" s="30"/>
      <c r="V85" s="30"/>
      <c r="Y85" s="30"/>
      <c r="Z85" s="30"/>
    </row>
    <row r="86">
      <c r="A86" s="12" t="s">
        <v>74</v>
      </c>
      <c r="B86" s="64"/>
      <c r="C86" s="23" t="s">
        <v>382</v>
      </c>
      <c r="D86" s="12" t="str">
        <f>vlookup(C86,'List of Chargers'!$A$2:$B$5,2,FALSE)</f>
        <v>Roam Point</v>
      </c>
      <c r="E86" s="23" t="s">
        <v>73</v>
      </c>
      <c r="F86" s="23" t="s">
        <v>75</v>
      </c>
      <c r="G86" s="23" t="s">
        <v>611</v>
      </c>
      <c r="H86" s="13" t="str">
        <f t="shared" si="1"/>
        <v>#RP-KE-A-84</v>
      </c>
      <c r="I86" s="13" t="str">
        <f t="shared" si="2"/>
        <v>FO-NBI-00#RP-KE-A-84</v>
      </c>
      <c r="J86" s="25"/>
      <c r="K86" s="66"/>
      <c r="S86" s="30"/>
      <c r="T86" s="30"/>
      <c r="U86" s="30"/>
      <c r="V86" s="30"/>
      <c r="Y86" s="30"/>
      <c r="Z86" s="30"/>
    </row>
    <row r="87">
      <c r="A87" s="12" t="s">
        <v>74</v>
      </c>
      <c r="B87" s="64"/>
      <c r="C87" s="23" t="s">
        <v>382</v>
      </c>
      <c r="D87" s="12" t="str">
        <f>vlookup(C87,'List of Chargers'!$A$2:$B$5,2,FALSE)</f>
        <v>Roam Point</v>
      </c>
      <c r="E87" s="23" t="s">
        <v>73</v>
      </c>
      <c r="F87" s="23" t="s">
        <v>75</v>
      </c>
      <c r="G87" s="23" t="s">
        <v>612</v>
      </c>
      <c r="H87" s="13" t="str">
        <f t="shared" si="1"/>
        <v>#RP-KE-A-85</v>
      </c>
      <c r="I87" s="13" t="str">
        <f t="shared" si="2"/>
        <v>FO-NBI-00#RP-KE-A-85</v>
      </c>
      <c r="J87" s="25"/>
      <c r="K87" s="66"/>
      <c r="S87" s="30"/>
      <c r="T87" s="30"/>
      <c r="U87" s="30"/>
      <c r="V87" s="30"/>
      <c r="Y87" s="30"/>
      <c r="Z87" s="30"/>
    </row>
    <row r="88">
      <c r="A88" s="12" t="s">
        <v>74</v>
      </c>
      <c r="B88" s="64"/>
      <c r="C88" s="23" t="s">
        <v>382</v>
      </c>
      <c r="D88" s="12" t="str">
        <f>vlookup(C88,'List of Chargers'!$A$2:$B$5,2,FALSE)</f>
        <v>Roam Point</v>
      </c>
      <c r="E88" s="23" t="s">
        <v>73</v>
      </c>
      <c r="F88" s="23" t="s">
        <v>75</v>
      </c>
      <c r="G88" s="23" t="s">
        <v>613</v>
      </c>
      <c r="H88" s="13" t="str">
        <f t="shared" si="1"/>
        <v>#RP-KE-A-86</v>
      </c>
      <c r="I88" s="13" t="str">
        <f t="shared" si="2"/>
        <v>FO-NBI-00#RP-KE-A-86</v>
      </c>
      <c r="J88" s="25"/>
      <c r="K88" s="66"/>
      <c r="S88" s="30"/>
      <c r="T88" s="30"/>
      <c r="U88" s="30"/>
      <c r="V88" s="30"/>
      <c r="Y88" s="30"/>
      <c r="Z88" s="30"/>
    </row>
    <row r="89">
      <c r="A89" s="12" t="s">
        <v>74</v>
      </c>
      <c r="B89" s="64"/>
      <c r="C89" s="23" t="s">
        <v>382</v>
      </c>
      <c r="D89" s="12" t="str">
        <f>vlookup(C89,'List of Chargers'!$A$2:$B$5,2,FALSE)</f>
        <v>Roam Point</v>
      </c>
      <c r="E89" s="23" t="s">
        <v>73</v>
      </c>
      <c r="F89" s="23" t="s">
        <v>75</v>
      </c>
      <c r="G89" s="23" t="s">
        <v>614</v>
      </c>
      <c r="H89" s="13" t="str">
        <f t="shared" si="1"/>
        <v>#RP-KE-A-87</v>
      </c>
      <c r="I89" s="13" t="str">
        <f t="shared" si="2"/>
        <v>FO-NBI-00#RP-KE-A-87</v>
      </c>
      <c r="J89" s="25"/>
      <c r="K89" s="66"/>
      <c r="S89" s="30"/>
      <c r="T89" s="30"/>
      <c r="U89" s="30"/>
      <c r="V89" s="30"/>
      <c r="Y89" s="30"/>
      <c r="Z89" s="30"/>
    </row>
    <row r="90">
      <c r="A90" s="12" t="s">
        <v>74</v>
      </c>
      <c r="B90" s="64"/>
      <c r="C90" s="23" t="s">
        <v>382</v>
      </c>
      <c r="D90" s="12" t="str">
        <f>vlookup(C90,'List of Chargers'!$A$2:$B$5,2,FALSE)</f>
        <v>Roam Point</v>
      </c>
      <c r="E90" s="23" t="s">
        <v>73</v>
      </c>
      <c r="F90" s="23" t="s">
        <v>75</v>
      </c>
      <c r="G90" s="23" t="s">
        <v>615</v>
      </c>
      <c r="H90" s="13" t="str">
        <f t="shared" si="1"/>
        <v>#RP-KE-A-88</v>
      </c>
      <c r="I90" s="13" t="str">
        <f t="shared" si="2"/>
        <v>FO-NBI-00#RP-KE-A-88</v>
      </c>
      <c r="J90" s="25"/>
      <c r="K90" s="66"/>
      <c r="S90" s="30"/>
      <c r="T90" s="30"/>
      <c r="U90" s="30"/>
      <c r="V90" s="30"/>
      <c r="Y90" s="30"/>
      <c r="Z90" s="30"/>
    </row>
    <row r="91">
      <c r="A91" s="12" t="s">
        <v>74</v>
      </c>
      <c r="B91" s="64"/>
      <c r="C91" s="23" t="s">
        <v>382</v>
      </c>
      <c r="D91" s="12" t="str">
        <f>vlookup(C91,'List of Chargers'!$A$2:$B$5,2,FALSE)</f>
        <v>Roam Point</v>
      </c>
      <c r="E91" s="23" t="s">
        <v>73</v>
      </c>
      <c r="F91" s="23" t="s">
        <v>75</v>
      </c>
      <c r="G91" s="23" t="s">
        <v>616</v>
      </c>
      <c r="H91" s="13" t="str">
        <f t="shared" si="1"/>
        <v>#RP-KE-A-89</v>
      </c>
      <c r="I91" s="13" t="str">
        <f t="shared" si="2"/>
        <v>FO-NBI-00#RP-KE-A-89</v>
      </c>
      <c r="J91" s="25"/>
      <c r="K91" s="66"/>
      <c r="S91" s="30"/>
      <c r="T91" s="30"/>
      <c r="U91" s="30"/>
      <c r="V91" s="30"/>
      <c r="Y91" s="30"/>
      <c r="Z91" s="30"/>
    </row>
    <row r="92">
      <c r="A92" s="12" t="s">
        <v>74</v>
      </c>
      <c r="B92" s="64"/>
      <c r="C92" s="23" t="s">
        <v>382</v>
      </c>
      <c r="D92" s="12" t="str">
        <f>vlookup(C92,'List of Chargers'!$A$2:$B$5,2,FALSE)</f>
        <v>Roam Point</v>
      </c>
      <c r="E92" s="23" t="s">
        <v>73</v>
      </c>
      <c r="F92" s="23" t="s">
        <v>75</v>
      </c>
      <c r="G92" s="23" t="s">
        <v>617</v>
      </c>
      <c r="H92" s="13" t="str">
        <f t="shared" si="1"/>
        <v>#RP-KE-A-90</v>
      </c>
      <c r="I92" s="13" t="str">
        <f t="shared" si="2"/>
        <v>FO-NBI-00#RP-KE-A-90</v>
      </c>
      <c r="J92" s="25"/>
      <c r="K92" s="66"/>
      <c r="S92" s="30"/>
      <c r="T92" s="30"/>
      <c r="U92" s="30"/>
      <c r="V92" s="30"/>
      <c r="Y92" s="30"/>
      <c r="Z92" s="30"/>
    </row>
    <row r="93">
      <c r="A93" s="12" t="s">
        <v>74</v>
      </c>
      <c r="B93" s="64"/>
      <c r="C93" s="23" t="s">
        <v>382</v>
      </c>
      <c r="D93" s="12" t="str">
        <f>vlookup(C93,'List of Chargers'!$A$2:$B$5,2,FALSE)</f>
        <v>Roam Point</v>
      </c>
      <c r="E93" s="23" t="s">
        <v>73</v>
      </c>
      <c r="F93" s="23" t="s">
        <v>75</v>
      </c>
      <c r="G93" s="23" t="s">
        <v>618</v>
      </c>
      <c r="H93" s="13" t="str">
        <f t="shared" si="1"/>
        <v>#RP-KE-A-91</v>
      </c>
      <c r="I93" s="13" t="str">
        <f t="shared" si="2"/>
        <v>FO-NBI-00#RP-KE-A-91</v>
      </c>
      <c r="J93" s="25"/>
      <c r="K93" s="66"/>
      <c r="S93" s="30"/>
      <c r="T93" s="30"/>
      <c r="U93" s="30"/>
      <c r="V93" s="30"/>
      <c r="Y93" s="30"/>
      <c r="Z93" s="30"/>
    </row>
    <row r="94">
      <c r="A94" s="12" t="s">
        <v>74</v>
      </c>
      <c r="B94" s="64"/>
      <c r="C94" s="23" t="s">
        <v>382</v>
      </c>
      <c r="D94" s="12" t="str">
        <f>vlookup(C94,'List of Chargers'!$A$2:$B$5,2,FALSE)</f>
        <v>Roam Point</v>
      </c>
      <c r="E94" s="23" t="s">
        <v>73</v>
      </c>
      <c r="F94" s="23" t="s">
        <v>75</v>
      </c>
      <c r="G94" s="23" t="s">
        <v>619</v>
      </c>
      <c r="H94" s="13" t="str">
        <f t="shared" si="1"/>
        <v>#RP-KE-A-92</v>
      </c>
      <c r="I94" s="13" t="str">
        <f t="shared" si="2"/>
        <v>FO-NBI-00#RP-KE-A-92</v>
      </c>
      <c r="J94" s="25"/>
      <c r="K94" s="66"/>
      <c r="S94" s="30"/>
      <c r="T94" s="30"/>
      <c r="U94" s="30"/>
      <c r="V94" s="30"/>
      <c r="Y94" s="30"/>
      <c r="Z94" s="30"/>
    </row>
    <row r="95">
      <c r="A95" s="12" t="s">
        <v>74</v>
      </c>
      <c r="B95" s="64"/>
      <c r="C95" s="23" t="s">
        <v>382</v>
      </c>
      <c r="D95" s="12" t="str">
        <f>vlookup(C95,'List of Chargers'!$A$2:$B$5,2,FALSE)</f>
        <v>Roam Point</v>
      </c>
      <c r="E95" s="23" t="s">
        <v>73</v>
      </c>
      <c r="F95" s="23" t="s">
        <v>75</v>
      </c>
      <c r="G95" s="23" t="s">
        <v>620</v>
      </c>
      <c r="H95" s="13" t="str">
        <f t="shared" si="1"/>
        <v>#RP-KE-A-93</v>
      </c>
      <c r="I95" s="13" t="str">
        <f t="shared" si="2"/>
        <v>FO-NBI-00#RP-KE-A-93</v>
      </c>
      <c r="J95" s="25"/>
      <c r="K95" s="66"/>
      <c r="S95" s="30"/>
      <c r="T95" s="30"/>
      <c r="U95" s="30"/>
      <c r="V95" s="30"/>
      <c r="Y95" s="30"/>
      <c r="Z95" s="30"/>
    </row>
    <row r="96">
      <c r="A96" s="12" t="s">
        <v>74</v>
      </c>
      <c r="B96" s="64"/>
      <c r="C96" s="23" t="s">
        <v>382</v>
      </c>
      <c r="D96" s="12" t="str">
        <f>vlookup(C96,'List of Chargers'!$A$2:$B$5,2,FALSE)</f>
        <v>Roam Point</v>
      </c>
      <c r="E96" s="23" t="s">
        <v>73</v>
      </c>
      <c r="F96" s="23" t="s">
        <v>75</v>
      </c>
      <c r="G96" s="23" t="s">
        <v>621</v>
      </c>
      <c r="H96" s="13" t="str">
        <f t="shared" si="1"/>
        <v>#RP-KE-A-94</v>
      </c>
      <c r="I96" s="13" t="str">
        <f t="shared" si="2"/>
        <v>FO-NBI-00#RP-KE-A-94</v>
      </c>
      <c r="J96" s="25"/>
      <c r="K96" s="66"/>
      <c r="S96" s="30"/>
      <c r="T96" s="30"/>
      <c r="U96" s="30"/>
      <c r="V96" s="30"/>
      <c r="Y96" s="30"/>
      <c r="Z96" s="30"/>
    </row>
    <row r="97">
      <c r="A97" s="12" t="s">
        <v>74</v>
      </c>
      <c r="B97" s="64"/>
      <c r="C97" s="23" t="s">
        <v>382</v>
      </c>
      <c r="D97" s="12" t="str">
        <f>vlookup(C97,'List of Chargers'!$A$2:$B$5,2,FALSE)</f>
        <v>Roam Point</v>
      </c>
      <c r="E97" s="23" t="s">
        <v>73</v>
      </c>
      <c r="F97" s="23" t="s">
        <v>75</v>
      </c>
      <c r="G97" s="23" t="s">
        <v>622</v>
      </c>
      <c r="H97" s="13" t="str">
        <f t="shared" si="1"/>
        <v>#RP-KE-A-95</v>
      </c>
      <c r="I97" s="13" t="str">
        <f t="shared" si="2"/>
        <v>FO-NBI-00#RP-KE-A-95</v>
      </c>
      <c r="J97" s="25"/>
      <c r="K97" s="66"/>
      <c r="S97" s="30"/>
      <c r="T97" s="30"/>
      <c r="U97" s="30"/>
      <c r="V97" s="30"/>
      <c r="Y97" s="30"/>
      <c r="Z97" s="30"/>
    </row>
    <row r="98">
      <c r="A98" s="12" t="s">
        <v>74</v>
      </c>
      <c r="B98" s="64"/>
      <c r="C98" s="23" t="s">
        <v>382</v>
      </c>
      <c r="D98" s="12" t="str">
        <f>vlookup(C98,'List of Chargers'!$A$2:$B$5,2,FALSE)</f>
        <v>Roam Point</v>
      </c>
      <c r="E98" s="23" t="s">
        <v>73</v>
      </c>
      <c r="F98" s="23" t="s">
        <v>75</v>
      </c>
      <c r="G98" s="23" t="s">
        <v>623</v>
      </c>
      <c r="H98" s="13" t="str">
        <f t="shared" si="1"/>
        <v>#RP-KE-A-96</v>
      </c>
      <c r="I98" s="13" t="str">
        <f t="shared" si="2"/>
        <v>FO-NBI-00#RP-KE-A-96</v>
      </c>
      <c r="J98" s="25"/>
      <c r="K98" s="66"/>
      <c r="S98" s="30"/>
      <c r="T98" s="30"/>
      <c r="U98" s="30"/>
      <c r="V98" s="30"/>
      <c r="Y98" s="30"/>
      <c r="Z98" s="30"/>
    </row>
    <row r="99">
      <c r="A99" s="12" t="s">
        <v>74</v>
      </c>
      <c r="B99" s="64"/>
      <c r="C99" s="23" t="s">
        <v>382</v>
      </c>
      <c r="D99" s="12" t="str">
        <f>vlookup(C99,'List of Chargers'!$A$2:$B$5,2,FALSE)</f>
        <v>Roam Point</v>
      </c>
      <c r="E99" s="23" t="s">
        <v>73</v>
      </c>
      <c r="F99" s="23" t="s">
        <v>75</v>
      </c>
      <c r="G99" s="23" t="s">
        <v>624</v>
      </c>
      <c r="H99" s="13" t="str">
        <f t="shared" si="1"/>
        <v>#RP-KE-A-97</v>
      </c>
      <c r="I99" s="13" t="str">
        <f t="shared" si="2"/>
        <v>FO-NBI-00#RP-KE-A-97</v>
      </c>
      <c r="J99" s="25"/>
      <c r="K99" s="66"/>
      <c r="S99" s="30"/>
      <c r="T99" s="30"/>
      <c r="U99" s="30"/>
      <c r="V99" s="30"/>
      <c r="Y99" s="30"/>
      <c r="Z99" s="30"/>
    </row>
    <row r="100">
      <c r="A100" s="12" t="s">
        <v>74</v>
      </c>
      <c r="B100" s="64"/>
      <c r="C100" s="23" t="s">
        <v>382</v>
      </c>
      <c r="D100" s="12" t="str">
        <f>vlookup(C100,'List of Chargers'!$A$2:$B$5,2,FALSE)</f>
        <v>Roam Point</v>
      </c>
      <c r="E100" s="23" t="s">
        <v>73</v>
      </c>
      <c r="F100" s="23" t="s">
        <v>75</v>
      </c>
      <c r="G100" s="23" t="s">
        <v>625</v>
      </c>
      <c r="H100" s="13" t="str">
        <f t="shared" si="1"/>
        <v>#RP-KE-A-98</v>
      </c>
      <c r="I100" s="13" t="str">
        <f t="shared" si="2"/>
        <v>FO-NBI-00#RP-KE-A-98</v>
      </c>
      <c r="J100" s="25"/>
      <c r="K100" s="66"/>
      <c r="S100" s="30"/>
      <c r="T100" s="30"/>
      <c r="U100" s="30"/>
      <c r="V100" s="30"/>
      <c r="Y100" s="30"/>
      <c r="Z100" s="30"/>
    </row>
    <row r="101">
      <c r="A101" s="12" t="s">
        <v>74</v>
      </c>
      <c r="B101" s="64"/>
      <c r="C101" s="23" t="s">
        <v>382</v>
      </c>
      <c r="D101" s="12" t="str">
        <f>vlookup(C101,'List of Chargers'!$A$2:$B$5,2,FALSE)</f>
        <v>Roam Point</v>
      </c>
      <c r="E101" s="23" t="s">
        <v>73</v>
      </c>
      <c r="F101" s="23" t="s">
        <v>75</v>
      </c>
      <c r="G101" s="23" t="s">
        <v>626</v>
      </c>
      <c r="H101" s="13" t="str">
        <f t="shared" si="1"/>
        <v>#RP-KE-A-99</v>
      </c>
      <c r="I101" s="13" t="str">
        <f t="shared" si="2"/>
        <v>FO-NBI-00#RP-KE-A-99</v>
      </c>
      <c r="J101" s="25"/>
      <c r="K101" s="66"/>
      <c r="S101" s="30"/>
      <c r="T101" s="30"/>
      <c r="U101" s="30"/>
      <c r="V101" s="30"/>
      <c r="Y101" s="30"/>
      <c r="Z101" s="30"/>
    </row>
    <row r="102">
      <c r="A102" s="12" t="s">
        <v>74</v>
      </c>
      <c r="B102" s="64"/>
      <c r="C102" s="23" t="s">
        <v>382</v>
      </c>
      <c r="D102" s="12" t="str">
        <f>vlookup(C102,'List of Chargers'!$A$2:$B$5,2,FALSE)</f>
        <v>Roam Point</v>
      </c>
      <c r="E102" s="23" t="s">
        <v>73</v>
      </c>
      <c r="F102" s="23" t="s">
        <v>75</v>
      </c>
      <c r="G102" s="23" t="s">
        <v>627</v>
      </c>
      <c r="H102" s="13" t="str">
        <f t="shared" si="1"/>
        <v>#RP-KE-A-100</v>
      </c>
      <c r="I102" s="13" t="str">
        <f t="shared" si="2"/>
        <v>FO-NBI-00#RP-KE-A-100</v>
      </c>
      <c r="J102" s="25"/>
      <c r="K102" s="66"/>
      <c r="S102" s="30"/>
      <c r="T102" s="30"/>
      <c r="U102" s="30"/>
      <c r="V102" s="30"/>
      <c r="Y102" s="30"/>
      <c r="Z102" s="30"/>
    </row>
    <row r="103">
      <c r="A103" s="12" t="s">
        <v>74</v>
      </c>
      <c r="B103" s="64"/>
      <c r="C103" s="23" t="s">
        <v>382</v>
      </c>
      <c r="D103" s="12" t="str">
        <f>vlookup(C103,'List of Chargers'!$A$2:$B$5,2,FALSE)</f>
        <v>Roam Point</v>
      </c>
      <c r="E103" s="23" t="s">
        <v>73</v>
      </c>
      <c r="F103" s="23" t="s">
        <v>75</v>
      </c>
      <c r="G103" s="23" t="s">
        <v>628</v>
      </c>
      <c r="H103" s="13" t="str">
        <f t="shared" si="1"/>
        <v>#RP-KE-A-101</v>
      </c>
      <c r="I103" s="13" t="str">
        <f t="shared" si="2"/>
        <v>FO-NBI-00#RP-KE-A-101</v>
      </c>
      <c r="J103" s="25"/>
      <c r="K103" s="66"/>
      <c r="S103" s="30"/>
      <c r="T103" s="30"/>
      <c r="U103" s="30"/>
      <c r="V103" s="30"/>
      <c r="Y103" s="30"/>
      <c r="Z103" s="30"/>
    </row>
    <row r="104">
      <c r="A104" s="12" t="s">
        <v>74</v>
      </c>
      <c r="B104" s="64"/>
      <c r="C104" s="23" t="s">
        <v>382</v>
      </c>
      <c r="D104" s="12" t="str">
        <f>vlookup(C104,'List of Chargers'!$A$2:$B$5,2,FALSE)</f>
        <v>Roam Point</v>
      </c>
      <c r="E104" s="23" t="s">
        <v>73</v>
      </c>
      <c r="F104" s="23" t="s">
        <v>75</v>
      </c>
      <c r="G104" s="23" t="s">
        <v>629</v>
      </c>
      <c r="H104" s="13" t="str">
        <f t="shared" si="1"/>
        <v>#RP-KE-A-102</v>
      </c>
      <c r="I104" s="13" t="str">
        <f t="shared" si="2"/>
        <v>FO-NBI-00#RP-KE-A-102</v>
      </c>
      <c r="J104" s="25"/>
      <c r="K104" s="66"/>
      <c r="S104" s="30"/>
      <c r="T104" s="30"/>
      <c r="U104" s="30"/>
      <c r="V104" s="30"/>
      <c r="Y104" s="30"/>
      <c r="Z104" s="30"/>
    </row>
    <row r="105">
      <c r="A105" s="12" t="s">
        <v>74</v>
      </c>
      <c r="B105" s="64"/>
      <c r="C105" s="23" t="s">
        <v>382</v>
      </c>
      <c r="D105" s="12" t="str">
        <f>vlookup(C105,'List of Chargers'!$A$2:$B$5,2,FALSE)</f>
        <v>Roam Point</v>
      </c>
      <c r="E105" s="23" t="s">
        <v>73</v>
      </c>
      <c r="F105" s="23" t="s">
        <v>75</v>
      </c>
      <c r="G105" s="23" t="s">
        <v>630</v>
      </c>
      <c r="H105" s="13" t="str">
        <f t="shared" si="1"/>
        <v>#RP-KE-A-103</v>
      </c>
      <c r="I105" s="13" t="str">
        <f t="shared" si="2"/>
        <v>FO-NBI-00#RP-KE-A-103</v>
      </c>
      <c r="J105" s="25"/>
      <c r="K105" s="66"/>
      <c r="S105" s="30"/>
      <c r="T105" s="30"/>
      <c r="U105" s="30"/>
      <c r="V105" s="30"/>
      <c r="Y105" s="30"/>
      <c r="Z105" s="30"/>
    </row>
    <row r="106">
      <c r="A106" s="12" t="s">
        <v>74</v>
      </c>
      <c r="B106" s="64"/>
      <c r="C106" s="23" t="s">
        <v>382</v>
      </c>
      <c r="D106" s="12" t="str">
        <f>vlookup(C106,'List of Chargers'!$A$2:$B$5,2,FALSE)</f>
        <v>Roam Point</v>
      </c>
      <c r="E106" s="23" t="s">
        <v>73</v>
      </c>
      <c r="F106" s="23" t="s">
        <v>75</v>
      </c>
      <c r="G106" s="23" t="s">
        <v>631</v>
      </c>
      <c r="H106" s="13" t="str">
        <f t="shared" si="1"/>
        <v>#RP-KE-A-104</v>
      </c>
      <c r="I106" s="13" t="str">
        <f t="shared" si="2"/>
        <v>FO-NBI-00#RP-KE-A-104</v>
      </c>
      <c r="J106" s="25"/>
      <c r="K106" s="66"/>
      <c r="S106" s="30"/>
      <c r="T106" s="30"/>
      <c r="U106" s="30"/>
      <c r="V106" s="30"/>
      <c r="Y106" s="30"/>
      <c r="Z106" s="30"/>
    </row>
    <row r="107">
      <c r="A107" s="12" t="s">
        <v>74</v>
      </c>
      <c r="B107" s="64"/>
      <c r="C107" s="23" t="s">
        <v>382</v>
      </c>
      <c r="D107" s="12" t="str">
        <f>vlookup(C107,'List of Chargers'!$A$2:$B$5,2,FALSE)</f>
        <v>Roam Point</v>
      </c>
      <c r="E107" s="23" t="s">
        <v>73</v>
      </c>
      <c r="F107" s="23" t="s">
        <v>75</v>
      </c>
      <c r="G107" s="23" t="s">
        <v>632</v>
      </c>
      <c r="H107" s="13" t="str">
        <f t="shared" si="1"/>
        <v>#RP-KE-A-105</v>
      </c>
      <c r="I107" s="13" t="str">
        <f t="shared" si="2"/>
        <v>FO-NBI-00#RP-KE-A-105</v>
      </c>
      <c r="J107" s="25"/>
      <c r="K107" s="66"/>
      <c r="S107" s="30"/>
      <c r="T107" s="30"/>
      <c r="U107" s="30"/>
      <c r="V107" s="30"/>
      <c r="Y107" s="30"/>
      <c r="Z107" s="30"/>
    </row>
    <row r="108">
      <c r="A108" s="12" t="s">
        <v>74</v>
      </c>
      <c r="B108" s="64"/>
      <c r="C108" s="23" t="s">
        <v>382</v>
      </c>
      <c r="D108" s="12" t="str">
        <f>vlookup(C108,'List of Chargers'!$A$2:$B$5,2,FALSE)</f>
        <v>Roam Point</v>
      </c>
      <c r="E108" s="23" t="s">
        <v>73</v>
      </c>
      <c r="F108" s="23" t="s">
        <v>75</v>
      </c>
      <c r="G108" s="23" t="s">
        <v>633</v>
      </c>
      <c r="H108" s="13" t="str">
        <f t="shared" si="1"/>
        <v>#RP-KE-A-106</v>
      </c>
      <c r="I108" s="13" t="str">
        <f t="shared" si="2"/>
        <v>FO-NBI-00#RP-KE-A-106</v>
      </c>
      <c r="J108" s="25"/>
      <c r="K108" s="66"/>
      <c r="S108" s="30"/>
      <c r="T108" s="30"/>
      <c r="U108" s="30"/>
      <c r="V108" s="30"/>
      <c r="Y108" s="30"/>
      <c r="Z108" s="30"/>
    </row>
    <row r="109">
      <c r="A109" s="12" t="s">
        <v>74</v>
      </c>
      <c r="B109" s="64"/>
      <c r="C109" s="23" t="s">
        <v>382</v>
      </c>
      <c r="D109" s="12" t="str">
        <f>vlookup(C109,'List of Chargers'!$A$2:$B$5,2,FALSE)</f>
        <v>Roam Point</v>
      </c>
      <c r="E109" s="23" t="s">
        <v>73</v>
      </c>
      <c r="F109" s="23" t="s">
        <v>75</v>
      </c>
      <c r="G109" s="23" t="s">
        <v>634</v>
      </c>
      <c r="H109" s="13" t="str">
        <f t="shared" si="1"/>
        <v>#RP-KE-A-107</v>
      </c>
      <c r="I109" s="13" t="str">
        <f t="shared" si="2"/>
        <v>FO-NBI-00#RP-KE-A-107</v>
      </c>
      <c r="J109" s="25"/>
      <c r="K109" s="66"/>
      <c r="S109" s="30"/>
      <c r="T109" s="30"/>
      <c r="U109" s="30"/>
      <c r="V109" s="30"/>
      <c r="Y109" s="30"/>
      <c r="Z109" s="30"/>
    </row>
    <row r="110">
      <c r="A110" s="12" t="s">
        <v>74</v>
      </c>
      <c r="B110" s="64"/>
      <c r="C110" s="23" t="s">
        <v>382</v>
      </c>
      <c r="D110" s="12" t="str">
        <f>vlookup(C110,'List of Chargers'!$A$2:$B$5,2,FALSE)</f>
        <v>Roam Point</v>
      </c>
      <c r="E110" s="23" t="s">
        <v>73</v>
      </c>
      <c r="F110" s="23" t="s">
        <v>75</v>
      </c>
      <c r="G110" s="23" t="s">
        <v>635</v>
      </c>
      <c r="H110" s="13" t="str">
        <f t="shared" si="1"/>
        <v>#RP-KE-A-108</v>
      </c>
      <c r="I110" s="13" t="str">
        <f t="shared" si="2"/>
        <v>FO-NBI-00#RP-KE-A-108</v>
      </c>
      <c r="J110" s="25"/>
      <c r="K110" s="66"/>
      <c r="S110" s="30"/>
      <c r="T110" s="30"/>
      <c r="U110" s="30"/>
      <c r="V110" s="30"/>
      <c r="Y110" s="30"/>
      <c r="Z110" s="30"/>
    </row>
    <row r="111">
      <c r="A111" s="12" t="s">
        <v>74</v>
      </c>
      <c r="B111" s="64"/>
      <c r="C111" s="23" t="s">
        <v>382</v>
      </c>
      <c r="D111" s="12" t="str">
        <f>vlookup(C111,'List of Chargers'!$A$2:$B$5,2,FALSE)</f>
        <v>Roam Point</v>
      </c>
      <c r="E111" s="23" t="s">
        <v>73</v>
      </c>
      <c r="F111" s="23" t="s">
        <v>75</v>
      </c>
      <c r="G111" s="23" t="s">
        <v>636</v>
      </c>
      <c r="H111" s="13" t="str">
        <f t="shared" si="1"/>
        <v>#RP-KE-A-109</v>
      </c>
      <c r="I111" s="13" t="str">
        <f t="shared" si="2"/>
        <v>FO-NBI-00#RP-KE-A-109</v>
      </c>
      <c r="J111" s="25"/>
      <c r="K111" s="66"/>
      <c r="S111" s="30"/>
      <c r="T111" s="30"/>
      <c r="U111" s="30"/>
      <c r="V111" s="30"/>
      <c r="Y111" s="30"/>
      <c r="Z111" s="30"/>
    </row>
    <row r="112">
      <c r="A112" s="12" t="s">
        <v>74</v>
      </c>
      <c r="B112" s="64"/>
      <c r="C112" s="23" t="s">
        <v>382</v>
      </c>
      <c r="D112" s="12" t="str">
        <f>vlookup(C112,'List of Chargers'!$A$2:$B$5,2,FALSE)</f>
        <v>Roam Point</v>
      </c>
      <c r="E112" s="23" t="s">
        <v>73</v>
      </c>
      <c r="F112" s="23" t="s">
        <v>75</v>
      </c>
      <c r="G112" s="23" t="s">
        <v>637</v>
      </c>
      <c r="H112" s="13" t="str">
        <f t="shared" si="1"/>
        <v>#RP-KE-A-110</v>
      </c>
      <c r="I112" s="13" t="str">
        <f t="shared" si="2"/>
        <v>FO-NBI-00#RP-KE-A-110</v>
      </c>
      <c r="J112" s="25"/>
      <c r="K112" s="66"/>
      <c r="S112" s="30"/>
      <c r="T112" s="30"/>
      <c r="U112" s="30"/>
      <c r="V112" s="30"/>
      <c r="Y112" s="30"/>
      <c r="Z112" s="30"/>
    </row>
    <row r="113">
      <c r="A113" s="12" t="s">
        <v>74</v>
      </c>
      <c r="B113" s="64"/>
      <c r="C113" s="23" t="s">
        <v>382</v>
      </c>
      <c r="D113" s="12" t="str">
        <f>vlookup(C113,'List of Chargers'!$A$2:$B$5,2,FALSE)</f>
        <v>Roam Point</v>
      </c>
      <c r="E113" s="23" t="s">
        <v>73</v>
      </c>
      <c r="F113" s="23" t="s">
        <v>75</v>
      </c>
      <c r="G113" s="23" t="s">
        <v>638</v>
      </c>
      <c r="H113" s="13" t="str">
        <f t="shared" si="1"/>
        <v>#RP-KE-A-111</v>
      </c>
      <c r="I113" s="13" t="str">
        <f t="shared" si="2"/>
        <v>FO-NBI-00#RP-KE-A-111</v>
      </c>
      <c r="J113" s="25"/>
      <c r="K113" s="66"/>
      <c r="S113" s="30"/>
      <c r="T113" s="30"/>
      <c r="U113" s="30"/>
      <c r="V113" s="30"/>
      <c r="Y113" s="30"/>
      <c r="Z113" s="30"/>
    </row>
    <row r="114">
      <c r="A114" s="12" t="s">
        <v>74</v>
      </c>
      <c r="B114" s="64"/>
      <c r="C114" s="23" t="s">
        <v>382</v>
      </c>
      <c r="D114" s="12" t="str">
        <f>vlookup(C114,'List of Chargers'!$A$2:$B$5,2,FALSE)</f>
        <v>Roam Point</v>
      </c>
      <c r="E114" s="23" t="s">
        <v>73</v>
      </c>
      <c r="F114" s="23" t="s">
        <v>75</v>
      </c>
      <c r="G114" s="23" t="s">
        <v>639</v>
      </c>
      <c r="H114" s="13" t="str">
        <f t="shared" si="1"/>
        <v>#RP-KE-A-112</v>
      </c>
      <c r="I114" s="13" t="str">
        <f t="shared" si="2"/>
        <v>FO-NBI-00#RP-KE-A-112</v>
      </c>
      <c r="J114" s="25"/>
      <c r="K114" s="66"/>
      <c r="S114" s="30"/>
      <c r="T114" s="30"/>
      <c r="U114" s="30"/>
      <c r="V114" s="30"/>
      <c r="Y114" s="30"/>
      <c r="Z114" s="30"/>
    </row>
    <row r="115">
      <c r="A115" s="12" t="s">
        <v>74</v>
      </c>
      <c r="B115" s="64"/>
      <c r="C115" s="23" t="s">
        <v>382</v>
      </c>
      <c r="D115" s="12" t="str">
        <f>vlookup(C115,'List of Chargers'!$A$2:$B$5,2,FALSE)</f>
        <v>Roam Point</v>
      </c>
      <c r="E115" s="23" t="s">
        <v>73</v>
      </c>
      <c r="F115" s="23" t="s">
        <v>75</v>
      </c>
      <c r="G115" s="23" t="s">
        <v>640</v>
      </c>
      <c r="H115" s="13" t="str">
        <f t="shared" si="1"/>
        <v>#RP-KE-A-113</v>
      </c>
      <c r="I115" s="13" t="str">
        <f t="shared" si="2"/>
        <v>FO-NBI-00#RP-KE-A-113</v>
      </c>
      <c r="J115" s="25"/>
      <c r="K115" s="66"/>
      <c r="S115" s="30"/>
      <c r="T115" s="30"/>
      <c r="U115" s="30"/>
      <c r="V115" s="30"/>
      <c r="Y115" s="30"/>
      <c r="Z115" s="30"/>
    </row>
    <row r="116">
      <c r="A116" s="12" t="s">
        <v>74</v>
      </c>
      <c r="B116" s="64"/>
      <c r="C116" s="23" t="s">
        <v>382</v>
      </c>
      <c r="D116" s="12" t="str">
        <f>vlookup(C116,'List of Chargers'!$A$2:$B$5,2,FALSE)</f>
        <v>Roam Point</v>
      </c>
      <c r="E116" s="23" t="s">
        <v>73</v>
      </c>
      <c r="F116" s="23" t="s">
        <v>75</v>
      </c>
      <c r="G116" s="23" t="s">
        <v>641</v>
      </c>
      <c r="H116" s="13" t="str">
        <f t="shared" si="1"/>
        <v>#RP-KE-A-114</v>
      </c>
      <c r="I116" s="13" t="str">
        <f t="shared" si="2"/>
        <v>FO-NBI-00#RP-KE-A-114</v>
      </c>
      <c r="J116" s="25"/>
      <c r="K116" s="66"/>
      <c r="S116" s="30"/>
      <c r="T116" s="30"/>
      <c r="U116" s="30"/>
      <c r="V116" s="30"/>
      <c r="Y116" s="30"/>
      <c r="Z116" s="30"/>
    </row>
    <row r="117">
      <c r="A117" s="12" t="s">
        <v>74</v>
      </c>
      <c r="B117" s="64"/>
      <c r="C117" s="23" t="s">
        <v>382</v>
      </c>
      <c r="D117" s="12" t="str">
        <f>vlookup(C117,'List of Chargers'!$A$2:$B$5,2,FALSE)</f>
        <v>Roam Point</v>
      </c>
      <c r="E117" s="23" t="s">
        <v>73</v>
      </c>
      <c r="F117" s="23" t="s">
        <v>75</v>
      </c>
      <c r="G117" s="23" t="s">
        <v>642</v>
      </c>
      <c r="H117" s="13" t="str">
        <f t="shared" si="1"/>
        <v>#RP-KE-A-115</v>
      </c>
      <c r="I117" s="13" t="str">
        <f t="shared" si="2"/>
        <v>FO-NBI-00#RP-KE-A-115</v>
      </c>
      <c r="J117" s="25"/>
      <c r="K117" s="66"/>
      <c r="S117" s="30"/>
      <c r="T117" s="30"/>
      <c r="U117" s="30"/>
      <c r="V117" s="30"/>
      <c r="Y117" s="30"/>
      <c r="Z117" s="30"/>
    </row>
    <row r="118">
      <c r="A118" s="12" t="s">
        <v>74</v>
      </c>
      <c r="B118" s="64"/>
      <c r="C118" s="23" t="s">
        <v>382</v>
      </c>
      <c r="D118" s="12" t="str">
        <f>vlookup(C118,'List of Chargers'!$A$2:$B$5,2,FALSE)</f>
        <v>Roam Point</v>
      </c>
      <c r="E118" s="23" t="s">
        <v>73</v>
      </c>
      <c r="F118" s="23" t="s">
        <v>75</v>
      </c>
      <c r="G118" s="23" t="s">
        <v>643</v>
      </c>
      <c r="H118" s="13" t="str">
        <f t="shared" si="1"/>
        <v>#RP-KE-A-116</v>
      </c>
      <c r="I118" s="13" t="str">
        <f t="shared" si="2"/>
        <v>FO-NBI-00#RP-KE-A-116</v>
      </c>
      <c r="J118" s="25"/>
      <c r="K118" s="66"/>
      <c r="S118" s="30"/>
      <c r="T118" s="30"/>
      <c r="U118" s="30"/>
      <c r="V118" s="30"/>
      <c r="Y118" s="30"/>
      <c r="Z118" s="30"/>
    </row>
    <row r="119">
      <c r="A119" s="12" t="s">
        <v>74</v>
      </c>
      <c r="B119" s="64"/>
      <c r="C119" s="23" t="s">
        <v>382</v>
      </c>
      <c r="D119" s="12" t="str">
        <f>vlookup(C119,'List of Chargers'!$A$2:$B$5,2,FALSE)</f>
        <v>Roam Point</v>
      </c>
      <c r="E119" s="23" t="s">
        <v>73</v>
      </c>
      <c r="F119" s="23" t="s">
        <v>75</v>
      </c>
      <c r="G119" s="23" t="s">
        <v>644</v>
      </c>
      <c r="H119" s="13" t="str">
        <f t="shared" si="1"/>
        <v>#RP-KE-A-117</v>
      </c>
      <c r="I119" s="13" t="str">
        <f t="shared" si="2"/>
        <v>FO-NBI-00#RP-KE-A-117</v>
      </c>
      <c r="J119" s="25"/>
      <c r="K119" s="66"/>
      <c r="S119" s="30"/>
      <c r="T119" s="30"/>
      <c r="U119" s="30"/>
      <c r="V119" s="30"/>
      <c r="Y119" s="30"/>
      <c r="Z119" s="30"/>
    </row>
    <row r="120">
      <c r="A120" s="12" t="s">
        <v>74</v>
      </c>
      <c r="B120" s="64"/>
      <c r="C120" s="23" t="s">
        <v>382</v>
      </c>
      <c r="D120" s="12" t="str">
        <f>vlookup(C120,'List of Chargers'!$A$2:$B$5,2,FALSE)</f>
        <v>Roam Point</v>
      </c>
      <c r="E120" s="23" t="s">
        <v>73</v>
      </c>
      <c r="F120" s="23" t="s">
        <v>75</v>
      </c>
      <c r="G120" s="23" t="s">
        <v>645</v>
      </c>
      <c r="H120" s="13" t="str">
        <f t="shared" si="1"/>
        <v>#RP-KE-A-118</v>
      </c>
      <c r="I120" s="13" t="str">
        <f t="shared" si="2"/>
        <v>FO-NBI-00#RP-KE-A-118</v>
      </c>
      <c r="J120" s="25"/>
      <c r="K120" s="66"/>
      <c r="S120" s="30"/>
      <c r="T120" s="30"/>
      <c r="U120" s="30"/>
      <c r="V120" s="30"/>
      <c r="Y120" s="30"/>
      <c r="Z120" s="30"/>
    </row>
    <row r="121">
      <c r="A121" s="12" t="s">
        <v>74</v>
      </c>
      <c r="B121" s="64"/>
      <c r="C121" s="23" t="s">
        <v>382</v>
      </c>
      <c r="D121" s="12" t="str">
        <f>vlookup(C121,'List of Chargers'!$A$2:$B$5,2,FALSE)</f>
        <v>Roam Point</v>
      </c>
      <c r="E121" s="23" t="s">
        <v>73</v>
      </c>
      <c r="F121" s="23" t="s">
        <v>75</v>
      </c>
      <c r="G121" s="23" t="s">
        <v>646</v>
      </c>
      <c r="H121" s="13" t="str">
        <f t="shared" si="1"/>
        <v>#RP-KE-A-119</v>
      </c>
      <c r="I121" s="13" t="str">
        <f t="shared" si="2"/>
        <v>FO-NBI-00#RP-KE-A-119</v>
      </c>
      <c r="J121" s="25"/>
      <c r="K121" s="66"/>
      <c r="S121" s="30"/>
      <c r="T121" s="30"/>
      <c r="U121" s="30"/>
      <c r="V121" s="30"/>
      <c r="Y121" s="30"/>
      <c r="Z121" s="30"/>
    </row>
    <row r="122">
      <c r="A122" s="12" t="s">
        <v>74</v>
      </c>
      <c r="B122" s="64"/>
      <c r="C122" s="23" t="s">
        <v>382</v>
      </c>
      <c r="D122" s="12" t="str">
        <f>vlookup(C122,'List of Chargers'!$A$2:$B$5,2,FALSE)</f>
        <v>Roam Point</v>
      </c>
      <c r="E122" s="23" t="s">
        <v>73</v>
      </c>
      <c r="F122" s="23" t="s">
        <v>75</v>
      </c>
      <c r="G122" s="23" t="s">
        <v>647</v>
      </c>
      <c r="H122" s="13" t="str">
        <f t="shared" si="1"/>
        <v>#RP-KE-A-120</v>
      </c>
      <c r="I122" s="13" t="str">
        <f t="shared" si="2"/>
        <v>FO-NBI-00#RP-KE-A-120</v>
      </c>
      <c r="J122" s="25"/>
      <c r="K122" s="66"/>
      <c r="S122" s="30"/>
      <c r="T122" s="30"/>
      <c r="U122" s="30"/>
      <c r="V122" s="30"/>
      <c r="Y122" s="30"/>
      <c r="Z122" s="30"/>
    </row>
    <row r="123">
      <c r="A123" s="12" t="s">
        <v>74</v>
      </c>
      <c r="B123" s="64"/>
      <c r="C123" s="23" t="s">
        <v>382</v>
      </c>
      <c r="D123" s="12" t="str">
        <f>vlookup(C123,'List of Chargers'!$A$2:$B$5,2,FALSE)</f>
        <v>Roam Point</v>
      </c>
      <c r="E123" s="23" t="s">
        <v>73</v>
      </c>
      <c r="F123" s="23" t="s">
        <v>75</v>
      </c>
      <c r="G123" s="23" t="s">
        <v>648</v>
      </c>
      <c r="H123" s="13" t="str">
        <f t="shared" si="1"/>
        <v>#RP-KE-A-121</v>
      </c>
      <c r="I123" s="13" t="str">
        <f t="shared" si="2"/>
        <v>FO-NBI-00#RP-KE-A-121</v>
      </c>
      <c r="J123" s="25"/>
      <c r="K123" s="66"/>
      <c r="S123" s="30"/>
      <c r="T123" s="30"/>
      <c r="U123" s="30"/>
      <c r="V123" s="30"/>
      <c r="Y123" s="30"/>
      <c r="Z123" s="30"/>
    </row>
    <row r="124">
      <c r="A124" s="12" t="s">
        <v>74</v>
      </c>
      <c r="B124" s="64"/>
      <c r="C124" s="23" t="s">
        <v>382</v>
      </c>
      <c r="D124" s="12" t="str">
        <f>vlookup(C124,'List of Chargers'!$A$2:$B$5,2,FALSE)</f>
        <v>Roam Point</v>
      </c>
      <c r="E124" s="23" t="s">
        <v>73</v>
      </c>
      <c r="F124" s="23" t="s">
        <v>75</v>
      </c>
      <c r="G124" s="23" t="s">
        <v>649</v>
      </c>
      <c r="H124" s="13" t="str">
        <f t="shared" si="1"/>
        <v>#RP-KE-A-122</v>
      </c>
      <c r="I124" s="13" t="str">
        <f t="shared" si="2"/>
        <v>FO-NBI-00#RP-KE-A-122</v>
      </c>
      <c r="J124" s="25"/>
      <c r="K124" s="66"/>
      <c r="S124" s="30"/>
      <c r="T124" s="30"/>
      <c r="U124" s="30"/>
      <c r="V124" s="30"/>
      <c r="Y124" s="30"/>
      <c r="Z124" s="30"/>
    </row>
    <row r="125">
      <c r="A125" s="12" t="s">
        <v>74</v>
      </c>
      <c r="B125" s="64"/>
      <c r="C125" s="23" t="s">
        <v>382</v>
      </c>
      <c r="D125" s="12" t="str">
        <f>vlookup(C125,'List of Chargers'!$A$2:$B$5,2,FALSE)</f>
        <v>Roam Point</v>
      </c>
      <c r="E125" s="23" t="s">
        <v>73</v>
      </c>
      <c r="F125" s="23" t="s">
        <v>75</v>
      </c>
      <c r="G125" s="23" t="s">
        <v>650</v>
      </c>
      <c r="H125" s="13" t="str">
        <f t="shared" si="1"/>
        <v>#RP-KE-A-123</v>
      </c>
      <c r="I125" s="13" t="str">
        <f t="shared" si="2"/>
        <v>FO-NBI-00#RP-KE-A-123</v>
      </c>
      <c r="J125" s="25"/>
      <c r="K125" s="66"/>
      <c r="S125" s="30"/>
      <c r="T125" s="30"/>
      <c r="U125" s="30"/>
      <c r="V125" s="30"/>
      <c r="Y125" s="30"/>
      <c r="Z125" s="30"/>
    </row>
    <row r="126">
      <c r="A126" s="12" t="s">
        <v>74</v>
      </c>
      <c r="B126" s="64"/>
      <c r="C126" s="23" t="s">
        <v>382</v>
      </c>
      <c r="D126" s="12" t="str">
        <f>vlookup(C126,'List of Chargers'!$A$2:$B$5,2,FALSE)</f>
        <v>Roam Point</v>
      </c>
      <c r="E126" s="23" t="s">
        <v>73</v>
      </c>
      <c r="F126" s="23" t="s">
        <v>75</v>
      </c>
      <c r="G126" s="23" t="s">
        <v>651</v>
      </c>
      <c r="H126" s="13" t="str">
        <f t="shared" si="1"/>
        <v>#RP-KE-A-124</v>
      </c>
      <c r="I126" s="13" t="str">
        <f t="shared" si="2"/>
        <v>FO-NBI-00#RP-KE-A-124</v>
      </c>
      <c r="J126" s="25"/>
      <c r="K126" s="66"/>
      <c r="S126" s="30"/>
      <c r="T126" s="30"/>
      <c r="U126" s="30"/>
      <c r="V126" s="30"/>
      <c r="Y126" s="30"/>
      <c r="Z126" s="30"/>
    </row>
    <row r="127">
      <c r="A127" s="12" t="s">
        <v>74</v>
      </c>
      <c r="B127" s="64"/>
      <c r="C127" s="23" t="s">
        <v>382</v>
      </c>
      <c r="D127" s="12" t="str">
        <f>vlookup(C127,'List of Chargers'!$A$2:$B$5,2,FALSE)</f>
        <v>Roam Point</v>
      </c>
      <c r="E127" s="23" t="s">
        <v>73</v>
      </c>
      <c r="F127" s="23" t="s">
        <v>75</v>
      </c>
      <c r="G127" s="23" t="s">
        <v>652</v>
      </c>
      <c r="H127" s="13" t="str">
        <f t="shared" si="1"/>
        <v>#RP-KE-A-125</v>
      </c>
      <c r="I127" s="13" t="str">
        <f t="shared" si="2"/>
        <v>FO-NBI-00#RP-KE-A-125</v>
      </c>
      <c r="J127" s="25"/>
      <c r="K127" s="66"/>
      <c r="S127" s="30"/>
      <c r="T127" s="30"/>
      <c r="U127" s="30"/>
      <c r="V127" s="30"/>
      <c r="Y127" s="30"/>
      <c r="Z127" s="30"/>
    </row>
    <row r="128">
      <c r="A128" s="12" t="s">
        <v>74</v>
      </c>
      <c r="B128" s="64"/>
      <c r="C128" s="23" t="s">
        <v>382</v>
      </c>
      <c r="D128" s="12" t="str">
        <f>vlookup(C128,'List of Chargers'!$A$2:$B$5,2,FALSE)</f>
        <v>Roam Point</v>
      </c>
      <c r="E128" s="23" t="s">
        <v>73</v>
      </c>
      <c r="F128" s="23" t="s">
        <v>75</v>
      </c>
      <c r="G128" s="23" t="s">
        <v>653</v>
      </c>
      <c r="H128" s="13" t="str">
        <f t="shared" si="1"/>
        <v>#RP-KE-A-126</v>
      </c>
      <c r="I128" s="13" t="str">
        <f t="shared" si="2"/>
        <v>FO-NBI-00#RP-KE-A-126</v>
      </c>
      <c r="J128" s="25"/>
      <c r="K128" s="66"/>
      <c r="S128" s="30"/>
      <c r="T128" s="30"/>
      <c r="U128" s="30"/>
      <c r="V128" s="30"/>
      <c r="Y128" s="30"/>
      <c r="Z128" s="30"/>
    </row>
    <row r="129">
      <c r="A129" s="12" t="s">
        <v>74</v>
      </c>
      <c r="B129" s="64"/>
      <c r="C129" s="23" t="s">
        <v>382</v>
      </c>
      <c r="D129" s="12" t="str">
        <f>vlookup(C129,'List of Chargers'!$A$2:$B$5,2,FALSE)</f>
        <v>Roam Point</v>
      </c>
      <c r="E129" s="23" t="s">
        <v>73</v>
      </c>
      <c r="F129" s="23" t="s">
        <v>75</v>
      </c>
      <c r="G129" s="23" t="s">
        <v>654</v>
      </c>
      <c r="H129" s="13" t="str">
        <f t="shared" si="1"/>
        <v>#RP-KE-A-127</v>
      </c>
      <c r="I129" s="13" t="str">
        <f t="shared" si="2"/>
        <v>FO-NBI-00#RP-KE-A-127</v>
      </c>
      <c r="J129" s="25"/>
      <c r="K129" s="66"/>
      <c r="S129" s="30"/>
      <c r="T129" s="30"/>
      <c r="U129" s="30"/>
      <c r="V129" s="30"/>
      <c r="Y129" s="30"/>
      <c r="Z129" s="30"/>
    </row>
    <row r="130">
      <c r="A130" s="12" t="s">
        <v>74</v>
      </c>
      <c r="B130" s="64"/>
      <c r="C130" s="23" t="s">
        <v>382</v>
      </c>
      <c r="D130" s="12" t="str">
        <f>vlookup(C130,'List of Chargers'!$A$2:$B$5,2,FALSE)</f>
        <v>Roam Point</v>
      </c>
      <c r="E130" s="23" t="s">
        <v>73</v>
      </c>
      <c r="F130" s="23" t="s">
        <v>75</v>
      </c>
      <c r="G130" s="23" t="s">
        <v>655</v>
      </c>
      <c r="H130" s="13" t="str">
        <f t="shared" si="1"/>
        <v>#RP-KE-A-128</v>
      </c>
      <c r="I130" s="13" t="str">
        <f t="shared" si="2"/>
        <v>FO-NBI-00#RP-KE-A-128</v>
      </c>
      <c r="J130" s="25"/>
      <c r="K130" s="66"/>
      <c r="S130" s="30"/>
      <c r="T130" s="30"/>
      <c r="U130" s="30"/>
      <c r="V130" s="30"/>
      <c r="Y130" s="30"/>
      <c r="Z130" s="30"/>
    </row>
    <row r="131">
      <c r="A131" s="12" t="s">
        <v>74</v>
      </c>
      <c r="B131" s="64"/>
      <c r="C131" s="23" t="s">
        <v>382</v>
      </c>
      <c r="D131" s="12" t="str">
        <f>vlookup(C131,'List of Chargers'!$A$2:$B$5,2,FALSE)</f>
        <v>Roam Point</v>
      </c>
      <c r="E131" s="23" t="s">
        <v>73</v>
      </c>
      <c r="F131" s="23" t="s">
        <v>75</v>
      </c>
      <c r="G131" s="23" t="s">
        <v>656</v>
      </c>
      <c r="H131" s="13" t="str">
        <f t="shared" si="1"/>
        <v>#RP-KE-A-129</v>
      </c>
      <c r="I131" s="13" t="str">
        <f t="shared" si="2"/>
        <v>FO-NBI-00#RP-KE-A-129</v>
      </c>
      <c r="J131" s="25"/>
      <c r="K131" s="66"/>
      <c r="S131" s="30"/>
      <c r="T131" s="30"/>
      <c r="U131" s="30"/>
      <c r="V131" s="30"/>
      <c r="Y131" s="30"/>
      <c r="Z131" s="30"/>
    </row>
    <row r="132">
      <c r="A132" s="12" t="s">
        <v>74</v>
      </c>
      <c r="B132" s="64"/>
      <c r="C132" s="23" t="s">
        <v>382</v>
      </c>
      <c r="D132" s="12" t="str">
        <f>vlookup(C132,'List of Chargers'!$A$2:$B$5,2,FALSE)</f>
        <v>Roam Point</v>
      </c>
      <c r="E132" s="23" t="s">
        <v>73</v>
      </c>
      <c r="F132" s="23" t="s">
        <v>75</v>
      </c>
      <c r="G132" s="23" t="s">
        <v>657</v>
      </c>
      <c r="H132" s="13" t="str">
        <f t="shared" si="1"/>
        <v>#RP-KE-A-130</v>
      </c>
      <c r="I132" s="13" t="str">
        <f t="shared" si="2"/>
        <v>FO-NBI-00#RP-KE-A-130</v>
      </c>
      <c r="J132" s="25"/>
      <c r="K132" s="66"/>
      <c r="S132" s="30"/>
      <c r="T132" s="30"/>
      <c r="U132" s="30"/>
      <c r="V132" s="30"/>
      <c r="Y132" s="30"/>
      <c r="Z132" s="30"/>
    </row>
    <row r="133">
      <c r="A133" s="12" t="s">
        <v>74</v>
      </c>
      <c r="B133" s="64"/>
      <c r="C133" s="23" t="s">
        <v>382</v>
      </c>
      <c r="D133" s="12" t="str">
        <f>vlookup(C133,'List of Chargers'!$A$2:$B$5,2,FALSE)</f>
        <v>Roam Point</v>
      </c>
      <c r="E133" s="23" t="s">
        <v>73</v>
      </c>
      <c r="F133" s="23" t="s">
        <v>75</v>
      </c>
      <c r="G133" s="23" t="s">
        <v>658</v>
      </c>
      <c r="H133" s="13" t="str">
        <f t="shared" si="1"/>
        <v>#RP-KE-A-131</v>
      </c>
      <c r="I133" s="13" t="str">
        <f t="shared" si="2"/>
        <v>FO-NBI-00#RP-KE-A-131</v>
      </c>
      <c r="J133" s="25"/>
      <c r="K133" s="66"/>
      <c r="S133" s="30"/>
      <c r="T133" s="30"/>
      <c r="U133" s="30"/>
      <c r="V133" s="30"/>
      <c r="Y133" s="30"/>
      <c r="Z133" s="30"/>
    </row>
    <row r="134">
      <c r="A134" s="12" t="s">
        <v>74</v>
      </c>
      <c r="B134" s="64"/>
      <c r="C134" s="23" t="s">
        <v>382</v>
      </c>
      <c r="D134" s="12" t="str">
        <f>vlookup(C134,'List of Chargers'!$A$2:$B$5,2,FALSE)</f>
        <v>Roam Point</v>
      </c>
      <c r="E134" s="23" t="s">
        <v>73</v>
      </c>
      <c r="F134" s="23" t="s">
        <v>75</v>
      </c>
      <c r="G134" s="23" t="s">
        <v>659</v>
      </c>
      <c r="H134" s="13" t="str">
        <f t="shared" si="1"/>
        <v>#RP-KE-A-132</v>
      </c>
      <c r="I134" s="13" t="str">
        <f t="shared" si="2"/>
        <v>FO-NBI-00#RP-KE-A-132</v>
      </c>
      <c r="J134" s="25"/>
      <c r="K134" s="66"/>
      <c r="S134" s="30"/>
      <c r="T134" s="30"/>
      <c r="U134" s="30"/>
      <c r="V134" s="30"/>
      <c r="Y134" s="30"/>
      <c r="Z134" s="30"/>
    </row>
    <row r="135">
      <c r="A135" s="12" t="s">
        <v>74</v>
      </c>
      <c r="B135" s="64"/>
      <c r="C135" s="23" t="s">
        <v>382</v>
      </c>
      <c r="D135" s="12" t="str">
        <f>vlookup(C135,'List of Chargers'!$A$2:$B$5,2,FALSE)</f>
        <v>Roam Point</v>
      </c>
      <c r="E135" s="23" t="s">
        <v>73</v>
      </c>
      <c r="F135" s="23" t="s">
        <v>75</v>
      </c>
      <c r="G135" s="23" t="s">
        <v>660</v>
      </c>
      <c r="H135" s="13" t="str">
        <f t="shared" si="1"/>
        <v>#RP-KE-A-133</v>
      </c>
      <c r="I135" s="13" t="str">
        <f t="shared" si="2"/>
        <v>FO-NBI-00#RP-KE-A-133</v>
      </c>
      <c r="J135" s="25"/>
      <c r="K135" s="66"/>
      <c r="S135" s="30"/>
      <c r="T135" s="30"/>
      <c r="U135" s="30"/>
      <c r="V135" s="30"/>
      <c r="Y135" s="30"/>
      <c r="Z135" s="30"/>
    </row>
    <row r="136">
      <c r="A136" s="12" t="s">
        <v>74</v>
      </c>
      <c r="B136" s="64"/>
      <c r="C136" s="23" t="s">
        <v>382</v>
      </c>
      <c r="D136" s="12" t="str">
        <f>vlookup(C136,'List of Chargers'!$A$2:$B$5,2,FALSE)</f>
        <v>Roam Point</v>
      </c>
      <c r="E136" s="23" t="s">
        <v>73</v>
      </c>
      <c r="F136" s="23" t="s">
        <v>75</v>
      </c>
      <c r="G136" s="23" t="s">
        <v>661</v>
      </c>
      <c r="H136" s="13" t="str">
        <f t="shared" si="1"/>
        <v>#RP-KE-A-134</v>
      </c>
      <c r="I136" s="13" t="str">
        <f t="shared" si="2"/>
        <v>FO-NBI-00#RP-KE-A-134</v>
      </c>
      <c r="J136" s="25"/>
      <c r="K136" s="66"/>
      <c r="S136" s="30"/>
      <c r="T136" s="30"/>
      <c r="U136" s="30"/>
      <c r="V136" s="30"/>
      <c r="Y136" s="30"/>
      <c r="Z136" s="30"/>
    </row>
    <row r="137">
      <c r="A137" s="12" t="s">
        <v>74</v>
      </c>
      <c r="B137" s="64"/>
      <c r="C137" s="23" t="s">
        <v>382</v>
      </c>
      <c r="D137" s="12" t="str">
        <f>vlookup(C137,'List of Chargers'!$A$2:$B$5,2,FALSE)</f>
        <v>Roam Point</v>
      </c>
      <c r="E137" s="23" t="s">
        <v>73</v>
      </c>
      <c r="F137" s="23" t="s">
        <v>75</v>
      </c>
      <c r="G137" s="23" t="s">
        <v>662</v>
      </c>
      <c r="H137" s="13" t="str">
        <f t="shared" si="1"/>
        <v>#RP-KE-A-135</v>
      </c>
      <c r="I137" s="13" t="str">
        <f t="shared" si="2"/>
        <v>FO-NBI-00#RP-KE-A-135</v>
      </c>
      <c r="J137" s="25"/>
      <c r="K137" s="66"/>
      <c r="S137" s="30"/>
      <c r="T137" s="30"/>
      <c r="U137" s="30"/>
      <c r="V137" s="30"/>
      <c r="Y137" s="30"/>
      <c r="Z137" s="30"/>
    </row>
    <row r="138">
      <c r="A138" s="12" t="s">
        <v>74</v>
      </c>
      <c r="B138" s="64"/>
      <c r="C138" s="23" t="s">
        <v>382</v>
      </c>
      <c r="D138" s="12" t="str">
        <f>vlookup(C138,'List of Chargers'!$A$2:$B$5,2,FALSE)</f>
        <v>Roam Point</v>
      </c>
      <c r="E138" s="23" t="s">
        <v>73</v>
      </c>
      <c r="F138" s="23" t="s">
        <v>75</v>
      </c>
      <c r="G138" s="23" t="s">
        <v>663</v>
      </c>
      <c r="H138" s="13" t="str">
        <f t="shared" si="1"/>
        <v>#RP-KE-A-136</v>
      </c>
      <c r="I138" s="13" t="str">
        <f t="shared" si="2"/>
        <v>FO-NBI-00#RP-KE-A-136</v>
      </c>
      <c r="J138" s="25"/>
      <c r="K138" s="66"/>
      <c r="S138" s="30"/>
      <c r="T138" s="30"/>
      <c r="U138" s="30"/>
      <c r="V138" s="30"/>
      <c r="Y138" s="30"/>
      <c r="Z138" s="30"/>
    </row>
    <row r="139">
      <c r="A139" s="12" t="s">
        <v>74</v>
      </c>
      <c r="B139" s="64"/>
      <c r="C139" s="23" t="s">
        <v>382</v>
      </c>
      <c r="D139" s="12" t="str">
        <f>vlookup(C139,'List of Chargers'!$A$2:$B$5,2,FALSE)</f>
        <v>Roam Point</v>
      </c>
      <c r="E139" s="23" t="s">
        <v>73</v>
      </c>
      <c r="F139" s="23" t="s">
        <v>75</v>
      </c>
      <c r="G139" s="23" t="s">
        <v>664</v>
      </c>
      <c r="H139" s="13" t="str">
        <f t="shared" si="1"/>
        <v>#RP-KE-A-137</v>
      </c>
      <c r="I139" s="13" t="str">
        <f t="shared" si="2"/>
        <v>FO-NBI-00#RP-KE-A-137</v>
      </c>
      <c r="J139" s="25"/>
      <c r="K139" s="66"/>
      <c r="S139" s="30"/>
      <c r="T139" s="30"/>
      <c r="U139" s="30"/>
      <c r="V139" s="30"/>
      <c r="Y139" s="30"/>
      <c r="Z139" s="30"/>
    </row>
    <row r="140">
      <c r="A140" s="12" t="s">
        <v>74</v>
      </c>
      <c r="B140" s="64"/>
      <c r="C140" s="23" t="s">
        <v>382</v>
      </c>
      <c r="D140" s="12" t="str">
        <f>vlookup(C140,'List of Chargers'!$A$2:$B$5,2,FALSE)</f>
        <v>Roam Point</v>
      </c>
      <c r="E140" s="23" t="s">
        <v>73</v>
      </c>
      <c r="F140" s="23" t="s">
        <v>75</v>
      </c>
      <c r="G140" s="23" t="s">
        <v>665</v>
      </c>
      <c r="H140" s="13" t="str">
        <f t="shared" si="1"/>
        <v>#RP-KE-A-138</v>
      </c>
      <c r="I140" s="13" t="str">
        <f t="shared" si="2"/>
        <v>FO-NBI-00#RP-KE-A-138</v>
      </c>
      <c r="J140" s="25"/>
      <c r="K140" s="66"/>
      <c r="S140" s="30"/>
      <c r="T140" s="30"/>
      <c r="U140" s="30"/>
      <c r="V140" s="30"/>
      <c r="Y140" s="30"/>
      <c r="Z140" s="30"/>
    </row>
    <row r="141">
      <c r="A141" s="12" t="s">
        <v>74</v>
      </c>
      <c r="B141" s="64"/>
      <c r="C141" s="23" t="s">
        <v>382</v>
      </c>
      <c r="D141" s="12" t="str">
        <f>vlookup(C141,'List of Chargers'!$A$2:$B$5,2,FALSE)</f>
        <v>Roam Point</v>
      </c>
      <c r="E141" s="23" t="s">
        <v>73</v>
      </c>
      <c r="F141" s="23" t="s">
        <v>75</v>
      </c>
      <c r="G141" s="23" t="s">
        <v>666</v>
      </c>
      <c r="H141" s="13" t="str">
        <f t="shared" si="1"/>
        <v>#RP-KE-A-139</v>
      </c>
      <c r="I141" s="13" t="str">
        <f t="shared" si="2"/>
        <v>FO-NBI-00#RP-KE-A-139</v>
      </c>
      <c r="J141" s="25"/>
      <c r="K141" s="66"/>
      <c r="S141" s="30"/>
      <c r="T141" s="30"/>
      <c r="U141" s="30"/>
      <c r="V141" s="30"/>
      <c r="Y141" s="30"/>
      <c r="Z141" s="30"/>
    </row>
    <row r="142">
      <c r="A142" s="12" t="s">
        <v>74</v>
      </c>
      <c r="B142" s="64"/>
      <c r="C142" s="23" t="s">
        <v>382</v>
      </c>
      <c r="D142" s="12" t="str">
        <f>vlookup(C142,'List of Chargers'!$A$2:$B$5,2,FALSE)</f>
        <v>Roam Point</v>
      </c>
      <c r="E142" s="23" t="s">
        <v>73</v>
      </c>
      <c r="F142" s="23" t="s">
        <v>75</v>
      </c>
      <c r="G142" s="23" t="s">
        <v>667</v>
      </c>
      <c r="H142" s="13" t="str">
        <f t="shared" si="1"/>
        <v>#RP-KE-A-140</v>
      </c>
      <c r="I142" s="13" t="str">
        <f t="shared" si="2"/>
        <v>FO-NBI-00#RP-KE-A-140</v>
      </c>
      <c r="J142" s="25"/>
      <c r="K142" s="66"/>
      <c r="S142" s="30"/>
      <c r="T142" s="30"/>
      <c r="U142" s="30"/>
      <c r="V142" s="30"/>
      <c r="Y142" s="30"/>
      <c r="Z142" s="30"/>
    </row>
    <row r="143">
      <c r="A143" s="12" t="s">
        <v>74</v>
      </c>
      <c r="B143" s="64"/>
      <c r="C143" s="23" t="s">
        <v>382</v>
      </c>
      <c r="D143" s="12" t="str">
        <f>vlookup(C143,'List of Chargers'!$A$2:$B$5,2,FALSE)</f>
        <v>Roam Point</v>
      </c>
      <c r="E143" s="23" t="s">
        <v>73</v>
      </c>
      <c r="F143" s="23" t="s">
        <v>75</v>
      </c>
      <c r="G143" s="23" t="s">
        <v>668</v>
      </c>
      <c r="H143" s="13" t="str">
        <f t="shared" si="1"/>
        <v>#RP-KE-A-141</v>
      </c>
      <c r="I143" s="13" t="str">
        <f t="shared" si="2"/>
        <v>FO-NBI-00#RP-KE-A-141</v>
      </c>
      <c r="J143" s="25"/>
      <c r="K143" s="66"/>
      <c r="S143" s="30"/>
      <c r="T143" s="30"/>
      <c r="U143" s="30"/>
      <c r="V143" s="30"/>
      <c r="Y143" s="30"/>
      <c r="Z143" s="30"/>
    </row>
    <row r="144">
      <c r="A144" s="12" t="s">
        <v>74</v>
      </c>
      <c r="B144" s="64"/>
      <c r="C144" s="23" t="s">
        <v>382</v>
      </c>
      <c r="D144" s="12" t="str">
        <f>vlookup(C144,'List of Chargers'!$A$2:$B$5,2,FALSE)</f>
        <v>Roam Point</v>
      </c>
      <c r="E144" s="23" t="s">
        <v>73</v>
      </c>
      <c r="F144" s="23" t="s">
        <v>75</v>
      </c>
      <c r="G144" s="23" t="s">
        <v>669</v>
      </c>
      <c r="H144" s="13" t="str">
        <f t="shared" si="1"/>
        <v>#RP-KE-A-142</v>
      </c>
      <c r="I144" s="13" t="str">
        <f t="shared" si="2"/>
        <v>FO-NBI-00#RP-KE-A-142</v>
      </c>
      <c r="J144" s="25"/>
      <c r="K144" s="66"/>
      <c r="S144" s="30"/>
      <c r="T144" s="30"/>
      <c r="U144" s="30"/>
      <c r="V144" s="30"/>
      <c r="Y144" s="30"/>
      <c r="Z144" s="30"/>
    </row>
    <row r="145">
      <c r="A145" s="12" t="s">
        <v>74</v>
      </c>
      <c r="B145" s="64"/>
      <c r="C145" s="23" t="s">
        <v>382</v>
      </c>
      <c r="D145" s="12" t="str">
        <f>vlookup(C145,'List of Chargers'!$A$2:$B$5,2,FALSE)</f>
        <v>Roam Point</v>
      </c>
      <c r="E145" s="23" t="s">
        <v>73</v>
      </c>
      <c r="F145" s="23" t="s">
        <v>75</v>
      </c>
      <c r="G145" s="23" t="s">
        <v>670</v>
      </c>
      <c r="H145" s="13" t="str">
        <f t="shared" si="1"/>
        <v>#RP-KE-A-143</v>
      </c>
      <c r="I145" s="13" t="str">
        <f t="shared" si="2"/>
        <v>FO-NBI-00#RP-KE-A-143</v>
      </c>
      <c r="J145" s="25"/>
      <c r="K145" s="66"/>
      <c r="S145" s="30"/>
      <c r="T145" s="30"/>
      <c r="U145" s="30"/>
      <c r="V145" s="30"/>
      <c r="Y145" s="30"/>
      <c r="Z145" s="30"/>
    </row>
    <row r="146">
      <c r="A146" s="12" t="s">
        <v>74</v>
      </c>
      <c r="B146" s="64"/>
      <c r="C146" s="23" t="s">
        <v>382</v>
      </c>
      <c r="D146" s="12" t="str">
        <f>vlookup(C146,'List of Chargers'!$A$2:$B$5,2,FALSE)</f>
        <v>Roam Point</v>
      </c>
      <c r="E146" s="23" t="s">
        <v>73</v>
      </c>
      <c r="F146" s="23" t="s">
        <v>75</v>
      </c>
      <c r="G146" s="23" t="s">
        <v>671</v>
      </c>
      <c r="H146" s="13" t="str">
        <f t="shared" si="1"/>
        <v>#RP-KE-A-144</v>
      </c>
      <c r="I146" s="13" t="str">
        <f t="shared" si="2"/>
        <v>FO-NBI-00#RP-KE-A-144</v>
      </c>
      <c r="J146" s="25"/>
      <c r="K146" s="66"/>
      <c r="S146" s="30"/>
      <c r="T146" s="30"/>
      <c r="U146" s="30"/>
      <c r="V146" s="30"/>
      <c r="Y146" s="30"/>
      <c r="Z146" s="30"/>
    </row>
    <row r="147">
      <c r="A147" s="12" t="s">
        <v>74</v>
      </c>
      <c r="B147" s="64"/>
      <c r="C147" s="23" t="s">
        <v>382</v>
      </c>
      <c r="D147" s="12" t="str">
        <f>vlookup(C147,'List of Chargers'!$A$2:$B$5,2,FALSE)</f>
        <v>Roam Point</v>
      </c>
      <c r="E147" s="23" t="s">
        <v>73</v>
      </c>
      <c r="F147" s="23" t="s">
        <v>75</v>
      </c>
      <c r="G147" s="23" t="s">
        <v>672</v>
      </c>
      <c r="H147" s="13" t="str">
        <f t="shared" si="1"/>
        <v>#RP-KE-A-145</v>
      </c>
      <c r="I147" s="13" t="str">
        <f t="shared" si="2"/>
        <v>FO-NBI-00#RP-KE-A-145</v>
      </c>
      <c r="J147" s="25"/>
      <c r="K147" s="66"/>
      <c r="S147" s="30"/>
      <c r="T147" s="30"/>
      <c r="U147" s="30"/>
      <c r="V147" s="30"/>
      <c r="Y147" s="30"/>
      <c r="Z147" s="30"/>
    </row>
    <row r="148">
      <c r="A148" s="12" t="s">
        <v>74</v>
      </c>
      <c r="B148" s="64"/>
      <c r="C148" s="23" t="s">
        <v>382</v>
      </c>
      <c r="D148" s="12" t="str">
        <f>vlookup(C148,'List of Chargers'!$A$2:$B$5,2,FALSE)</f>
        <v>Roam Point</v>
      </c>
      <c r="E148" s="23" t="s">
        <v>73</v>
      </c>
      <c r="F148" s="23" t="s">
        <v>75</v>
      </c>
      <c r="G148" s="23" t="s">
        <v>673</v>
      </c>
      <c r="H148" s="13" t="str">
        <f t="shared" si="1"/>
        <v>#RP-KE-A-146</v>
      </c>
      <c r="I148" s="13" t="str">
        <f t="shared" si="2"/>
        <v>FO-NBI-00#RP-KE-A-146</v>
      </c>
      <c r="J148" s="25"/>
      <c r="K148" s="66"/>
      <c r="S148" s="30"/>
      <c r="T148" s="30"/>
      <c r="U148" s="30"/>
      <c r="V148" s="30"/>
      <c r="Y148" s="30"/>
      <c r="Z148" s="30"/>
    </row>
    <row r="149">
      <c r="A149" s="12" t="s">
        <v>74</v>
      </c>
      <c r="B149" s="64"/>
      <c r="C149" s="23" t="s">
        <v>382</v>
      </c>
      <c r="D149" s="12" t="str">
        <f>vlookup(C149,'List of Chargers'!$A$2:$B$5,2,FALSE)</f>
        <v>Roam Point</v>
      </c>
      <c r="E149" s="23" t="s">
        <v>73</v>
      </c>
      <c r="F149" s="23" t="s">
        <v>75</v>
      </c>
      <c r="G149" s="23" t="s">
        <v>674</v>
      </c>
      <c r="H149" s="13" t="str">
        <f t="shared" si="1"/>
        <v>#RP-KE-A-147</v>
      </c>
      <c r="I149" s="13" t="str">
        <f t="shared" si="2"/>
        <v>FO-NBI-00#RP-KE-A-147</v>
      </c>
      <c r="J149" s="25"/>
      <c r="K149" s="66"/>
      <c r="S149" s="30"/>
      <c r="T149" s="30"/>
      <c r="U149" s="30"/>
      <c r="V149" s="30"/>
      <c r="Y149" s="30"/>
      <c r="Z149" s="30"/>
    </row>
    <row r="150">
      <c r="A150" s="12" t="s">
        <v>74</v>
      </c>
      <c r="B150" s="64"/>
      <c r="C150" s="23" t="s">
        <v>382</v>
      </c>
      <c r="D150" s="12" t="str">
        <f>vlookup(C150,'List of Chargers'!$A$2:$B$5,2,FALSE)</f>
        <v>Roam Point</v>
      </c>
      <c r="E150" s="23" t="s">
        <v>73</v>
      </c>
      <c r="F150" s="23" t="s">
        <v>75</v>
      </c>
      <c r="G150" s="23" t="s">
        <v>675</v>
      </c>
      <c r="H150" s="13" t="str">
        <f t="shared" si="1"/>
        <v>#RP-KE-A-148</v>
      </c>
      <c r="I150" s="13" t="str">
        <f t="shared" si="2"/>
        <v>FO-NBI-00#RP-KE-A-148</v>
      </c>
      <c r="J150" s="25"/>
      <c r="K150" s="66"/>
      <c r="S150" s="30"/>
      <c r="T150" s="30"/>
      <c r="U150" s="30"/>
      <c r="V150" s="30"/>
      <c r="Y150" s="30"/>
      <c r="Z150" s="30"/>
    </row>
    <row r="151">
      <c r="A151" s="12" t="s">
        <v>74</v>
      </c>
      <c r="B151" s="64"/>
      <c r="C151" s="23" t="s">
        <v>382</v>
      </c>
      <c r="D151" s="12" t="str">
        <f>vlookup(C151,'List of Chargers'!$A$2:$B$5,2,FALSE)</f>
        <v>Roam Point</v>
      </c>
      <c r="E151" s="23" t="s">
        <v>73</v>
      </c>
      <c r="F151" s="23" t="s">
        <v>75</v>
      </c>
      <c r="G151" s="23" t="s">
        <v>676</v>
      </c>
      <c r="H151" s="13" t="str">
        <f t="shared" si="1"/>
        <v>#RP-KE-A-149</v>
      </c>
      <c r="I151" s="13" t="str">
        <f t="shared" si="2"/>
        <v>FO-NBI-00#RP-KE-A-149</v>
      </c>
      <c r="J151" s="25"/>
      <c r="K151" s="66"/>
      <c r="S151" s="30"/>
      <c r="T151" s="30"/>
      <c r="U151" s="30"/>
      <c r="V151" s="30"/>
      <c r="Y151" s="30"/>
      <c r="Z151" s="30"/>
    </row>
    <row r="152">
      <c r="A152" s="12" t="s">
        <v>74</v>
      </c>
      <c r="B152" s="64"/>
      <c r="C152" s="23" t="s">
        <v>382</v>
      </c>
      <c r="D152" s="12" t="str">
        <f>vlookup(C152,'List of Chargers'!$A$2:$B$5,2,FALSE)</f>
        <v>Roam Point</v>
      </c>
      <c r="E152" s="23" t="s">
        <v>73</v>
      </c>
      <c r="F152" s="23" t="s">
        <v>75</v>
      </c>
      <c r="G152" s="23" t="s">
        <v>677</v>
      </c>
      <c r="H152" s="13" t="str">
        <f t="shared" si="1"/>
        <v>#RP-KE-A-150</v>
      </c>
      <c r="I152" s="13" t="str">
        <f t="shared" si="2"/>
        <v>FO-NBI-00#RP-KE-A-150</v>
      </c>
      <c r="J152" s="25"/>
      <c r="K152" s="66"/>
      <c r="S152" s="30"/>
      <c r="T152" s="30"/>
      <c r="U152" s="30"/>
      <c r="V152" s="30"/>
      <c r="Y152" s="30"/>
      <c r="Z152" s="30"/>
    </row>
    <row r="153">
      <c r="A153" s="12" t="s">
        <v>74</v>
      </c>
      <c r="B153" s="64"/>
      <c r="C153" s="23" t="s">
        <v>382</v>
      </c>
      <c r="D153" s="12" t="str">
        <f>vlookup(C153,'List of Chargers'!$A$2:$B$5,2,FALSE)</f>
        <v>Roam Point</v>
      </c>
      <c r="E153" s="23" t="s">
        <v>73</v>
      </c>
      <c r="F153" s="23" t="s">
        <v>75</v>
      </c>
      <c r="G153" s="23" t="s">
        <v>678</v>
      </c>
      <c r="H153" s="13" t="str">
        <f t="shared" si="1"/>
        <v>#RP-KE-A-151</v>
      </c>
      <c r="I153" s="13" t="str">
        <f t="shared" si="2"/>
        <v>FO-NBI-00#RP-KE-A-151</v>
      </c>
      <c r="J153" s="25"/>
      <c r="K153" s="66"/>
      <c r="S153" s="30"/>
      <c r="T153" s="30"/>
      <c r="U153" s="30"/>
      <c r="V153" s="30"/>
      <c r="Y153" s="30"/>
      <c r="Z153" s="30"/>
    </row>
    <row r="154">
      <c r="A154" s="12" t="s">
        <v>74</v>
      </c>
      <c r="B154" s="64"/>
      <c r="C154" s="23" t="s">
        <v>382</v>
      </c>
      <c r="D154" s="12" t="str">
        <f>vlookup(C154,'List of Chargers'!$A$2:$B$5,2,FALSE)</f>
        <v>Roam Point</v>
      </c>
      <c r="E154" s="23" t="s">
        <v>73</v>
      </c>
      <c r="F154" s="23" t="s">
        <v>75</v>
      </c>
      <c r="G154" s="23" t="s">
        <v>679</v>
      </c>
      <c r="H154" s="13" t="str">
        <f t="shared" si="1"/>
        <v>#RP-KE-A-152</v>
      </c>
      <c r="I154" s="13" t="str">
        <f t="shared" si="2"/>
        <v>FO-NBI-00#RP-KE-A-152</v>
      </c>
      <c r="J154" s="25"/>
      <c r="K154" s="66"/>
      <c r="S154" s="30"/>
      <c r="T154" s="30"/>
      <c r="U154" s="30"/>
      <c r="V154" s="30"/>
      <c r="Y154" s="30"/>
      <c r="Z154" s="30"/>
    </row>
    <row r="155">
      <c r="A155" s="12" t="s">
        <v>74</v>
      </c>
      <c r="B155" s="64"/>
      <c r="C155" s="23" t="s">
        <v>382</v>
      </c>
      <c r="D155" s="12" t="str">
        <f>vlookup(C155,'List of Chargers'!$A$2:$B$5,2,FALSE)</f>
        <v>Roam Point</v>
      </c>
      <c r="E155" s="23" t="s">
        <v>73</v>
      </c>
      <c r="F155" s="23" t="s">
        <v>75</v>
      </c>
      <c r="G155" s="23" t="s">
        <v>680</v>
      </c>
      <c r="H155" s="13" t="str">
        <f t="shared" si="1"/>
        <v>#RP-KE-A-153</v>
      </c>
      <c r="I155" s="13" t="str">
        <f t="shared" si="2"/>
        <v>FO-NBI-00#RP-KE-A-153</v>
      </c>
      <c r="J155" s="25"/>
      <c r="K155" s="66"/>
      <c r="S155" s="30"/>
      <c r="T155" s="30"/>
      <c r="U155" s="30"/>
      <c r="V155" s="30"/>
      <c r="Y155" s="30"/>
      <c r="Z155" s="30"/>
    </row>
    <row r="156">
      <c r="A156" s="12" t="s">
        <v>74</v>
      </c>
      <c r="B156" s="64"/>
      <c r="C156" s="23" t="s">
        <v>382</v>
      </c>
      <c r="D156" s="12" t="str">
        <f>vlookup(C156,'List of Chargers'!$A$2:$B$5,2,FALSE)</f>
        <v>Roam Point</v>
      </c>
      <c r="E156" s="23" t="s">
        <v>73</v>
      </c>
      <c r="F156" s="23" t="s">
        <v>75</v>
      </c>
      <c r="G156" s="23" t="s">
        <v>681</v>
      </c>
      <c r="H156" s="13" t="str">
        <f t="shared" si="1"/>
        <v>#RP-KE-A-154</v>
      </c>
      <c r="I156" s="13" t="str">
        <f t="shared" si="2"/>
        <v>FO-NBI-00#RP-KE-A-154</v>
      </c>
      <c r="J156" s="25"/>
      <c r="K156" s="66"/>
      <c r="S156" s="30"/>
      <c r="T156" s="30"/>
      <c r="U156" s="30"/>
      <c r="V156" s="30"/>
      <c r="Y156" s="30"/>
      <c r="Z156" s="30"/>
    </row>
    <row r="157">
      <c r="A157" s="12" t="s">
        <v>74</v>
      </c>
      <c r="B157" s="64"/>
      <c r="C157" s="23" t="s">
        <v>382</v>
      </c>
      <c r="D157" s="12" t="str">
        <f>vlookup(C157,'List of Chargers'!$A$2:$B$5,2,FALSE)</f>
        <v>Roam Point</v>
      </c>
      <c r="E157" s="23" t="s">
        <v>73</v>
      </c>
      <c r="F157" s="23" t="s">
        <v>75</v>
      </c>
      <c r="G157" s="23" t="s">
        <v>682</v>
      </c>
      <c r="H157" s="13" t="str">
        <f t="shared" si="1"/>
        <v>#RP-KE-A-155</v>
      </c>
      <c r="I157" s="13" t="str">
        <f t="shared" si="2"/>
        <v>FO-NBI-00#RP-KE-A-155</v>
      </c>
      <c r="J157" s="25"/>
      <c r="K157" s="66"/>
      <c r="S157" s="30"/>
      <c r="T157" s="30"/>
      <c r="U157" s="30"/>
      <c r="V157" s="30"/>
      <c r="Y157" s="30"/>
      <c r="Z157" s="30"/>
    </row>
    <row r="158">
      <c r="A158" s="12" t="s">
        <v>74</v>
      </c>
      <c r="B158" s="64"/>
      <c r="C158" s="23" t="s">
        <v>382</v>
      </c>
      <c r="D158" s="12" t="str">
        <f>vlookup(C158,'List of Chargers'!$A$2:$B$5,2,FALSE)</f>
        <v>Roam Point</v>
      </c>
      <c r="E158" s="23" t="s">
        <v>73</v>
      </c>
      <c r="F158" s="23" t="s">
        <v>75</v>
      </c>
      <c r="G158" s="23" t="s">
        <v>683</v>
      </c>
      <c r="H158" s="13" t="str">
        <f t="shared" si="1"/>
        <v>#RP-KE-A-156</v>
      </c>
      <c r="I158" s="13" t="str">
        <f t="shared" si="2"/>
        <v>FO-NBI-00#RP-KE-A-156</v>
      </c>
      <c r="J158" s="25"/>
      <c r="K158" s="66"/>
      <c r="S158" s="30"/>
      <c r="T158" s="30"/>
      <c r="U158" s="30"/>
      <c r="V158" s="30"/>
      <c r="Y158" s="30"/>
      <c r="Z158" s="30"/>
    </row>
    <row r="159">
      <c r="A159" s="12" t="s">
        <v>74</v>
      </c>
      <c r="B159" s="64"/>
      <c r="C159" s="23" t="s">
        <v>382</v>
      </c>
      <c r="D159" s="12" t="str">
        <f>vlookup(C159,'List of Chargers'!$A$2:$B$5,2,FALSE)</f>
        <v>Roam Point</v>
      </c>
      <c r="E159" s="23" t="s">
        <v>73</v>
      </c>
      <c r="F159" s="23" t="s">
        <v>75</v>
      </c>
      <c r="G159" s="23" t="s">
        <v>684</v>
      </c>
      <c r="H159" s="13" t="str">
        <f t="shared" si="1"/>
        <v>#RP-KE-A-157</v>
      </c>
      <c r="I159" s="13" t="str">
        <f t="shared" si="2"/>
        <v>FO-NBI-00#RP-KE-A-157</v>
      </c>
      <c r="J159" s="25"/>
      <c r="K159" s="66"/>
      <c r="S159" s="30"/>
      <c r="T159" s="30"/>
      <c r="U159" s="30"/>
      <c r="V159" s="30"/>
      <c r="Y159" s="30"/>
      <c r="Z159" s="30"/>
    </row>
    <row r="160">
      <c r="A160" s="12" t="s">
        <v>74</v>
      </c>
      <c r="B160" s="64"/>
      <c r="C160" s="23" t="s">
        <v>382</v>
      </c>
      <c r="D160" s="12" t="str">
        <f>vlookup(C160,'List of Chargers'!$A$2:$B$5,2,FALSE)</f>
        <v>Roam Point</v>
      </c>
      <c r="E160" s="23" t="s">
        <v>73</v>
      </c>
      <c r="F160" s="23" t="s">
        <v>75</v>
      </c>
      <c r="G160" s="23" t="s">
        <v>685</v>
      </c>
      <c r="H160" s="13" t="str">
        <f t="shared" si="1"/>
        <v>#RP-KE-A-158</v>
      </c>
      <c r="I160" s="13" t="str">
        <f t="shared" si="2"/>
        <v>FO-NBI-00#RP-KE-A-158</v>
      </c>
      <c r="J160" s="25"/>
      <c r="K160" s="66"/>
      <c r="S160" s="30"/>
      <c r="T160" s="30"/>
      <c r="U160" s="30"/>
      <c r="V160" s="30"/>
      <c r="Y160" s="30"/>
      <c r="Z160" s="30"/>
    </row>
    <row r="161">
      <c r="A161" s="12" t="s">
        <v>74</v>
      </c>
      <c r="B161" s="64"/>
      <c r="C161" s="23" t="s">
        <v>382</v>
      </c>
      <c r="D161" s="12" t="str">
        <f>vlookup(C161,'List of Chargers'!$A$2:$B$5,2,FALSE)</f>
        <v>Roam Point</v>
      </c>
      <c r="E161" s="23" t="s">
        <v>73</v>
      </c>
      <c r="F161" s="23" t="s">
        <v>75</v>
      </c>
      <c r="G161" s="23" t="s">
        <v>686</v>
      </c>
      <c r="H161" s="13" t="str">
        <f t="shared" si="1"/>
        <v>#RP-KE-A-159</v>
      </c>
      <c r="I161" s="13" t="str">
        <f t="shared" si="2"/>
        <v>FO-NBI-00#RP-KE-A-159</v>
      </c>
      <c r="J161" s="25"/>
      <c r="K161" s="66"/>
      <c r="S161" s="30"/>
      <c r="T161" s="30"/>
      <c r="U161" s="30"/>
      <c r="V161" s="30"/>
      <c r="Y161" s="30"/>
      <c r="Z161" s="30"/>
    </row>
    <row r="162">
      <c r="A162" s="12" t="s">
        <v>74</v>
      </c>
      <c r="B162" s="64"/>
      <c r="C162" s="23" t="s">
        <v>382</v>
      </c>
      <c r="D162" s="12" t="str">
        <f>vlookup(C162,'List of Chargers'!$A$2:$B$5,2,FALSE)</f>
        <v>Roam Point</v>
      </c>
      <c r="E162" s="23" t="s">
        <v>73</v>
      </c>
      <c r="F162" s="23" t="s">
        <v>75</v>
      </c>
      <c r="G162" s="23" t="s">
        <v>687</v>
      </c>
      <c r="H162" s="13" t="str">
        <f t="shared" si="1"/>
        <v>#RP-KE-A-160</v>
      </c>
      <c r="I162" s="13" t="str">
        <f t="shared" si="2"/>
        <v>FO-NBI-00#RP-KE-A-160</v>
      </c>
      <c r="J162" s="25"/>
      <c r="K162" s="66"/>
      <c r="S162" s="30"/>
      <c r="T162" s="30"/>
      <c r="U162" s="30"/>
      <c r="V162" s="30"/>
      <c r="Y162" s="30"/>
      <c r="Z162" s="30"/>
    </row>
    <row r="163">
      <c r="A163" s="12" t="s">
        <v>74</v>
      </c>
      <c r="B163" s="64"/>
      <c r="C163" s="23" t="s">
        <v>382</v>
      </c>
      <c r="D163" s="12" t="str">
        <f>vlookup(C163,'List of Chargers'!$A$2:$B$5,2,FALSE)</f>
        <v>Roam Point</v>
      </c>
      <c r="E163" s="23" t="s">
        <v>73</v>
      </c>
      <c r="F163" s="23" t="s">
        <v>75</v>
      </c>
      <c r="G163" s="23" t="s">
        <v>688</v>
      </c>
      <c r="H163" s="13" t="str">
        <f t="shared" si="1"/>
        <v>#RP-KE-A-161</v>
      </c>
      <c r="I163" s="13" t="str">
        <f t="shared" si="2"/>
        <v>FO-NBI-00#RP-KE-A-161</v>
      </c>
      <c r="J163" s="25"/>
      <c r="K163" s="66"/>
      <c r="S163" s="30"/>
      <c r="T163" s="30"/>
      <c r="U163" s="30"/>
      <c r="V163" s="30"/>
      <c r="Y163" s="30"/>
      <c r="Z163" s="30"/>
    </row>
    <row r="164">
      <c r="A164" s="12" t="s">
        <v>74</v>
      </c>
      <c r="B164" s="64"/>
      <c r="C164" s="23" t="s">
        <v>382</v>
      </c>
      <c r="D164" s="12" t="str">
        <f>vlookup(C164,'List of Chargers'!$A$2:$B$5,2,FALSE)</f>
        <v>Roam Point</v>
      </c>
      <c r="E164" s="23" t="s">
        <v>73</v>
      </c>
      <c r="F164" s="23" t="s">
        <v>75</v>
      </c>
      <c r="G164" s="23" t="s">
        <v>689</v>
      </c>
      <c r="H164" s="13" t="str">
        <f t="shared" si="1"/>
        <v>#RP-KE-A-162</v>
      </c>
      <c r="I164" s="13" t="str">
        <f t="shared" si="2"/>
        <v>FO-NBI-00#RP-KE-A-162</v>
      </c>
      <c r="J164" s="25"/>
      <c r="K164" s="66"/>
      <c r="S164" s="30"/>
      <c r="T164" s="30"/>
      <c r="U164" s="30"/>
      <c r="V164" s="30"/>
      <c r="Y164" s="30"/>
      <c r="Z164" s="30"/>
    </row>
    <row r="165">
      <c r="A165" s="12" t="s">
        <v>74</v>
      </c>
      <c r="B165" s="64"/>
      <c r="C165" s="23" t="s">
        <v>382</v>
      </c>
      <c r="D165" s="12" t="str">
        <f>vlookup(C165,'List of Chargers'!$A$2:$B$5,2,FALSE)</f>
        <v>Roam Point</v>
      </c>
      <c r="E165" s="23" t="s">
        <v>73</v>
      </c>
      <c r="F165" s="23" t="s">
        <v>75</v>
      </c>
      <c r="G165" s="23" t="s">
        <v>690</v>
      </c>
      <c r="H165" s="13" t="str">
        <f t="shared" si="1"/>
        <v>#RP-KE-A-163</v>
      </c>
      <c r="I165" s="13" t="str">
        <f t="shared" si="2"/>
        <v>FO-NBI-00#RP-KE-A-163</v>
      </c>
      <c r="J165" s="25"/>
      <c r="K165" s="66"/>
      <c r="S165" s="30"/>
      <c r="T165" s="30"/>
      <c r="U165" s="30"/>
      <c r="V165" s="30"/>
      <c r="Y165" s="30"/>
      <c r="Z165" s="30"/>
    </row>
    <row r="166">
      <c r="A166" s="12" t="s">
        <v>74</v>
      </c>
      <c r="B166" s="64"/>
      <c r="C166" s="23" t="s">
        <v>382</v>
      </c>
      <c r="D166" s="12" t="str">
        <f>vlookup(C166,'List of Chargers'!$A$2:$B$5,2,FALSE)</f>
        <v>Roam Point</v>
      </c>
      <c r="E166" s="23" t="s">
        <v>73</v>
      </c>
      <c r="F166" s="23" t="s">
        <v>75</v>
      </c>
      <c r="G166" s="23" t="s">
        <v>691</v>
      </c>
      <c r="H166" s="13" t="str">
        <f t="shared" si="1"/>
        <v>#RP-KE-A-164</v>
      </c>
      <c r="I166" s="13" t="str">
        <f t="shared" si="2"/>
        <v>FO-NBI-00#RP-KE-A-164</v>
      </c>
      <c r="J166" s="25"/>
      <c r="K166" s="66"/>
      <c r="S166" s="30"/>
      <c r="T166" s="30"/>
      <c r="U166" s="30"/>
      <c r="V166" s="30"/>
      <c r="Y166" s="30"/>
      <c r="Z166" s="30"/>
    </row>
    <row r="167">
      <c r="A167" s="12" t="s">
        <v>74</v>
      </c>
      <c r="B167" s="64"/>
      <c r="C167" s="23" t="s">
        <v>382</v>
      </c>
      <c r="D167" s="12" t="str">
        <f>vlookup(C167,'List of Chargers'!$A$2:$B$5,2,FALSE)</f>
        <v>Roam Point</v>
      </c>
      <c r="E167" s="23" t="s">
        <v>73</v>
      </c>
      <c r="F167" s="23" t="s">
        <v>75</v>
      </c>
      <c r="G167" s="23" t="s">
        <v>692</v>
      </c>
      <c r="H167" s="13" t="str">
        <f t="shared" si="1"/>
        <v>#RP-KE-A-165</v>
      </c>
      <c r="I167" s="13" t="str">
        <f t="shared" si="2"/>
        <v>FO-NBI-00#RP-KE-A-165</v>
      </c>
      <c r="J167" s="25"/>
      <c r="K167" s="66"/>
      <c r="S167" s="30"/>
      <c r="T167" s="30"/>
      <c r="U167" s="30"/>
      <c r="V167" s="30"/>
      <c r="Y167" s="30"/>
      <c r="Z167" s="30"/>
    </row>
    <row r="168">
      <c r="A168" s="12" t="s">
        <v>74</v>
      </c>
      <c r="B168" s="64"/>
      <c r="C168" s="23" t="s">
        <v>382</v>
      </c>
      <c r="D168" s="12" t="str">
        <f>vlookup(C168,'List of Chargers'!$A$2:$B$5,2,FALSE)</f>
        <v>Roam Point</v>
      </c>
      <c r="E168" s="23" t="s">
        <v>73</v>
      </c>
      <c r="F168" s="23" t="s">
        <v>75</v>
      </c>
      <c r="G168" s="23" t="s">
        <v>693</v>
      </c>
      <c r="H168" s="13" t="str">
        <f t="shared" si="1"/>
        <v>#RP-KE-A-166</v>
      </c>
      <c r="I168" s="13" t="str">
        <f t="shared" si="2"/>
        <v>FO-NBI-00#RP-KE-A-166</v>
      </c>
      <c r="J168" s="25"/>
      <c r="K168" s="66"/>
      <c r="S168" s="30"/>
      <c r="T168" s="30"/>
      <c r="U168" s="30"/>
      <c r="V168" s="30"/>
      <c r="Y168" s="30"/>
      <c r="Z168" s="30"/>
    </row>
    <row r="169">
      <c r="A169" s="12" t="s">
        <v>74</v>
      </c>
      <c r="B169" s="64"/>
      <c r="C169" s="23" t="s">
        <v>382</v>
      </c>
      <c r="D169" s="12" t="str">
        <f>vlookup(C169,'List of Chargers'!$A$2:$B$5,2,FALSE)</f>
        <v>Roam Point</v>
      </c>
      <c r="E169" s="23" t="s">
        <v>73</v>
      </c>
      <c r="F169" s="23" t="s">
        <v>75</v>
      </c>
      <c r="G169" s="23" t="s">
        <v>694</v>
      </c>
      <c r="H169" s="13" t="str">
        <f t="shared" si="1"/>
        <v>#RP-KE-A-167</v>
      </c>
      <c r="I169" s="13" t="str">
        <f t="shared" si="2"/>
        <v>FO-NBI-00#RP-KE-A-167</v>
      </c>
      <c r="J169" s="25"/>
      <c r="K169" s="66"/>
      <c r="S169" s="30"/>
      <c r="T169" s="30"/>
      <c r="U169" s="30"/>
      <c r="V169" s="30"/>
      <c r="Y169" s="30"/>
      <c r="Z169" s="30"/>
    </row>
    <row r="170">
      <c r="A170" s="12" t="s">
        <v>74</v>
      </c>
      <c r="B170" s="64"/>
      <c r="C170" s="23" t="s">
        <v>382</v>
      </c>
      <c r="D170" s="12" t="str">
        <f>vlookup(C170,'List of Chargers'!$A$2:$B$5,2,FALSE)</f>
        <v>Roam Point</v>
      </c>
      <c r="E170" s="23" t="s">
        <v>73</v>
      </c>
      <c r="F170" s="23" t="s">
        <v>75</v>
      </c>
      <c r="G170" s="23" t="s">
        <v>695</v>
      </c>
      <c r="H170" s="13" t="str">
        <f t="shared" si="1"/>
        <v>#RP-KE-A-168</v>
      </c>
      <c r="I170" s="13" t="str">
        <f t="shared" si="2"/>
        <v>FO-NBI-00#RP-KE-A-168</v>
      </c>
      <c r="J170" s="25"/>
      <c r="K170" s="66"/>
      <c r="S170" s="30"/>
      <c r="T170" s="30"/>
      <c r="U170" s="30"/>
      <c r="V170" s="30"/>
      <c r="Y170" s="30"/>
      <c r="Z170" s="30"/>
    </row>
    <row r="171">
      <c r="A171" s="12" t="s">
        <v>74</v>
      </c>
      <c r="B171" s="64"/>
      <c r="C171" s="23" t="s">
        <v>382</v>
      </c>
      <c r="D171" s="12" t="str">
        <f>vlookup(C171,'List of Chargers'!$A$2:$B$5,2,FALSE)</f>
        <v>Roam Point</v>
      </c>
      <c r="E171" s="23" t="s">
        <v>73</v>
      </c>
      <c r="F171" s="23" t="s">
        <v>75</v>
      </c>
      <c r="G171" s="23" t="s">
        <v>696</v>
      </c>
      <c r="H171" s="13" t="str">
        <f t="shared" si="1"/>
        <v>#RP-KE-A-169</v>
      </c>
      <c r="I171" s="13" t="str">
        <f t="shared" si="2"/>
        <v>FO-NBI-00#RP-KE-A-169</v>
      </c>
      <c r="J171" s="25"/>
      <c r="K171" s="66"/>
      <c r="S171" s="30"/>
      <c r="T171" s="30"/>
      <c r="U171" s="30"/>
      <c r="V171" s="30"/>
      <c r="Y171" s="30"/>
      <c r="Z171" s="30"/>
    </row>
    <row r="172">
      <c r="A172" s="12" t="s">
        <v>74</v>
      </c>
      <c r="B172" s="64"/>
      <c r="C172" s="23" t="s">
        <v>382</v>
      </c>
      <c r="D172" s="12" t="str">
        <f>vlookup(C172,'List of Chargers'!$A$2:$B$5,2,FALSE)</f>
        <v>Roam Point</v>
      </c>
      <c r="E172" s="23" t="s">
        <v>73</v>
      </c>
      <c r="F172" s="23" t="s">
        <v>75</v>
      </c>
      <c r="G172" s="23" t="s">
        <v>697</v>
      </c>
      <c r="H172" s="13" t="str">
        <f t="shared" si="1"/>
        <v>#RP-KE-A-170</v>
      </c>
      <c r="I172" s="13" t="str">
        <f t="shared" si="2"/>
        <v>FO-NBI-00#RP-KE-A-170</v>
      </c>
      <c r="J172" s="25"/>
      <c r="K172" s="66"/>
      <c r="S172" s="30"/>
      <c r="T172" s="30"/>
      <c r="U172" s="30"/>
      <c r="V172" s="30"/>
      <c r="Y172" s="30"/>
      <c r="Z172" s="30"/>
    </row>
    <row r="173">
      <c r="A173" s="12" t="s">
        <v>74</v>
      </c>
      <c r="B173" s="64"/>
      <c r="C173" s="23" t="s">
        <v>382</v>
      </c>
      <c r="D173" s="12" t="str">
        <f>vlookup(C173,'List of Chargers'!$A$2:$B$5,2,FALSE)</f>
        <v>Roam Point</v>
      </c>
      <c r="E173" s="23" t="s">
        <v>73</v>
      </c>
      <c r="F173" s="23" t="s">
        <v>75</v>
      </c>
      <c r="G173" s="23" t="s">
        <v>698</v>
      </c>
      <c r="H173" s="13" t="str">
        <f t="shared" si="1"/>
        <v>#RP-KE-A-171</v>
      </c>
      <c r="I173" s="13" t="str">
        <f t="shared" si="2"/>
        <v>FO-NBI-00#RP-KE-A-171</v>
      </c>
      <c r="J173" s="25"/>
      <c r="K173" s="66"/>
      <c r="S173" s="30"/>
      <c r="T173" s="30"/>
      <c r="U173" s="30"/>
      <c r="V173" s="30"/>
      <c r="Y173" s="30"/>
      <c r="Z173" s="30"/>
    </row>
    <row r="174">
      <c r="A174" s="12" t="s">
        <v>74</v>
      </c>
      <c r="B174" s="64"/>
      <c r="C174" s="23" t="s">
        <v>382</v>
      </c>
      <c r="D174" s="12" t="str">
        <f>vlookup(C174,'List of Chargers'!$A$2:$B$5,2,FALSE)</f>
        <v>Roam Point</v>
      </c>
      <c r="E174" s="23" t="s">
        <v>73</v>
      </c>
      <c r="F174" s="23" t="s">
        <v>75</v>
      </c>
      <c r="G174" s="23" t="s">
        <v>699</v>
      </c>
      <c r="H174" s="13" t="str">
        <f t="shared" si="1"/>
        <v>#RP-KE-A-172</v>
      </c>
      <c r="I174" s="13" t="str">
        <f t="shared" si="2"/>
        <v>FO-NBI-00#RP-KE-A-172</v>
      </c>
      <c r="J174" s="25"/>
      <c r="K174" s="66"/>
      <c r="S174" s="30"/>
      <c r="T174" s="30"/>
      <c r="U174" s="30"/>
      <c r="V174" s="30"/>
      <c r="Y174" s="30"/>
      <c r="Z174" s="30"/>
    </row>
    <row r="175">
      <c r="A175" s="12" t="s">
        <v>74</v>
      </c>
      <c r="B175" s="64"/>
      <c r="C175" s="23" t="s">
        <v>382</v>
      </c>
      <c r="D175" s="12" t="str">
        <f>vlookup(C175,'List of Chargers'!$A$2:$B$5,2,FALSE)</f>
        <v>Roam Point</v>
      </c>
      <c r="E175" s="23" t="s">
        <v>73</v>
      </c>
      <c r="F175" s="23" t="s">
        <v>75</v>
      </c>
      <c r="G175" s="23" t="s">
        <v>700</v>
      </c>
      <c r="H175" s="13" t="str">
        <f t="shared" si="1"/>
        <v>#RP-KE-A-173</v>
      </c>
      <c r="I175" s="13" t="str">
        <f t="shared" si="2"/>
        <v>FO-NBI-00#RP-KE-A-173</v>
      </c>
      <c r="J175" s="25"/>
      <c r="K175" s="66"/>
      <c r="S175" s="30"/>
      <c r="T175" s="30"/>
      <c r="U175" s="30"/>
      <c r="V175" s="30"/>
      <c r="Y175" s="30"/>
      <c r="Z175" s="30"/>
    </row>
    <row r="176">
      <c r="A176" s="12" t="s">
        <v>74</v>
      </c>
      <c r="B176" s="64"/>
      <c r="C176" s="23" t="s">
        <v>382</v>
      </c>
      <c r="D176" s="12" t="str">
        <f>vlookup(C176,'List of Chargers'!$A$2:$B$5,2,FALSE)</f>
        <v>Roam Point</v>
      </c>
      <c r="E176" s="23" t="s">
        <v>73</v>
      </c>
      <c r="F176" s="23" t="s">
        <v>75</v>
      </c>
      <c r="G176" s="23" t="s">
        <v>701</v>
      </c>
      <c r="H176" s="13" t="str">
        <f t="shared" si="1"/>
        <v>#RP-KE-A-174</v>
      </c>
      <c r="I176" s="13" t="str">
        <f t="shared" si="2"/>
        <v>FO-NBI-00#RP-KE-A-174</v>
      </c>
      <c r="J176" s="25"/>
      <c r="K176" s="66"/>
      <c r="S176" s="30"/>
      <c r="T176" s="30"/>
      <c r="U176" s="30"/>
      <c r="V176" s="30"/>
      <c r="Y176" s="30"/>
      <c r="Z176" s="30"/>
    </row>
    <row r="177">
      <c r="A177" s="12" t="s">
        <v>74</v>
      </c>
      <c r="B177" s="64"/>
      <c r="C177" s="23" t="s">
        <v>382</v>
      </c>
      <c r="D177" s="12" t="str">
        <f>vlookup(C177,'List of Chargers'!$A$2:$B$5,2,FALSE)</f>
        <v>Roam Point</v>
      </c>
      <c r="E177" s="23" t="s">
        <v>73</v>
      </c>
      <c r="F177" s="23" t="s">
        <v>75</v>
      </c>
      <c r="G177" s="23" t="s">
        <v>702</v>
      </c>
      <c r="H177" s="13" t="str">
        <f t="shared" si="1"/>
        <v>#RP-KE-A-175</v>
      </c>
      <c r="I177" s="13" t="str">
        <f t="shared" si="2"/>
        <v>FO-NBI-00#RP-KE-A-175</v>
      </c>
      <c r="J177" s="25"/>
      <c r="K177" s="66"/>
      <c r="S177" s="30"/>
      <c r="T177" s="30"/>
      <c r="U177" s="30"/>
      <c r="V177" s="30"/>
      <c r="Y177" s="30"/>
      <c r="Z177" s="30"/>
    </row>
    <row r="178">
      <c r="A178" s="12" t="s">
        <v>74</v>
      </c>
      <c r="B178" s="64"/>
      <c r="C178" s="23" t="s">
        <v>382</v>
      </c>
      <c r="D178" s="12" t="str">
        <f>vlookup(C178,'List of Chargers'!$A$2:$B$5,2,FALSE)</f>
        <v>Roam Point</v>
      </c>
      <c r="E178" s="23" t="s">
        <v>73</v>
      </c>
      <c r="F178" s="23" t="s">
        <v>75</v>
      </c>
      <c r="G178" s="23" t="s">
        <v>703</v>
      </c>
      <c r="H178" s="13" t="str">
        <f t="shared" si="1"/>
        <v>#RP-KE-A-176</v>
      </c>
      <c r="I178" s="13" t="str">
        <f t="shared" si="2"/>
        <v>FO-NBI-00#RP-KE-A-176</v>
      </c>
      <c r="J178" s="25"/>
      <c r="K178" s="66"/>
      <c r="S178" s="30"/>
      <c r="T178" s="30"/>
      <c r="U178" s="30"/>
      <c r="V178" s="30"/>
      <c r="Y178" s="30"/>
      <c r="Z178" s="30"/>
    </row>
    <row r="179">
      <c r="A179" s="12" t="s">
        <v>74</v>
      </c>
      <c r="B179" s="64"/>
      <c r="C179" s="23" t="s">
        <v>382</v>
      </c>
      <c r="D179" s="12" t="str">
        <f>vlookup(C179,'List of Chargers'!$A$2:$B$5,2,FALSE)</f>
        <v>Roam Point</v>
      </c>
      <c r="E179" s="23" t="s">
        <v>73</v>
      </c>
      <c r="F179" s="23" t="s">
        <v>75</v>
      </c>
      <c r="G179" s="23" t="s">
        <v>704</v>
      </c>
      <c r="H179" s="13" t="str">
        <f t="shared" si="1"/>
        <v>#RP-KE-A-177</v>
      </c>
      <c r="I179" s="13" t="str">
        <f t="shared" si="2"/>
        <v>FO-NBI-00#RP-KE-A-177</v>
      </c>
      <c r="J179" s="25"/>
      <c r="K179" s="66"/>
      <c r="S179" s="30"/>
      <c r="T179" s="30"/>
      <c r="U179" s="30"/>
      <c r="V179" s="30"/>
      <c r="Y179" s="30"/>
      <c r="Z179" s="30"/>
    </row>
    <row r="180">
      <c r="A180" s="12" t="s">
        <v>74</v>
      </c>
      <c r="B180" s="64"/>
      <c r="C180" s="23" t="s">
        <v>382</v>
      </c>
      <c r="D180" s="12" t="str">
        <f>vlookup(C180,'List of Chargers'!$A$2:$B$5,2,FALSE)</f>
        <v>Roam Point</v>
      </c>
      <c r="E180" s="23" t="s">
        <v>73</v>
      </c>
      <c r="F180" s="23" t="s">
        <v>75</v>
      </c>
      <c r="G180" s="23" t="s">
        <v>705</v>
      </c>
      <c r="H180" s="13" t="str">
        <f t="shared" si="1"/>
        <v>#RP-KE-A-178</v>
      </c>
      <c r="I180" s="13" t="str">
        <f t="shared" si="2"/>
        <v>FO-NBI-00#RP-KE-A-178</v>
      </c>
      <c r="J180" s="25"/>
      <c r="K180" s="66"/>
      <c r="S180" s="30"/>
      <c r="T180" s="30"/>
      <c r="U180" s="30"/>
      <c r="V180" s="30"/>
      <c r="Y180" s="30"/>
      <c r="Z180" s="30"/>
    </row>
    <row r="181">
      <c r="A181" s="12" t="s">
        <v>74</v>
      </c>
      <c r="B181" s="64"/>
      <c r="C181" s="23" t="s">
        <v>382</v>
      </c>
      <c r="D181" s="12" t="str">
        <f>vlookup(C181,'List of Chargers'!$A$2:$B$5,2,FALSE)</f>
        <v>Roam Point</v>
      </c>
      <c r="E181" s="23" t="s">
        <v>73</v>
      </c>
      <c r="F181" s="23" t="s">
        <v>75</v>
      </c>
      <c r="G181" s="23" t="s">
        <v>706</v>
      </c>
      <c r="H181" s="13" t="str">
        <f t="shared" si="1"/>
        <v>#RP-KE-A-179</v>
      </c>
      <c r="I181" s="13" t="str">
        <f t="shared" si="2"/>
        <v>FO-NBI-00#RP-KE-A-179</v>
      </c>
      <c r="J181" s="25"/>
      <c r="K181" s="66"/>
      <c r="S181" s="30"/>
      <c r="T181" s="30"/>
      <c r="U181" s="30"/>
      <c r="V181" s="30"/>
      <c r="Y181" s="30"/>
      <c r="Z181" s="30"/>
    </row>
    <row r="182">
      <c r="A182" s="12" t="s">
        <v>74</v>
      </c>
      <c r="B182" s="64"/>
      <c r="C182" s="23" t="s">
        <v>382</v>
      </c>
      <c r="D182" s="12" t="str">
        <f>vlookup(C182,'List of Chargers'!$A$2:$B$5,2,FALSE)</f>
        <v>Roam Point</v>
      </c>
      <c r="E182" s="23" t="s">
        <v>73</v>
      </c>
      <c r="F182" s="23" t="s">
        <v>75</v>
      </c>
      <c r="G182" s="23" t="s">
        <v>707</v>
      </c>
      <c r="H182" s="13" t="str">
        <f t="shared" si="1"/>
        <v>#RP-KE-A-180</v>
      </c>
      <c r="I182" s="13" t="str">
        <f t="shared" si="2"/>
        <v>FO-NBI-00#RP-KE-A-180</v>
      </c>
      <c r="J182" s="25"/>
      <c r="K182" s="66"/>
      <c r="S182" s="30"/>
      <c r="T182" s="30"/>
      <c r="U182" s="30"/>
      <c r="V182" s="30"/>
      <c r="Y182" s="30"/>
      <c r="Z182" s="30"/>
    </row>
    <row r="183">
      <c r="A183" s="12" t="s">
        <v>74</v>
      </c>
      <c r="B183" s="64"/>
      <c r="C183" s="23" t="s">
        <v>382</v>
      </c>
      <c r="D183" s="12" t="str">
        <f>vlookup(C183,'List of Chargers'!$A$2:$B$5,2,FALSE)</f>
        <v>Roam Point</v>
      </c>
      <c r="E183" s="23" t="s">
        <v>73</v>
      </c>
      <c r="F183" s="23" t="s">
        <v>75</v>
      </c>
      <c r="G183" s="23" t="s">
        <v>708</v>
      </c>
      <c r="H183" s="13" t="str">
        <f t="shared" si="1"/>
        <v>#RP-KE-A-181</v>
      </c>
      <c r="I183" s="13" t="str">
        <f t="shared" si="2"/>
        <v>FO-NBI-00#RP-KE-A-181</v>
      </c>
      <c r="J183" s="25"/>
      <c r="K183" s="66"/>
      <c r="S183" s="30"/>
      <c r="T183" s="30"/>
      <c r="U183" s="30"/>
      <c r="V183" s="30"/>
      <c r="Y183" s="30"/>
      <c r="Z183" s="30"/>
    </row>
    <row r="184">
      <c r="A184" s="12" t="s">
        <v>74</v>
      </c>
      <c r="B184" s="64"/>
      <c r="C184" s="23" t="s">
        <v>382</v>
      </c>
      <c r="D184" s="12" t="str">
        <f>vlookup(C184,'List of Chargers'!$A$2:$B$5,2,FALSE)</f>
        <v>Roam Point</v>
      </c>
      <c r="E184" s="23" t="s">
        <v>73</v>
      </c>
      <c r="F184" s="23" t="s">
        <v>75</v>
      </c>
      <c r="G184" s="23" t="s">
        <v>709</v>
      </c>
      <c r="H184" s="13" t="str">
        <f t="shared" si="1"/>
        <v>#RP-KE-A-182</v>
      </c>
      <c r="I184" s="13" t="str">
        <f t="shared" si="2"/>
        <v>FO-NBI-00#RP-KE-A-182</v>
      </c>
      <c r="J184" s="25"/>
      <c r="K184" s="66"/>
      <c r="S184" s="30"/>
      <c r="T184" s="30"/>
      <c r="U184" s="30"/>
      <c r="V184" s="30"/>
      <c r="Y184" s="30"/>
      <c r="Z184" s="30"/>
    </row>
    <row r="185">
      <c r="A185" s="12" t="s">
        <v>74</v>
      </c>
      <c r="B185" s="64"/>
      <c r="C185" s="23" t="s">
        <v>382</v>
      </c>
      <c r="D185" s="12" t="str">
        <f>vlookup(C185,'List of Chargers'!$A$2:$B$5,2,FALSE)</f>
        <v>Roam Point</v>
      </c>
      <c r="E185" s="23" t="s">
        <v>73</v>
      </c>
      <c r="F185" s="23" t="s">
        <v>75</v>
      </c>
      <c r="G185" s="23" t="s">
        <v>710</v>
      </c>
      <c r="H185" s="13" t="str">
        <f t="shared" si="1"/>
        <v>#RP-KE-A-183</v>
      </c>
      <c r="I185" s="13" t="str">
        <f t="shared" si="2"/>
        <v>FO-NBI-00#RP-KE-A-183</v>
      </c>
      <c r="J185" s="25"/>
      <c r="K185" s="66"/>
      <c r="S185" s="30"/>
      <c r="T185" s="30"/>
      <c r="U185" s="30"/>
      <c r="V185" s="30"/>
      <c r="Y185" s="30"/>
      <c r="Z185" s="30"/>
    </row>
    <row r="186">
      <c r="A186" s="12" t="s">
        <v>74</v>
      </c>
      <c r="B186" s="64"/>
      <c r="C186" s="23" t="s">
        <v>382</v>
      </c>
      <c r="D186" s="12" t="str">
        <f>vlookup(C186,'List of Chargers'!$A$2:$B$5,2,FALSE)</f>
        <v>Roam Point</v>
      </c>
      <c r="E186" s="23" t="s">
        <v>73</v>
      </c>
      <c r="F186" s="23" t="s">
        <v>75</v>
      </c>
      <c r="G186" s="23" t="s">
        <v>711</v>
      </c>
      <c r="H186" s="13" t="str">
        <f t="shared" si="1"/>
        <v>#RP-KE-A-184</v>
      </c>
      <c r="I186" s="13" t="str">
        <f t="shared" si="2"/>
        <v>FO-NBI-00#RP-KE-A-184</v>
      </c>
      <c r="J186" s="25"/>
      <c r="K186" s="66"/>
      <c r="S186" s="30"/>
      <c r="T186" s="30"/>
      <c r="U186" s="30"/>
      <c r="V186" s="30"/>
      <c r="Y186" s="30"/>
      <c r="Z186" s="30"/>
    </row>
    <row r="187">
      <c r="A187" s="12" t="s">
        <v>74</v>
      </c>
      <c r="B187" s="64"/>
      <c r="C187" s="23" t="s">
        <v>382</v>
      </c>
      <c r="D187" s="12" t="str">
        <f>vlookup(C187,'List of Chargers'!$A$2:$B$5,2,FALSE)</f>
        <v>Roam Point</v>
      </c>
      <c r="E187" s="23" t="s">
        <v>73</v>
      </c>
      <c r="F187" s="23" t="s">
        <v>75</v>
      </c>
      <c r="G187" s="23" t="s">
        <v>712</v>
      </c>
      <c r="H187" s="13" t="str">
        <f t="shared" si="1"/>
        <v>#RP-KE-A-185</v>
      </c>
      <c r="I187" s="13" t="str">
        <f t="shared" si="2"/>
        <v>FO-NBI-00#RP-KE-A-185</v>
      </c>
      <c r="J187" s="25"/>
      <c r="K187" s="66"/>
      <c r="S187" s="30"/>
      <c r="T187" s="30"/>
      <c r="U187" s="30"/>
      <c r="V187" s="30"/>
      <c r="Y187" s="30"/>
      <c r="Z187" s="30"/>
    </row>
    <row r="188">
      <c r="A188" s="12" t="s">
        <v>74</v>
      </c>
      <c r="B188" s="64"/>
      <c r="C188" s="23" t="s">
        <v>382</v>
      </c>
      <c r="D188" s="12" t="str">
        <f>vlookup(C188,'List of Chargers'!$A$2:$B$5,2,FALSE)</f>
        <v>Roam Point</v>
      </c>
      <c r="E188" s="23" t="s">
        <v>73</v>
      </c>
      <c r="F188" s="23" t="s">
        <v>75</v>
      </c>
      <c r="G188" s="23" t="s">
        <v>713</v>
      </c>
      <c r="H188" s="13" t="str">
        <f t="shared" si="1"/>
        <v>#RP-KE-A-186</v>
      </c>
      <c r="I188" s="13" t="str">
        <f t="shared" si="2"/>
        <v>FO-NBI-00#RP-KE-A-186</v>
      </c>
      <c r="J188" s="25"/>
      <c r="K188" s="66"/>
      <c r="S188" s="30"/>
      <c r="T188" s="30"/>
      <c r="U188" s="30"/>
      <c r="V188" s="30"/>
      <c r="Y188" s="30"/>
      <c r="Z188" s="30"/>
    </row>
    <row r="189">
      <c r="A189" s="12" t="s">
        <v>74</v>
      </c>
      <c r="B189" s="64"/>
      <c r="C189" s="23" t="s">
        <v>382</v>
      </c>
      <c r="D189" s="12" t="str">
        <f>vlookup(C189,'List of Chargers'!$A$2:$B$5,2,FALSE)</f>
        <v>Roam Point</v>
      </c>
      <c r="E189" s="23" t="s">
        <v>73</v>
      </c>
      <c r="F189" s="23" t="s">
        <v>75</v>
      </c>
      <c r="G189" s="23" t="s">
        <v>714</v>
      </c>
      <c r="H189" s="13" t="str">
        <f t="shared" si="1"/>
        <v>#RP-KE-A-187</v>
      </c>
      <c r="I189" s="13" t="str">
        <f t="shared" si="2"/>
        <v>FO-NBI-00#RP-KE-A-187</v>
      </c>
      <c r="J189" s="25"/>
      <c r="K189" s="66"/>
      <c r="S189" s="30"/>
      <c r="T189" s="30"/>
      <c r="U189" s="30"/>
      <c r="V189" s="30"/>
      <c r="Y189" s="30"/>
      <c r="Z189" s="30"/>
    </row>
    <row r="190">
      <c r="A190" s="12" t="s">
        <v>74</v>
      </c>
      <c r="B190" s="64"/>
      <c r="C190" s="23" t="s">
        <v>382</v>
      </c>
      <c r="D190" s="12" t="str">
        <f>vlookup(C190,'List of Chargers'!$A$2:$B$5,2,FALSE)</f>
        <v>Roam Point</v>
      </c>
      <c r="E190" s="23" t="s">
        <v>73</v>
      </c>
      <c r="F190" s="23" t="s">
        <v>75</v>
      </c>
      <c r="G190" s="23" t="s">
        <v>715</v>
      </c>
      <c r="H190" s="13" t="str">
        <f t="shared" si="1"/>
        <v>#RP-KE-A-188</v>
      </c>
      <c r="I190" s="13" t="str">
        <f t="shared" si="2"/>
        <v>FO-NBI-00#RP-KE-A-188</v>
      </c>
      <c r="J190" s="25"/>
      <c r="K190" s="66"/>
      <c r="S190" s="30"/>
      <c r="T190" s="30"/>
      <c r="U190" s="30"/>
      <c r="V190" s="30"/>
      <c r="Y190" s="30"/>
      <c r="Z190" s="30"/>
    </row>
    <row r="191">
      <c r="A191" s="12" t="s">
        <v>74</v>
      </c>
      <c r="B191" s="64"/>
      <c r="C191" s="23" t="s">
        <v>382</v>
      </c>
      <c r="D191" s="12" t="str">
        <f>vlookup(C191,'List of Chargers'!$A$2:$B$5,2,FALSE)</f>
        <v>Roam Point</v>
      </c>
      <c r="E191" s="23" t="s">
        <v>73</v>
      </c>
      <c r="F191" s="23" t="s">
        <v>75</v>
      </c>
      <c r="G191" s="23" t="s">
        <v>716</v>
      </c>
      <c r="H191" s="13" t="str">
        <f t="shared" si="1"/>
        <v>#RP-KE-A-189</v>
      </c>
      <c r="I191" s="13" t="str">
        <f t="shared" si="2"/>
        <v>FO-NBI-00#RP-KE-A-189</v>
      </c>
      <c r="J191" s="25"/>
      <c r="K191" s="66"/>
      <c r="S191" s="30"/>
      <c r="T191" s="30"/>
      <c r="U191" s="30"/>
      <c r="V191" s="30"/>
      <c r="Y191" s="30"/>
      <c r="Z191" s="30"/>
    </row>
    <row r="192">
      <c r="A192" s="12" t="s">
        <v>74</v>
      </c>
      <c r="B192" s="64"/>
      <c r="C192" s="23" t="s">
        <v>382</v>
      </c>
      <c r="D192" s="12" t="str">
        <f>vlookup(C192,'List of Chargers'!$A$2:$B$5,2,FALSE)</f>
        <v>Roam Point</v>
      </c>
      <c r="E192" s="23" t="s">
        <v>73</v>
      </c>
      <c r="F192" s="23" t="s">
        <v>75</v>
      </c>
      <c r="G192" s="23" t="s">
        <v>717</v>
      </c>
      <c r="H192" s="13" t="str">
        <f t="shared" si="1"/>
        <v>#RP-KE-A-190</v>
      </c>
      <c r="I192" s="13" t="str">
        <f t="shared" si="2"/>
        <v>FO-NBI-00#RP-KE-A-190</v>
      </c>
      <c r="J192" s="25"/>
      <c r="K192" s="66"/>
      <c r="S192" s="30"/>
      <c r="T192" s="30"/>
      <c r="U192" s="30"/>
      <c r="V192" s="30"/>
      <c r="Y192" s="30"/>
      <c r="Z192" s="30"/>
    </row>
    <row r="193">
      <c r="A193" s="12" t="s">
        <v>74</v>
      </c>
      <c r="B193" s="64"/>
      <c r="C193" s="23" t="s">
        <v>382</v>
      </c>
      <c r="D193" s="12" t="str">
        <f>vlookup(C193,'List of Chargers'!$A$2:$B$5,2,FALSE)</f>
        <v>Roam Point</v>
      </c>
      <c r="E193" s="23" t="s">
        <v>73</v>
      </c>
      <c r="F193" s="23" t="s">
        <v>75</v>
      </c>
      <c r="G193" s="23" t="s">
        <v>718</v>
      </c>
      <c r="H193" s="13" t="str">
        <f t="shared" si="1"/>
        <v>#RP-KE-A-191</v>
      </c>
      <c r="I193" s="13" t="str">
        <f t="shared" si="2"/>
        <v>FO-NBI-00#RP-KE-A-191</v>
      </c>
      <c r="J193" s="25"/>
      <c r="K193" s="66"/>
      <c r="S193" s="30"/>
      <c r="T193" s="30"/>
      <c r="U193" s="30"/>
      <c r="V193" s="30"/>
      <c r="Y193" s="30"/>
      <c r="Z193" s="30"/>
    </row>
    <row r="194">
      <c r="A194" s="12" t="s">
        <v>74</v>
      </c>
      <c r="B194" s="64"/>
      <c r="C194" s="23" t="s">
        <v>382</v>
      </c>
      <c r="D194" s="12" t="str">
        <f>vlookup(C194,'List of Chargers'!$A$2:$B$5,2,FALSE)</f>
        <v>Roam Point</v>
      </c>
      <c r="E194" s="23" t="s">
        <v>73</v>
      </c>
      <c r="F194" s="23" t="s">
        <v>75</v>
      </c>
      <c r="G194" s="23" t="s">
        <v>719</v>
      </c>
      <c r="H194" s="13" t="str">
        <f t="shared" si="1"/>
        <v>#RP-KE-A-192</v>
      </c>
      <c r="I194" s="13" t="str">
        <f t="shared" si="2"/>
        <v>FO-NBI-00#RP-KE-A-192</v>
      </c>
      <c r="J194" s="25"/>
      <c r="K194" s="66"/>
      <c r="S194" s="30"/>
      <c r="T194" s="30"/>
      <c r="U194" s="30"/>
      <c r="V194" s="30"/>
      <c r="Y194" s="30"/>
      <c r="Z194" s="30"/>
    </row>
    <row r="195">
      <c r="A195" s="12" t="s">
        <v>74</v>
      </c>
      <c r="B195" s="64"/>
      <c r="C195" s="23" t="s">
        <v>382</v>
      </c>
      <c r="D195" s="12" t="str">
        <f>vlookup(C195,'List of Chargers'!$A$2:$B$5,2,FALSE)</f>
        <v>Roam Point</v>
      </c>
      <c r="E195" s="23" t="s">
        <v>73</v>
      </c>
      <c r="F195" s="23" t="s">
        <v>75</v>
      </c>
      <c r="G195" s="23" t="s">
        <v>720</v>
      </c>
      <c r="H195" s="13" t="str">
        <f t="shared" si="1"/>
        <v>#RP-KE-A-193</v>
      </c>
      <c r="I195" s="13" t="str">
        <f t="shared" si="2"/>
        <v>FO-NBI-00#RP-KE-A-193</v>
      </c>
      <c r="J195" s="25"/>
      <c r="K195" s="66"/>
      <c r="S195" s="30"/>
      <c r="T195" s="30"/>
      <c r="U195" s="30"/>
      <c r="V195" s="30"/>
      <c r="Y195" s="30"/>
      <c r="Z195" s="30"/>
    </row>
    <row r="196">
      <c r="A196" s="12" t="s">
        <v>74</v>
      </c>
      <c r="B196" s="64"/>
      <c r="C196" s="23" t="s">
        <v>382</v>
      </c>
      <c r="D196" s="12" t="str">
        <f>vlookup(C196,'List of Chargers'!$A$2:$B$5,2,FALSE)</f>
        <v>Roam Point</v>
      </c>
      <c r="E196" s="23" t="s">
        <v>73</v>
      </c>
      <c r="F196" s="23" t="s">
        <v>75</v>
      </c>
      <c r="G196" s="23" t="s">
        <v>721</v>
      </c>
      <c r="H196" s="13" t="str">
        <f t="shared" si="1"/>
        <v>#RP-KE-A-194</v>
      </c>
      <c r="I196" s="13" t="str">
        <f t="shared" si="2"/>
        <v>FO-NBI-00#RP-KE-A-194</v>
      </c>
      <c r="J196" s="25"/>
      <c r="K196" s="66"/>
      <c r="S196" s="30"/>
      <c r="T196" s="30"/>
      <c r="U196" s="30"/>
      <c r="V196" s="30"/>
      <c r="Y196" s="30"/>
      <c r="Z196" s="30"/>
    </row>
    <row r="197">
      <c r="A197" s="12" t="s">
        <v>74</v>
      </c>
      <c r="B197" s="64"/>
      <c r="C197" s="23" t="s">
        <v>382</v>
      </c>
      <c r="D197" s="12" t="str">
        <f>vlookup(C197,'List of Chargers'!$A$2:$B$5,2,FALSE)</f>
        <v>Roam Point</v>
      </c>
      <c r="E197" s="23" t="s">
        <v>73</v>
      </c>
      <c r="F197" s="23" t="s">
        <v>75</v>
      </c>
      <c r="G197" s="23" t="s">
        <v>722</v>
      </c>
      <c r="H197" s="13" t="str">
        <f t="shared" si="1"/>
        <v>#RP-KE-A-195</v>
      </c>
      <c r="I197" s="13" t="str">
        <f t="shared" si="2"/>
        <v>FO-NBI-00#RP-KE-A-195</v>
      </c>
      <c r="J197" s="25"/>
      <c r="K197" s="66"/>
      <c r="S197" s="30"/>
      <c r="T197" s="30"/>
      <c r="U197" s="30"/>
      <c r="V197" s="30"/>
      <c r="Y197" s="30"/>
      <c r="Z197" s="30"/>
    </row>
    <row r="198">
      <c r="A198" s="12" t="s">
        <v>74</v>
      </c>
      <c r="B198" s="64"/>
      <c r="C198" s="23" t="s">
        <v>382</v>
      </c>
      <c r="D198" s="12" t="str">
        <f>vlookup(C198,'List of Chargers'!$A$2:$B$5,2,FALSE)</f>
        <v>Roam Point</v>
      </c>
      <c r="E198" s="23" t="s">
        <v>73</v>
      </c>
      <c r="F198" s="23" t="s">
        <v>75</v>
      </c>
      <c r="G198" s="23" t="s">
        <v>723</v>
      </c>
      <c r="H198" s="13" t="str">
        <f t="shared" si="1"/>
        <v>#RP-KE-A-196</v>
      </c>
      <c r="I198" s="13" t="str">
        <f t="shared" si="2"/>
        <v>FO-NBI-00#RP-KE-A-196</v>
      </c>
      <c r="J198" s="25"/>
      <c r="K198" s="66"/>
      <c r="S198" s="30"/>
      <c r="T198" s="30"/>
      <c r="U198" s="30"/>
      <c r="V198" s="30"/>
      <c r="Y198" s="30"/>
      <c r="Z198" s="30"/>
    </row>
    <row r="199">
      <c r="A199" s="12" t="s">
        <v>74</v>
      </c>
      <c r="B199" s="64"/>
      <c r="C199" s="23" t="s">
        <v>382</v>
      </c>
      <c r="D199" s="12" t="str">
        <f>vlookup(C199,'List of Chargers'!$A$2:$B$5,2,FALSE)</f>
        <v>Roam Point</v>
      </c>
      <c r="E199" s="23" t="s">
        <v>73</v>
      </c>
      <c r="F199" s="23" t="s">
        <v>75</v>
      </c>
      <c r="G199" s="23" t="s">
        <v>724</v>
      </c>
      <c r="H199" s="13" t="str">
        <f t="shared" si="1"/>
        <v>#RP-KE-A-197</v>
      </c>
      <c r="I199" s="13" t="str">
        <f t="shared" si="2"/>
        <v>FO-NBI-00#RP-KE-A-197</v>
      </c>
      <c r="J199" s="25"/>
      <c r="K199" s="66"/>
      <c r="S199" s="30"/>
      <c r="T199" s="30"/>
      <c r="U199" s="30"/>
      <c r="V199" s="30"/>
      <c r="Y199" s="30"/>
      <c r="Z199" s="30"/>
    </row>
    <row r="200">
      <c r="A200" s="12" t="s">
        <v>74</v>
      </c>
      <c r="B200" s="64"/>
      <c r="C200" s="23" t="s">
        <v>382</v>
      </c>
      <c r="D200" s="12" t="str">
        <f>vlookup(C200,'List of Chargers'!$A$2:$B$5,2,FALSE)</f>
        <v>Roam Point</v>
      </c>
      <c r="E200" s="23" t="s">
        <v>73</v>
      </c>
      <c r="F200" s="23" t="s">
        <v>75</v>
      </c>
      <c r="G200" s="23" t="s">
        <v>725</v>
      </c>
      <c r="H200" s="13" t="str">
        <f t="shared" si="1"/>
        <v>#RP-KE-A-198</v>
      </c>
      <c r="I200" s="13" t="str">
        <f t="shared" si="2"/>
        <v>FO-NBI-00#RP-KE-A-198</v>
      </c>
      <c r="J200" s="25"/>
      <c r="K200" s="66"/>
      <c r="S200" s="30"/>
      <c r="T200" s="30"/>
      <c r="U200" s="30"/>
      <c r="V200" s="30"/>
      <c r="Y200" s="30"/>
      <c r="Z200" s="30"/>
    </row>
    <row r="201">
      <c r="A201" s="12" t="s">
        <v>74</v>
      </c>
      <c r="B201" s="64"/>
      <c r="C201" s="23" t="s">
        <v>382</v>
      </c>
      <c r="D201" s="12" t="str">
        <f>vlookup(C201,'List of Chargers'!$A$2:$B$5,2,FALSE)</f>
        <v>Roam Point</v>
      </c>
      <c r="E201" s="23" t="s">
        <v>73</v>
      </c>
      <c r="F201" s="23" t="s">
        <v>75</v>
      </c>
      <c r="G201" s="23" t="s">
        <v>726</v>
      </c>
      <c r="H201" s="13" t="str">
        <f t="shared" si="1"/>
        <v>#RP-KE-A-199</v>
      </c>
      <c r="I201" s="13" t="str">
        <f t="shared" si="2"/>
        <v>FO-NBI-00#RP-KE-A-199</v>
      </c>
      <c r="J201" s="25"/>
      <c r="K201" s="66"/>
      <c r="S201" s="30"/>
      <c r="T201" s="30"/>
      <c r="U201" s="30"/>
      <c r="V201" s="30"/>
      <c r="Y201" s="30"/>
      <c r="Z201" s="30"/>
    </row>
    <row r="202">
      <c r="A202" s="12" t="s">
        <v>74</v>
      </c>
      <c r="B202" s="64"/>
      <c r="C202" s="23" t="s">
        <v>382</v>
      </c>
      <c r="D202" s="12" t="str">
        <f>vlookup(C202,'List of Chargers'!$A$2:$B$5,2,FALSE)</f>
        <v>Roam Point</v>
      </c>
      <c r="E202" s="23" t="s">
        <v>73</v>
      </c>
      <c r="F202" s="23" t="s">
        <v>75</v>
      </c>
      <c r="G202" s="23" t="s">
        <v>727</v>
      </c>
      <c r="H202" s="13" t="str">
        <f t="shared" si="1"/>
        <v>#RP-KE-A-200</v>
      </c>
      <c r="I202" s="13" t="str">
        <f t="shared" si="2"/>
        <v>FO-NBI-00#RP-KE-A-200</v>
      </c>
      <c r="J202" s="25"/>
      <c r="K202" s="66"/>
      <c r="S202" s="30"/>
      <c r="T202" s="30"/>
      <c r="U202" s="30"/>
      <c r="V202" s="30"/>
      <c r="Y202" s="30"/>
      <c r="Z202" s="30"/>
    </row>
    <row r="203">
      <c r="A203" s="12" t="s">
        <v>74</v>
      </c>
      <c r="B203" s="64"/>
      <c r="C203" s="23" t="s">
        <v>382</v>
      </c>
      <c r="D203" s="12" t="str">
        <f>vlookup(C203,'List of Chargers'!$A$2:$B$5,2,FALSE)</f>
        <v>Roam Point</v>
      </c>
      <c r="E203" s="23" t="s">
        <v>73</v>
      </c>
      <c r="F203" s="23" t="s">
        <v>75</v>
      </c>
      <c r="G203" s="23" t="s">
        <v>728</v>
      </c>
      <c r="H203" s="13" t="str">
        <f t="shared" si="1"/>
        <v>#RP-KE-A-201</v>
      </c>
      <c r="I203" s="13" t="str">
        <f t="shared" si="2"/>
        <v>FO-NBI-00#RP-KE-A-201</v>
      </c>
      <c r="J203" s="25"/>
      <c r="K203" s="66"/>
      <c r="S203" s="30"/>
      <c r="T203" s="30"/>
      <c r="U203" s="30"/>
      <c r="V203" s="30"/>
      <c r="Y203" s="30"/>
      <c r="Z203" s="30"/>
    </row>
    <row r="204">
      <c r="A204" s="12" t="s">
        <v>74</v>
      </c>
      <c r="B204" s="64"/>
      <c r="C204" s="23" t="s">
        <v>382</v>
      </c>
      <c r="D204" s="12" t="str">
        <f>vlookup(C204,'List of Chargers'!$A$2:$B$5,2,FALSE)</f>
        <v>Roam Point</v>
      </c>
      <c r="E204" s="23" t="s">
        <v>73</v>
      </c>
      <c r="F204" s="23" t="s">
        <v>75</v>
      </c>
      <c r="G204" s="23" t="s">
        <v>729</v>
      </c>
      <c r="H204" s="13" t="str">
        <f t="shared" si="1"/>
        <v>#RP-KE-A-202</v>
      </c>
      <c r="I204" s="13" t="str">
        <f t="shared" si="2"/>
        <v>FO-NBI-00#RP-KE-A-202</v>
      </c>
      <c r="J204" s="25"/>
      <c r="K204" s="66"/>
      <c r="S204" s="30"/>
      <c r="T204" s="30"/>
      <c r="U204" s="30"/>
      <c r="V204" s="30"/>
      <c r="Y204" s="30"/>
      <c r="Z204" s="30"/>
    </row>
    <row r="205">
      <c r="A205" s="12" t="s">
        <v>74</v>
      </c>
      <c r="B205" s="64"/>
      <c r="C205" s="23" t="s">
        <v>382</v>
      </c>
      <c r="D205" s="12" t="str">
        <f>vlookup(C205,'List of Chargers'!$A$2:$B$5,2,FALSE)</f>
        <v>Roam Point</v>
      </c>
      <c r="E205" s="23" t="s">
        <v>73</v>
      </c>
      <c r="F205" s="23" t="s">
        <v>75</v>
      </c>
      <c r="G205" s="23" t="s">
        <v>730</v>
      </c>
      <c r="H205" s="13" t="str">
        <f t="shared" si="1"/>
        <v>#RP-KE-A-203</v>
      </c>
      <c r="I205" s="13" t="str">
        <f t="shared" si="2"/>
        <v>FO-NBI-00#RP-KE-A-203</v>
      </c>
      <c r="J205" s="25"/>
      <c r="K205" s="66"/>
      <c r="S205" s="30"/>
      <c r="T205" s="30"/>
      <c r="U205" s="30"/>
      <c r="V205" s="30"/>
      <c r="Y205" s="30"/>
      <c r="Z205" s="30"/>
    </row>
    <row r="206">
      <c r="A206" s="12" t="s">
        <v>74</v>
      </c>
      <c r="B206" s="64"/>
      <c r="C206" s="23" t="s">
        <v>382</v>
      </c>
      <c r="D206" s="12" t="str">
        <f>vlookup(C206,'List of Chargers'!$A$2:$B$5,2,FALSE)</f>
        <v>Roam Point</v>
      </c>
      <c r="E206" s="23" t="s">
        <v>73</v>
      </c>
      <c r="F206" s="23" t="s">
        <v>75</v>
      </c>
      <c r="G206" s="23" t="s">
        <v>731</v>
      </c>
      <c r="H206" s="13" t="str">
        <f t="shared" si="1"/>
        <v>#RP-KE-A-204</v>
      </c>
      <c r="I206" s="13" t="str">
        <f t="shared" si="2"/>
        <v>FO-NBI-00#RP-KE-A-204</v>
      </c>
      <c r="J206" s="25"/>
      <c r="K206" s="66"/>
      <c r="S206" s="30"/>
      <c r="T206" s="30"/>
      <c r="U206" s="30"/>
      <c r="V206" s="30"/>
      <c r="Y206" s="30"/>
      <c r="Z206" s="30"/>
    </row>
    <row r="207">
      <c r="A207" s="12" t="s">
        <v>74</v>
      </c>
      <c r="B207" s="64"/>
      <c r="C207" s="23" t="s">
        <v>382</v>
      </c>
      <c r="D207" s="12" t="str">
        <f>vlookup(C207,'List of Chargers'!$A$2:$B$5,2,FALSE)</f>
        <v>Roam Point</v>
      </c>
      <c r="E207" s="23" t="s">
        <v>73</v>
      </c>
      <c r="F207" s="23" t="s">
        <v>75</v>
      </c>
      <c r="G207" s="23" t="s">
        <v>732</v>
      </c>
      <c r="H207" s="13" t="str">
        <f t="shared" si="1"/>
        <v>#RP-KE-A-205</v>
      </c>
      <c r="I207" s="13" t="str">
        <f t="shared" si="2"/>
        <v>FO-NBI-00#RP-KE-A-205</v>
      </c>
      <c r="J207" s="25"/>
      <c r="K207" s="66"/>
      <c r="S207" s="30"/>
      <c r="T207" s="30"/>
      <c r="U207" s="30"/>
      <c r="V207" s="30"/>
      <c r="Y207" s="30"/>
      <c r="Z207" s="30"/>
    </row>
    <row r="208">
      <c r="A208" s="12" t="s">
        <v>74</v>
      </c>
      <c r="B208" s="64"/>
      <c r="C208" s="23" t="s">
        <v>382</v>
      </c>
      <c r="D208" s="12" t="str">
        <f>vlookup(C208,'List of Chargers'!$A$2:$B$5,2,FALSE)</f>
        <v>Roam Point</v>
      </c>
      <c r="E208" s="23" t="s">
        <v>73</v>
      </c>
      <c r="F208" s="23" t="s">
        <v>75</v>
      </c>
      <c r="G208" s="23" t="s">
        <v>733</v>
      </c>
      <c r="H208" s="13" t="str">
        <f t="shared" si="1"/>
        <v>#RP-KE-A-206</v>
      </c>
      <c r="I208" s="13" t="str">
        <f t="shared" si="2"/>
        <v>FO-NBI-00#RP-KE-A-206</v>
      </c>
      <c r="J208" s="25"/>
      <c r="K208" s="66"/>
      <c r="S208" s="30"/>
      <c r="T208" s="30"/>
      <c r="U208" s="30"/>
      <c r="V208" s="30"/>
      <c r="Y208" s="30"/>
      <c r="Z208" s="30"/>
    </row>
    <row r="209">
      <c r="A209" s="12" t="s">
        <v>74</v>
      </c>
      <c r="B209" s="64"/>
      <c r="C209" s="23" t="s">
        <v>382</v>
      </c>
      <c r="D209" s="12" t="str">
        <f>vlookup(C209,'List of Chargers'!$A$2:$B$5,2,FALSE)</f>
        <v>Roam Point</v>
      </c>
      <c r="E209" s="23" t="s">
        <v>73</v>
      </c>
      <c r="F209" s="23" t="s">
        <v>75</v>
      </c>
      <c r="G209" s="23" t="s">
        <v>734</v>
      </c>
      <c r="H209" s="13" t="str">
        <f t="shared" si="1"/>
        <v>#RP-KE-A-207</v>
      </c>
      <c r="I209" s="13" t="str">
        <f t="shared" si="2"/>
        <v>FO-NBI-00#RP-KE-A-207</v>
      </c>
      <c r="J209" s="25"/>
      <c r="K209" s="66"/>
      <c r="S209" s="30"/>
      <c r="T209" s="30"/>
      <c r="U209" s="30"/>
      <c r="V209" s="30"/>
      <c r="Y209" s="30"/>
      <c r="Z209" s="30"/>
    </row>
    <row r="210">
      <c r="A210" s="12" t="s">
        <v>74</v>
      </c>
      <c r="B210" s="64"/>
      <c r="C210" s="23" t="s">
        <v>382</v>
      </c>
      <c r="D210" s="12" t="str">
        <f>vlookup(C210,'List of Chargers'!$A$2:$B$5,2,FALSE)</f>
        <v>Roam Point</v>
      </c>
      <c r="E210" s="23" t="s">
        <v>73</v>
      </c>
      <c r="F210" s="23" t="s">
        <v>75</v>
      </c>
      <c r="G210" s="23" t="s">
        <v>735</v>
      </c>
      <c r="H210" s="13" t="str">
        <f t="shared" si="1"/>
        <v>#RP-KE-A-208</v>
      </c>
      <c r="I210" s="13" t="str">
        <f t="shared" si="2"/>
        <v>FO-NBI-00#RP-KE-A-208</v>
      </c>
      <c r="J210" s="25"/>
      <c r="K210" s="66"/>
      <c r="S210" s="30"/>
      <c r="T210" s="30"/>
      <c r="U210" s="30"/>
      <c r="V210" s="30"/>
      <c r="Y210" s="30"/>
      <c r="Z210" s="30"/>
    </row>
    <row r="211">
      <c r="A211" s="12" t="s">
        <v>74</v>
      </c>
      <c r="B211" s="64"/>
      <c r="C211" s="23" t="s">
        <v>382</v>
      </c>
      <c r="D211" s="12" t="str">
        <f>vlookup(C211,'List of Chargers'!$A$2:$B$5,2,FALSE)</f>
        <v>Roam Point</v>
      </c>
      <c r="E211" s="23" t="s">
        <v>73</v>
      </c>
      <c r="F211" s="23" t="s">
        <v>75</v>
      </c>
      <c r="G211" s="23" t="s">
        <v>736</v>
      </c>
      <c r="H211" s="13" t="str">
        <f t="shared" si="1"/>
        <v>#RP-KE-A-209</v>
      </c>
      <c r="I211" s="13" t="str">
        <f t="shared" si="2"/>
        <v>FO-NBI-00#RP-KE-A-209</v>
      </c>
      <c r="J211" s="25"/>
      <c r="K211" s="66"/>
      <c r="S211" s="30"/>
      <c r="T211" s="30"/>
      <c r="U211" s="30"/>
      <c r="V211" s="30"/>
      <c r="Y211" s="30"/>
      <c r="Z211" s="30"/>
    </row>
    <row r="212">
      <c r="A212" s="12" t="s">
        <v>74</v>
      </c>
      <c r="B212" s="64"/>
      <c r="C212" s="23" t="s">
        <v>382</v>
      </c>
      <c r="D212" s="12" t="str">
        <f>vlookup(C212,'List of Chargers'!$A$2:$B$5,2,FALSE)</f>
        <v>Roam Point</v>
      </c>
      <c r="E212" s="23" t="s">
        <v>73</v>
      </c>
      <c r="F212" s="23" t="s">
        <v>75</v>
      </c>
      <c r="G212" s="23" t="s">
        <v>737</v>
      </c>
      <c r="H212" s="13" t="str">
        <f t="shared" si="1"/>
        <v>#RP-KE-A-210</v>
      </c>
      <c r="I212" s="13" t="str">
        <f t="shared" si="2"/>
        <v>FO-NBI-00#RP-KE-A-210</v>
      </c>
      <c r="J212" s="25"/>
      <c r="K212" s="66"/>
      <c r="S212" s="30"/>
      <c r="T212" s="30"/>
      <c r="U212" s="30"/>
      <c r="V212" s="30"/>
      <c r="Y212" s="30"/>
      <c r="Z212" s="30"/>
    </row>
    <row r="213">
      <c r="A213" s="12" t="s">
        <v>74</v>
      </c>
      <c r="B213" s="64"/>
      <c r="C213" s="23" t="s">
        <v>382</v>
      </c>
      <c r="D213" s="12" t="str">
        <f>vlookup(C213,'List of Chargers'!$A$2:$B$5,2,FALSE)</f>
        <v>Roam Point</v>
      </c>
      <c r="E213" s="23" t="s">
        <v>73</v>
      </c>
      <c r="F213" s="23" t="s">
        <v>75</v>
      </c>
      <c r="G213" s="23" t="s">
        <v>738</v>
      </c>
      <c r="H213" s="13" t="str">
        <f t="shared" si="1"/>
        <v>#RP-KE-A-211</v>
      </c>
      <c r="I213" s="13" t="str">
        <f t="shared" si="2"/>
        <v>FO-NBI-00#RP-KE-A-211</v>
      </c>
      <c r="J213" s="25"/>
      <c r="K213" s="66"/>
      <c r="S213" s="30"/>
      <c r="T213" s="30"/>
      <c r="U213" s="30"/>
      <c r="V213" s="30"/>
      <c r="Y213" s="30"/>
      <c r="Z213" s="30"/>
    </row>
    <row r="214">
      <c r="A214" s="12" t="s">
        <v>74</v>
      </c>
      <c r="B214" s="64"/>
      <c r="C214" s="23" t="s">
        <v>382</v>
      </c>
      <c r="D214" s="12" t="str">
        <f>vlookup(C214,'List of Chargers'!$A$2:$B$5,2,FALSE)</f>
        <v>Roam Point</v>
      </c>
      <c r="E214" s="23" t="s">
        <v>73</v>
      </c>
      <c r="F214" s="23" t="s">
        <v>75</v>
      </c>
      <c r="G214" s="23" t="s">
        <v>739</v>
      </c>
      <c r="H214" s="13" t="str">
        <f t="shared" si="1"/>
        <v>#RP-KE-A-212</v>
      </c>
      <c r="I214" s="13" t="str">
        <f t="shared" si="2"/>
        <v>FO-NBI-00#RP-KE-A-212</v>
      </c>
      <c r="J214" s="25"/>
      <c r="K214" s="66"/>
      <c r="S214" s="30"/>
      <c r="T214" s="30"/>
      <c r="U214" s="30"/>
      <c r="V214" s="30"/>
      <c r="Y214" s="30"/>
      <c r="Z214" s="30"/>
    </row>
    <row r="215">
      <c r="A215" s="12" t="s">
        <v>74</v>
      </c>
      <c r="B215" s="64"/>
      <c r="C215" s="23" t="s">
        <v>382</v>
      </c>
      <c r="D215" s="12" t="str">
        <f>vlookup(C215,'List of Chargers'!$A$2:$B$5,2,FALSE)</f>
        <v>Roam Point</v>
      </c>
      <c r="E215" s="23" t="s">
        <v>73</v>
      </c>
      <c r="F215" s="23" t="s">
        <v>75</v>
      </c>
      <c r="G215" s="23" t="s">
        <v>740</v>
      </c>
      <c r="H215" s="13" t="str">
        <f t="shared" si="1"/>
        <v>#RP-KE-A-213</v>
      </c>
      <c r="I215" s="13" t="str">
        <f t="shared" si="2"/>
        <v>FO-NBI-00#RP-KE-A-213</v>
      </c>
      <c r="J215" s="25"/>
      <c r="K215" s="66"/>
      <c r="S215" s="30"/>
      <c r="T215" s="30"/>
      <c r="U215" s="30"/>
      <c r="V215" s="30"/>
      <c r="Y215" s="30"/>
      <c r="Z215" s="30"/>
    </row>
    <row r="216">
      <c r="A216" s="12" t="s">
        <v>74</v>
      </c>
      <c r="B216" s="64"/>
      <c r="C216" s="23" t="s">
        <v>382</v>
      </c>
      <c r="D216" s="12" t="str">
        <f>vlookup(C216,'List of Chargers'!$A$2:$B$5,2,FALSE)</f>
        <v>Roam Point</v>
      </c>
      <c r="E216" s="23" t="s">
        <v>73</v>
      </c>
      <c r="F216" s="23" t="s">
        <v>75</v>
      </c>
      <c r="G216" s="23" t="s">
        <v>741</v>
      </c>
      <c r="H216" s="13" t="str">
        <f t="shared" si="1"/>
        <v>#RP-KE-A-214</v>
      </c>
      <c r="I216" s="13" t="str">
        <f t="shared" si="2"/>
        <v>FO-NBI-00#RP-KE-A-214</v>
      </c>
      <c r="J216" s="25"/>
      <c r="K216" s="66"/>
      <c r="S216" s="30"/>
      <c r="T216" s="30"/>
      <c r="U216" s="30"/>
      <c r="V216" s="30"/>
      <c r="Y216" s="30"/>
      <c r="Z216" s="30"/>
    </row>
    <row r="217">
      <c r="A217" s="12" t="s">
        <v>74</v>
      </c>
      <c r="B217" s="64"/>
      <c r="C217" s="23" t="s">
        <v>382</v>
      </c>
      <c r="D217" s="12" t="str">
        <f>vlookup(C217,'List of Chargers'!$A$2:$B$5,2,FALSE)</f>
        <v>Roam Point</v>
      </c>
      <c r="E217" s="23" t="s">
        <v>73</v>
      </c>
      <c r="F217" s="23" t="s">
        <v>75</v>
      </c>
      <c r="G217" s="23" t="s">
        <v>742</v>
      </c>
      <c r="H217" s="13" t="str">
        <f t="shared" si="1"/>
        <v>#RP-KE-A-215</v>
      </c>
      <c r="I217" s="13" t="str">
        <f t="shared" si="2"/>
        <v>FO-NBI-00#RP-KE-A-215</v>
      </c>
      <c r="J217" s="25"/>
      <c r="K217" s="66"/>
      <c r="S217" s="30"/>
      <c r="T217" s="30"/>
      <c r="U217" s="30"/>
      <c r="V217" s="30"/>
      <c r="Y217" s="30"/>
      <c r="Z217" s="30"/>
    </row>
    <row r="218">
      <c r="A218" s="12" t="s">
        <v>74</v>
      </c>
      <c r="B218" s="64"/>
      <c r="C218" s="23" t="s">
        <v>382</v>
      </c>
      <c r="D218" s="12" t="str">
        <f>vlookup(C218,'List of Chargers'!$A$2:$B$5,2,FALSE)</f>
        <v>Roam Point</v>
      </c>
      <c r="E218" s="23" t="s">
        <v>73</v>
      </c>
      <c r="F218" s="23" t="s">
        <v>75</v>
      </c>
      <c r="G218" s="23" t="s">
        <v>743</v>
      </c>
      <c r="H218" s="13" t="str">
        <f t="shared" si="1"/>
        <v>#RP-KE-A-216</v>
      </c>
      <c r="I218" s="13" t="str">
        <f t="shared" si="2"/>
        <v>FO-NBI-00#RP-KE-A-216</v>
      </c>
      <c r="J218" s="25"/>
      <c r="K218" s="66"/>
      <c r="S218" s="30"/>
      <c r="T218" s="30"/>
      <c r="U218" s="30"/>
      <c r="V218" s="30"/>
      <c r="Y218" s="30"/>
      <c r="Z218" s="30"/>
    </row>
    <row r="219">
      <c r="A219" s="12" t="s">
        <v>74</v>
      </c>
      <c r="B219" s="64"/>
      <c r="C219" s="23" t="s">
        <v>382</v>
      </c>
      <c r="D219" s="12" t="str">
        <f>vlookup(C219,'List of Chargers'!$A$2:$B$5,2,FALSE)</f>
        <v>Roam Point</v>
      </c>
      <c r="E219" s="23" t="s">
        <v>73</v>
      </c>
      <c r="F219" s="23" t="s">
        <v>75</v>
      </c>
      <c r="G219" s="23" t="s">
        <v>744</v>
      </c>
      <c r="H219" s="13" t="str">
        <f t="shared" si="1"/>
        <v>#RP-KE-A-217</v>
      </c>
      <c r="I219" s="13" t="str">
        <f t="shared" si="2"/>
        <v>FO-NBI-00#RP-KE-A-217</v>
      </c>
      <c r="J219" s="25"/>
      <c r="K219" s="66"/>
      <c r="S219" s="30"/>
      <c r="T219" s="30"/>
      <c r="U219" s="30"/>
      <c r="V219" s="30"/>
      <c r="Y219" s="30"/>
      <c r="Z219" s="30"/>
    </row>
    <row r="220">
      <c r="A220" s="12" t="s">
        <v>74</v>
      </c>
      <c r="B220" s="64"/>
      <c r="C220" s="23" t="s">
        <v>382</v>
      </c>
      <c r="D220" s="12" t="str">
        <f>vlookup(C220,'List of Chargers'!$A$2:$B$5,2,FALSE)</f>
        <v>Roam Point</v>
      </c>
      <c r="E220" s="23" t="s">
        <v>73</v>
      </c>
      <c r="F220" s="23" t="s">
        <v>75</v>
      </c>
      <c r="G220" s="23" t="s">
        <v>745</v>
      </c>
      <c r="H220" s="13" t="str">
        <f t="shared" si="1"/>
        <v>#RP-KE-A-218</v>
      </c>
      <c r="I220" s="13" t="str">
        <f t="shared" si="2"/>
        <v>FO-NBI-00#RP-KE-A-218</v>
      </c>
      <c r="J220" s="25"/>
      <c r="K220" s="66"/>
      <c r="S220" s="30"/>
      <c r="T220" s="30"/>
      <c r="U220" s="30"/>
      <c r="V220" s="30"/>
      <c r="Y220" s="30"/>
      <c r="Z220" s="30"/>
    </row>
    <row r="221">
      <c r="A221" s="12" t="s">
        <v>74</v>
      </c>
      <c r="B221" s="64"/>
      <c r="C221" s="23" t="s">
        <v>382</v>
      </c>
      <c r="D221" s="12" t="str">
        <f>vlookup(C221,'List of Chargers'!$A$2:$B$5,2,FALSE)</f>
        <v>Roam Point</v>
      </c>
      <c r="E221" s="23" t="s">
        <v>73</v>
      </c>
      <c r="F221" s="23" t="s">
        <v>75</v>
      </c>
      <c r="G221" s="23" t="s">
        <v>746</v>
      </c>
      <c r="H221" s="13" t="str">
        <f t="shared" si="1"/>
        <v>#RP-KE-A-219</v>
      </c>
      <c r="I221" s="13" t="str">
        <f t="shared" si="2"/>
        <v>FO-NBI-00#RP-KE-A-219</v>
      </c>
      <c r="J221" s="25"/>
      <c r="K221" s="66"/>
      <c r="S221" s="30"/>
      <c r="T221" s="30"/>
      <c r="U221" s="30"/>
      <c r="V221" s="30"/>
      <c r="Y221" s="30"/>
      <c r="Z221" s="30"/>
    </row>
    <row r="222">
      <c r="A222" s="12" t="s">
        <v>74</v>
      </c>
      <c r="B222" s="64"/>
      <c r="C222" s="23" t="s">
        <v>382</v>
      </c>
      <c r="D222" s="12" t="str">
        <f>vlookup(C222,'List of Chargers'!$A$2:$B$5,2,FALSE)</f>
        <v>Roam Point</v>
      </c>
      <c r="E222" s="23" t="s">
        <v>73</v>
      </c>
      <c r="F222" s="23" t="s">
        <v>75</v>
      </c>
      <c r="G222" s="23" t="s">
        <v>747</v>
      </c>
      <c r="H222" s="13" t="str">
        <f t="shared" si="1"/>
        <v>#RP-KE-A-220</v>
      </c>
      <c r="I222" s="13" t="str">
        <f t="shared" si="2"/>
        <v>FO-NBI-00#RP-KE-A-220</v>
      </c>
      <c r="J222" s="25"/>
      <c r="K222" s="66"/>
      <c r="S222" s="30"/>
      <c r="T222" s="30"/>
      <c r="U222" s="30"/>
      <c r="V222" s="30"/>
      <c r="Y222" s="30"/>
      <c r="Z222" s="30"/>
    </row>
    <row r="223">
      <c r="A223" s="12" t="s">
        <v>74</v>
      </c>
      <c r="B223" s="64"/>
      <c r="C223" s="23" t="s">
        <v>382</v>
      </c>
      <c r="D223" s="12" t="str">
        <f>vlookup(C223,'List of Chargers'!$A$2:$B$5,2,FALSE)</f>
        <v>Roam Point</v>
      </c>
      <c r="E223" s="23" t="s">
        <v>73</v>
      </c>
      <c r="F223" s="23" t="s">
        <v>75</v>
      </c>
      <c r="G223" s="23" t="s">
        <v>748</v>
      </c>
      <c r="H223" s="13" t="str">
        <f t="shared" si="1"/>
        <v>#RP-KE-A-221</v>
      </c>
      <c r="I223" s="13" t="str">
        <f t="shared" si="2"/>
        <v>FO-NBI-00#RP-KE-A-221</v>
      </c>
      <c r="J223" s="25"/>
      <c r="K223" s="66"/>
      <c r="S223" s="30"/>
      <c r="T223" s="30"/>
      <c r="U223" s="30"/>
      <c r="V223" s="30"/>
      <c r="Y223" s="30"/>
      <c r="Z223" s="30"/>
    </row>
    <row r="224">
      <c r="A224" s="12" t="s">
        <v>74</v>
      </c>
      <c r="B224" s="64"/>
      <c r="C224" s="23" t="s">
        <v>382</v>
      </c>
      <c r="D224" s="12" t="str">
        <f>vlookup(C224,'List of Chargers'!$A$2:$B$5,2,FALSE)</f>
        <v>Roam Point</v>
      </c>
      <c r="E224" s="23" t="s">
        <v>73</v>
      </c>
      <c r="F224" s="23" t="s">
        <v>75</v>
      </c>
      <c r="G224" s="23" t="s">
        <v>749</v>
      </c>
      <c r="H224" s="13" t="str">
        <f t="shared" si="1"/>
        <v>#RP-KE-A-222</v>
      </c>
      <c r="I224" s="13" t="str">
        <f t="shared" si="2"/>
        <v>FO-NBI-00#RP-KE-A-222</v>
      </c>
      <c r="J224" s="25"/>
      <c r="K224" s="66"/>
      <c r="S224" s="30"/>
      <c r="T224" s="30"/>
      <c r="U224" s="30"/>
      <c r="V224" s="30"/>
      <c r="Y224" s="30"/>
      <c r="Z224" s="30"/>
    </row>
    <row r="225">
      <c r="A225" s="12" t="s">
        <v>74</v>
      </c>
      <c r="B225" s="64"/>
      <c r="C225" s="23" t="s">
        <v>382</v>
      </c>
      <c r="D225" s="12" t="str">
        <f>vlookup(C225,'List of Chargers'!$A$2:$B$5,2,FALSE)</f>
        <v>Roam Point</v>
      </c>
      <c r="E225" s="23" t="s">
        <v>73</v>
      </c>
      <c r="F225" s="23" t="s">
        <v>75</v>
      </c>
      <c r="G225" s="23" t="s">
        <v>750</v>
      </c>
      <c r="H225" s="13" t="str">
        <f t="shared" si="1"/>
        <v>#RP-KE-A-223</v>
      </c>
      <c r="I225" s="13" t="str">
        <f t="shared" si="2"/>
        <v>FO-NBI-00#RP-KE-A-223</v>
      </c>
      <c r="J225" s="25"/>
      <c r="K225" s="66"/>
      <c r="S225" s="30"/>
      <c r="T225" s="30"/>
      <c r="U225" s="30"/>
      <c r="V225" s="30"/>
      <c r="Y225" s="30"/>
      <c r="Z225" s="30"/>
    </row>
    <row r="226">
      <c r="A226" s="12" t="s">
        <v>74</v>
      </c>
      <c r="B226" s="64"/>
      <c r="C226" s="23" t="s">
        <v>382</v>
      </c>
      <c r="D226" s="12" t="str">
        <f>vlookup(C226,'List of Chargers'!$A$2:$B$5,2,FALSE)</f>
        <v>Roam Point</v>
      </c>
      <c r="E226" s="23" t="s">
        <v>73</v>
      </c>
      <c r="F226" s="23" t="s">
        <v>75</v>
      </c>
      <c r="G226" s="23" t="s">
        <v>751</v>
      </c>
      <c r="H226" s="13" t="str">
        <f t="shared" si="1"/>
        <v>#RP-KE-A-224</v>
      </c>
      <c r="I226" s="13" t="str">
        <f t="shared" si="2"/>
        <v>FO-NBI-00#RP-KE-A-224</v>
      </c>
      <c r="J226" s="25"/>
      <c r="K226" s="66"/>
      <c r="S226" s="30"/>
      <c r="T226" s="30"/>
      <c r="U226" s="30"/>
      <c r="V226" s="30"/>
      <c r="Y226" s="30"/>
      <c r="Z226" s="30"/>
    </row>
    <row r="227">
      <c r="A227" s="12" t="s">
        <v>74</v>
      </c>
      <c r="B227" s="64"/>
      <c r="C227" s="23" t="s">
        <v>382</v>
      </c>
      <c r="D227" s="12" t="str">
        <f>vlookup(C227,'List of Chargers'!$A$2:$B$5,2,FALSE)</f>
        <v>Roam Point</v>
      </c>
      <c r="E227" s="23" t="s">
        <v>73</v>
      </c>
      <c r="F227" s="23" t="s">
        <v>75</v>
      </c>
      <c r="G227" s="23" t="s">
        <v>752</v>
      </c>
      <c r="H227" s="13" t="str">
        <f t="shared" si="1"/>
        <v>#RP-KE-A-225</v>
      </c>
      <c r="I227" s="13" t="str">
        <f t="shared" si="2"/>
        <v>FO-NBI-00#RP-KE-A-225</v>
      </c>
      <c r="J227" s="25"/>
      <c r="K227" s="66"/>
      <c r="S227" s="30"/>
      <c r="T227" s="30"/>
      <c r="U227" s="30"/>
      <c r="V227" s="30"/>
      <c r="Y227" s="30"/>
      <c r="Z227" s="30"/>
    </row>
    <row r="228">
      <c r="A228" s="12" t="s">
        <v>74</v>
      </c>
      <c r="B228" s="64"/>
      <c r="C228" s="23" t="s">
        <v>382</v>
      </c>
      <c r="D228" s="12" t="str">
        <f>vlookup(C228,'List of Chargers'!$A$2:$B$5,2,FALSE)</f>
        <v>Roam Point</v>
      </c>
      <c r="E228" s="23" t="s">
        <v>73</v>
      </c>
      <c r="F228" s="23" t="s">
        <v>75</v>
      </c>
      <c r="G228" s="23" t="s">
        <v>753</v>
      </c>
      <c r="H228" s="13" t="str">
        <f t="shared" si="1"/>
        <v>#RP-KE-A-226</v>
      </c>
      <c r="I228" s="13" t="str">
        <f t="shared" si="2"/>
        <v>FO-NBI-00#RP-KE-A-226</v>
      </c>
      <c r="J228" s="25"/>
      <c r="K228" s="66"/>
      <c r="S228" s="30"/>
      <c r="T228" s="30"/>
      <c r="U228" s="30"/>
      <c r="V228" s="30"/>
      <c r="Y228" s="30"/>
      <c r="Z228" s="30"/>
    </row>
    <row r="229">
      <c r="A229" s="12" t="s">
        <v>74</v>
      </c>
      <c r="B229" s="64"/>
      <c r="C229" s="23" t="s">
        <v>382</v>
      </c>
      <c r="D229" s="12" t="str">
        <f>vlookup(C229,'List of Chargers'!$A$2:$B$5,2,FALSE)</f>
        <v>Roam Point</v>
      </c>
      <c r="E229" s="23" t="s">
        <v>73</v>
      </c>
      <c r="F229" s="23" t="s">
        <v>75</v>
      </c>
      <c r="G229" s="23" t="s">
        <v>754</v>
      </c>
      <c r="H229" s="13" t="str">
        <f t="shared" si="1"/>
        <v>#RP-KE-A-227</v>
      </c>
      <c r="I229" s="13" t="str">
        <f t="shared" si="2"/>
        <v>FO-NBI-00#RP-KE-A-227</v>
      </c>
      <c r="J229" s="25"/>
      <c r="K229" s="66"/>
      <c r="S229" s="30"/>
      <c r="T229" s="30"/>
      <c r="U229" s="30"/>
      <c r="V229" s="30"/>
      <c r="Y229" s="30"/>
      <c r="Z229" s="30"/>
    </row>
    <row r="230">
      <c r="A230" s="12" t="s">
        <v>74</v>
      </c>
      <c r="B230" s="64"/>
      <c r="C230" s="23" t="s">
        <v>382</v>
      </c>
      <c r="D230" s="12" t="str">
        <f>vlookup(C230,'List of Chargers'!$A$2:$B$5,2,FALSE)</f>
        <v>Roam Point</v>
      </c>
      <c r="E230" s="23" t="s">
        <v>73</v>
      </c>
      <c r="F230" s="23" t="s">
        <v>75</v>
      </c>
      <c r="G230" s="23" t="s">
        <v>755</v>
      </c>
      <c r="H230" s="13" t="str">
        <f t="shared" si="1"/>
        <v>#RP-KE-A-228</v>
      </c>
      <c r="I230" s="13" t="str">
        <f t="shared" si="2"/>
        <v>FO-NBI-00#RP-KE-A-228</v>
      </c>
      <c r="J230" s="25"/>
      <c r="K230" s="66"/>
      <c r="S230" s="30"/>
      <c r="T230" s="30"/>
      <c r="U230" s="30"/>
      <c r="V230" s="30"/>
      <c r="Y230" s="30"/>
      <c r="Z230" s="30"/>
    </row>
    <row r="231">
      <c r="A231" s="12" t="s">
        <v>74</v>
      </c>
      <c r="B231" s="64"/>
      <c r="C231" s="23" t="s">
        <v>382</v>
      </c>
      <c r="D231" s="12" t="str">
        <f>vlookup(C231,'List of Chargers'!$A$2:$B$5,2,FALSE)</f>
        <v>Roam Point</v>
      </c>
      <c r="E231" s="23" t="s">
        <v>73</v>
      </c>
      <c r="F231" s="23" t="s">
        <v>75</v>
      </c>
      <c r="G231" s="23" t="s">
        <v>756</v>
      </c>
      <c r="H231" s="13" t="str">
        <f t="shared" si="1"/>
        <v>#RP-KE-A-229</v>
      </c>
      <c r="I231" s="13" t="str">
        <f t="shared" si="2"/>
        <v>FO-NBI-00#RP-KE-A-229</v>
      </c>
      <c r="J231" s="25"/>
      <c r="K231" s="66"/>
      <c r="S231" s="30"/>
      <c r="T231" s="30"/>
      <c r="U231" s="30"/>
      <c r="V231" s="30"/>
      <c r="Y231" s="30"/>
      <c r="Z231" s="30"/>
    </row>
    <row r="232">
      <c r="A232" s="12" t="s">
        <v>74</v>
      </c>
      <c r="B232" s="64"/>
      <c r="C232" s="23" t="s">
        <v>382</v>
      </c>
      <c r="D232" s="12" t="str">
        <f>vlookup(C232,'List of Chargers'!$A$2:$B$5,2,FALSE)</f>
        <v>Roam Point</v>
      </c>
      <c r="E232" s="23" t="s">
        <v>73</v>
      </c>
      <c r="F232" s="23" t="s">
        <v>75</v>
      </c>
      <c r="G232" s="23" t="s">
        <v>757</v>
      </c>
      <c r="H232" s="13" t="str">
        <f t="shared" si="1"/>
        <v>#RP-KE-A-230</v>
      </c>
      <c r="I232" s="13" t="str">
        <f t="shared" si="2"/>
        <v>FO-NBI-00#RP-KE-A-230</v>
      </c>
      <c r="J232" s="25"/>
      <c r="K232" s="66"/>
      <c r="S232" s="30"/>
      <c r="T232" s="30"/>
      <c r="U232" s="30"/>
      <c r="V232" s="30"/>
      <c r="Y232" s="30"/>
      <c r="Z232" s="30"/>
    </row>
    <row r="233">
      <c r="A233" s="12" t="s">
        <v>74</v>
      </c>
      <c r="B233" s="64"/>
      <c r="C233" s="23" t="s">
        <v>382</v>
      </c>
      <c r="D233" s="12" t="str">
        <f>vlookup(C233,'List of Chargers'!$A$2:$B$5,2,FALSE)</f>
        <v>Roam Point</v>
      </c>
      <c r="E233" s="23" t="s">
        <v>73</v>
      </c>
      <c r="F233" s="23" t="s">
        <v>75</v>
      </c>
      <c r="G233" s="23" t="s">
        <v>758</v>
      </c>
      <c r="H233" s="13" t="str">
        <f t="shared" si="1"/>
        <v>#RP-KE-A-231</v>
      </c>
      <c r="I233" s="13" t="str">
        <f t="shared" si="2"/>
        <v>FO-NBI-00#RP-KE-A-231</v>
      </c>
      <c r="J233" s="25"/>
      <c r="K233" s="66"/>
      <c r="S233" s="30"/>
      <c r="T233" s="30"/>
      <c r="U233" s="30"/>
      <c r="V233" s="30"/>
      <c r="Y233" s="30"/>
      <c r="Z233" s="30"/>
    </row>
    <row r="234">
      <c r="A234" s="12" t="s">
        <v>74</v>
      </c>
      <c r="B234" s="64"/>
      <c r="C234" s="23" t="s">
        <v>382</v>
      </c>
      <c r="D234" s="12" t="str">
        <f>vlookup(C234,'List of Chargers'!$A$2:$B$5,2,FALSE)</f>
        <v>Roam Point</v>
      </c>
      <c r="E234" s="23" t="s">
        <v>73</v>
      </c>
      <c r="F234" s="23" t="s">
        <v>75</v>
      </c>
      <c r="G234" s="23" t="s">
        <v>759</v>
      </c>
      <c r="H234" s="13" t="str">
        <f t="shared" si="1"/>
        <v>#RP-KE-A-232</v>
      </c>
      <c r="I234" s="13" t="str">
        <f t="shared" si="2"/>
        <v>FO-NBI-00#RP-KE-A-232</v>
      </c>
      <c r="J234" s="25"/>
      <c r="K234" s="66"/>
      <c r="S234" s="30"/>
      <c r="T234" s="30"/>
      <c r="U234" s="30"/>
      <c r="V234" s="30"/>
      <c r="Y234" s="30"/>
      <c r="Z234" s="30"/>
    </row>
    <row r="235">
      <c r="A235" s="12" t="s">
        <v>74</v>
      </c>
      <c r="B235" s="64"/>
      <c r="C235" s="23" t="s">
        <v>382</v>
      </c>
      <c r="D235" s="12" t="str">
        <f>vlookup(C235,'List of Chargers'!$A$2:$B$5,2,FALSE)</f>
        <v>Roam Point</v>
      </c>
      <c r="E235" s="23" t="s">
        <v>73</v>
      </c>
      <c r="F235" s="23" t="s">
        <v>75</v>
      </c>
      <c r="G235" s="23" t="s">
        <v>760</v>
      </c>
      <c r="H235" s="13" t="str">
        <f t="shared" si="1"/>
        <v>#RP-KE-A-233</v>
      </c>
      <c r="I235" s="13" t="str">
        <f t="shared" si="2"/>
        <v>FO-NBI-00#RP-KE-A-233</v>
      </c>
      <c r="J235" s="25"/>
      <c r="K235" s="66"/>
      <c r="S235" s="30"/>
      <c r="T235" s="30"/>
      <c r="U235" s="30"/>
      <c r="V235" s="30"/>
      <c r="Y235" s="30"/>
      <c r="Z235" s="30"/>
    </row>
    <row r="236">
      <c r="A236" s="12" t="s">
        <v>74</v>
      </c>
      <c r="B236" s="64"/>
      <c r="C236" s="23" t="s">
        <v>382</v>
      </c>
      <c r="D236" s="12" t="str">
        <f>vlookup(C236,'List of Chargers'!$A$2:$B$5,2,FALSE)</f>
        <v>Roam Point</v>
      </c>
      <c r="E236" s="23" t="s">
        <v>73</v>
      </c>
      <c r="F236" s="23" t="s">
        <v>75</v>
      </c>
      <c r="G236" s="23" t="s">
        <v>761</v>
      </c>
      <c r="H236" s="13" t="str">
        <f t="shared" si="1"/>
        <v>#RP-KE-A-234</v>
      </c>
      <c r="I236" s="13" t="str">
        <f t="shared" si="2"/>
        <v>FO-NBI-00#RP-KE-A-234</v>
      </c>
      <c r="J236" s="25"/>
      <c r="K236" s="66"/>
      <c r="S236" s="30"/>
      <c r="T236" s="30"/>
      <c r="U236" s="30"/>
      <c r="V236" s="30"/>
      <c r="Y236" s="30"/>
      <c r="Z236" s="30"/>
    </row>
    <row r="237">
      <c r="A237" s="12" t="s">
        <v>74</v>
      </c>
      <c r="B237" s="64"/>
      <c r="C237" s="23" t="s">
        <v>382</v>
      </c>
      <c r="D237" s="12" t="str">
        <f>vlookup(C237,'List of Chargers'!$A$2:$B$5,2,FALSE)</f>
        <v>Roam Point</v>
      </c>
      <c r="E237" s="23" t="s">
        <v>73</v>
      </c>
      <c r="F237" s="23" t="s">
        <v>75</v>
      </c>
      <c r="G237" s="23" t="s">
        <v>762</v>
      </c>
      <c r="H237" s="13" t="str">
        <f t="shared" si="1"/>
        <v>#RP-KE-A-235</v>
      </c>
      <c r="I237" s="13" t="str">
        <f t="shared" si="2"/>
        <v>FO-NBI-00#RP-KE-A-235</v>
      </c>
      <c r="J237" s="25"/>
      <c r="K237" s="66"/>
      <c r="S237" s="30"/>
      <c r="T237" s="30"/>
      <c r="U237" s="30"/>
      <c r="V237" s="30"/>
      <c r="Y237" s="30"/>
      <c r="Z237" s="30"/>
    </row>
    <row r="238">
      <c r="A238" s="12" t="s">
        <v>74</v>
      </c>
      <c r="B238" s="64"/>
      <c r="C238" s="23" t="s">
        <v>382</v>
      </c>
      <c r="D238" s="12" t="str">
        <f>vlookup(C238,'List of Chargers'!$A$2:$B$5,2,FALSE)</f>
        <v>Roam Point</v>
      </c>
      <c r="E238" s="23" t="s">
        <v>73</v>
      </c>
      <c r="F238" s="23" t="s">
        <v>75</v>
      </c>
      <c r="G238" s="23" t="s">
        <v>763</v>
      </c>
      <c r="H238" s="13" t="str">
        <f t="shared" si="1"/>
        <v>#RP-KE-A-236</v>
      </c>
      <c r="I238" s="13" t="str">
        <f t="shared" si="2"/>
        <v>FO-NBI-00#RP-KE-A-236</v>
      </c>
      <c r="J238" s="25"/>
      <c r="K238" s="66"/>
      <c r="S238" s="30"/>
      <c r="T238" s="30"/>
      <c r="U238" s="30"/>
      <c r="V238" s="30"/>
      <c r="Y238" s="30"/>
      <c r="Z238" s="30"/>
    </row>
    <row r="239">
      <c r="A239" s="12" t="s">
        <v>74</v>
      </c>
      <c r="B239" s="64"/>
      <c r="C239" s="23" t="s">
        <v>382</v>
      </c>
      <c r="D239" s="12" t="str">
        <f>vlookup(C239,'List of Chargers'!$A$2:$B$5,2,FALSE)</f>
        <v>Roam Point</v>
      </c>
      <c r="E239" s="23" t="s">
        <v>73</v>
      </c>
      <c r="F239" s="23" t="s">
        <v>75</v>
      </c>
      <c r="G239" s="23" t="s">
        <v>764</v>
      </c>
      <c r="H239" s="13" t="str">
        <f t="shared" si="1"/>
        <v>#RP-KE-A-237</v>
      </c>
      <c r="I239" s="13" t="str">
        <f t="shared" si="2"/>
        <v>FO-NBI-00#RP-KE-A-237</v>
      </c>
      <c r="J239" s="25"/>
      <c r="K239" s="66"/>
      <c r="S239" s="30"/>
      <c r="T239" s="30"/>
      <c r="U239" s="30"/>
      <c r="V239" s="30"/>
      <c r="Y239" s="30"/>
      <c r="Z239" s="30"/>
    </row>
    <row r="240">
      <c r="A240" s="12" t="s">
        <v>74</v>
      </c>
      <c r="B240" s="64"/>
      <c r="C240" s="23" t="s">
        <v>382</v>
      </c>
      <c r="D240" s="12" t="str">
        <f>vlookup(C240,'List of Chargers'!$A$2:$B$5,2,FALSE)</f>
        <v>Roam Point</v>
      </c>
      <c r="E240" s="23" t="s">
        <v>73</v>
      </c>
      <c r="F240" s="23" t="s">
        <v>75</v>
      </c>
      <c r="G240" s="23" t="s">
        <v>765</v>
      </c>
      <c r="H240" s="13" t="str">
        <f t="shared" si="1"/>
        <v>#RP-KE-A-238</v>
      </c>
      <c r="I240" s="13" t="str">
        <f t="shared" si="2"/>
        <v>FO-NBI-00#RP-KE-A-238</v>
      </c>
      <c r="J240" s="25"/>
      <c r="K240" s="66"/>
      <c r="S240" s="30"/>
      <c r="T240" s="30"/>
      <c r="U240" s="30"/>
      <c r="V240" s="30"/>
      <c r="Y240" s="30"/>
      <c r="Z240" s="30"/>
    </row>
    <row r="241">
      <c r="A241" s="12" t="s">
        <v>74</v>
      </c>
      <c r="B241" s="64"/>
      <c r="C241" s="23" t="s">
        <v>382</v>
      </c>
      <c r="D241" s="12" t="str">
        <f>vlookup(C241,'List of Chargers'!$A$2:$B$5,2,FALSE)</f>
        <v>Roam Point</v>
      </c>
      <c r="E241" s="23" t="s">
        <v>73</v>
      </c>
      <c r="F241" s="23" t="s">
        <v>75</v>
      </c>
      <c r="G241" s="23" t="s">
        <v>766</v>
      </c>
      <c r="H241" s="13" t="str">
        <f t="shared" si="1"/>
        <v>#RP-KE-A-239</v>
      </c>
      <c r="I241" s="13" t="str">
        <f t="shared" si="2"/>
        <v>FO-NBI-00#RP-KE-A-239</v>
      </c>
      <c r="J241" s="25"/>
      <c r="K241" s="66"/>
      <c r="S241" s="30"/>
      <c r="T241" s="30"/>
      <c r="U241" s="30"/>
      <c r="V241" s="30"/>
      <c r="Y241" s="30"/>
      <c r="Z241" s="30"/>
    </row>
    <row r="242">
      <c r="A242" s="12" t="s">
        <v>74</v>
      </c>
      <c r="B242" s="64"/>
      <c r="C242" s="23" t="s">
        <v>382</v>
      </c>
      <c r="D242" s="12" t="str">
        <f>vlookup(C242,'List of Chargers'!$A$2:$B$5,2,FALSE)</f>
        <v>Roam Point</v>
      </c>
      <c r="E242" s="23" t="s">
        <v>73</v>
      </c>
      <c r="F242" s="23" t="s">
        <v>75</v>
      </c>
      <c r="G242" s="23" t="s">
        <v>767</v>
      </c>
      <c r="H242" s="13" t="str">
        <f t="shared" si="1"/>
        <v>#RP-KE-A-240</v>
      </c>
      <c r="I242" s="13" t="str">
        <f t="shared" si="2"/>
        <v>FO-NBI-00#RP-KE-A-240</v>
      </c>
      <c r="J242" s="25"/>
      <c r="K242" s="66"/>
      <c r="S242" s="30"/>
      <c r="T242" s="30"/>
      <c r="U242" s="30"/>
      <c r="V242" s="30"/>
      <c r="Y242" s="30"/>
      <c r="Z242" s="30"/>
    </row>
    <row r="243">
      <c r="A243" s="12" t="s">
        <v>74</v>
      </c>
      <c r="B243" s="64"/>
      <c r="C243" s="23" t="s">
        <v>382</v>
      </c>
      <c r="D243" s="12" t="str">
        <f>vlookup(C243,'List of Chargers'!$A$2:$B$5,2,FALSE)</f>
        <v>Roam Point</v>
      </c>
      <c r="E243" s="23" t="s">
        <v>73</v>
      </c>
      <c r="F243" s="23" t="s">
        <v>75</v>
      </c>
      <c r="G243" s="23" t="s">
        <v>768</v>
      </c>
      <c r="H243" s="13" t="str">
        <f t="shared" si="1"/>
        <v>#RP-KE-A-241</v>
      </c>
      <c r="I243" s="13" t="str">
        <f t="shared" si="2"/>
        <v>FO-NBI-00#RP-KE-A-241</v>
      </c>
      <c r="J243" s="25"/>
      <c r="K243" s="66"/>
      <c r="S243" s="30"/>
      <c r="T243" s="30"/>
      <c r="U243" s="30"/>
      <c r="V243" s="30"/>
      <c r="Y243" s="30"/>
      <c r="Z243" s="30"/>
    </row>
    <row r="244">
      <c r="A244" s="12" t="s">
        <v>74</v>
      </c>
      <c r="B244" s="64"/>
      <c r="C244" s="23" t="s">
        <v>382</v>
      </c>
      <c r="D244" s="12" t="str">
        <f>vlookup(C244,'List of Chargers'!$A$2:$B$5,2,FALSE)</f>
        <v>Roam Point</v>
      </c>
      <c r="E244" s="23" t="s">
        <v>73</v>
      </c>
      <c r="F244" s="23" t="s">
        <v>75</v>
      </c>
      <c r="G244" s="23" t="s">
        <v>769</v>
      </c>
      <c r="H244" s="13" t="str">
        <f t="shared" si="1"/>
        <v>#RP-KE-A-242</v>
      </c>
      <c r="I244" s="13" t="str">
        <f t="shared" si="2"/>
        <v>FO-NBI-00#RP-KE-A-242</v>
      </c>
      <c r="J244" s="25"/>
      <c r="K244" s="66"/>
      <c r="S244" s="30"/>
      <c r="T244" s="30"/>
      <c r="U244" s="30"/>
      <c r="V244" s="30"/>
      <c r="Y244" s="30"/>
      <c r="Z244" s="30"/>
    </row>
    <row r="245">
      <c r="A245" s="12" t="s">
        <v>74</v>
      </c>
      <c r="B245" s="64"/>
      <c r="C245" s="23" t="s">
        <v>382</v>
      </c>
      <c r="D245" s="12" t="str">
        <f>vlookup(C245,'List of Chargers'!$A$2:$B$5,2,FALSE)</f>
        <v>Roam Point</v>
      </c>
      <c r="E245" s="23" t="s">
        <v>73</v>
      </c>
      <c r="F245" s="23" t="s">
        <v>75</v>
      </c>
      <c r="G245" s="23" t="s">
        <v>770</v>
      </c>
      <c r="H245" s="13" t="str">
        <f t="shared" si="1"/>
        <v>#RP-KE-A-243</v>
      </c>
      <c r="I245" s="13" t="str">
        <f t="shared" si="2"/>
        <v>FO-NBI-00#RP-KE-A-243</v>
      </c>
      <c r="J245" s="25"/>
      <c r="K245" s="66"/>
      <c r="S245" s="30"/>
      <c r="T245" s="30"/>
      <c r="U245" s="30"/>
      <c r="V245" s="30"/>
      <c r="Y245" s="30"/>
      <c r="Z245" s="30"/>
    </row>
    <row r="246">
      <c r="A246" s="12" t="s">
        <v>74</v>
      </c>
      <c r="B246" s="64"/>
      <c r="C246" s="23" t="s">
        <v>382</v>
      </c>
      <c r="D246" s="12" t="str">
        <f>vlookup(C246,'List of Chargers'!$A$2:$B$5,2,FALSE)</f>
        <v>Roam Point</v>
      </c>
      <c r="E246" s="23" t="s">
        <v>73</v>
      </c>
      <c r="F246" s="23" t="s">
        <v>75</v>
      </c>
      <c r="G246" s="23" t="s">
        <v>771</v>
      </c>
      <c r="H246" s="13" t="str">
        <f t="shared" si="1"/>
        <v>#RP-KE-A-244</v>
      </c>
      <c r="I246" s="13" t="str">
        <f t="shared" si="2"/>
        <v>FO-NBI-00#RP-KE-A-244</v>
      </c>
      <c r="J246" s="25"/>
      <c r="K246" s="66"/>
      <c r="S246" s="30"/>
      <c r="T246" s="30"/>
      <c r="U246" s="30"/>
      <c r="V246" s="30"/>
      <c r="Y246" s="30"/>
      <c r="Z246" s="30"/>
    </row>
    <row r="247">
      <c r="A247" s="12" t="s">
        <v>74</v>
      </c>
      <c r="B247" s="64"/>
      <c r="C247" s="23" t="s">
        <v>382</v>
      </c>
      <c r="D247" s="12" t="str">
        <f>vlookup(C247,'List of Chargers'!$A$2:$B$5,2,FALSE)</f>
        <v>Roam Point</v>
      </c>
      <c r="E247" s="23" t="s">
        <v>73</v>
      </c>
      <c r="F247" s="23" t="s">
        <v>75</v>
      </c>
      <c r="G247" s="23" t="s">
        <v>772</v>
      </c>
      <c r="H247" s="13" t="str">
        <f t="shared" si="1"/>
        <v>#RP-KE-A-245</v>
      </c>
      <c r="I247" s="13" t="str">
        <f t="shared" si="2"/>
        <v>FO-NBI-00#RP-KE-A-245</v>
      </c>
      <c r="J247" s="25"/>
      <c r="K247" s="66"/>
      <c r="S247" s="30"/>
      <c r="T247" s="30"/>
      <c r="U247" s="30"/>
      <c r="V247" s="30"/>
      <c r="Y247" s="30"/>
      <c r="Z247" s="30"/>
    </row>
    <row r="248">
      <c r="A248" s="12" t="s">
        <v>74</v>
      </c>
      <c r="B248" s="64"/>
      <c r="C248" s="23" t="s">
        <v>382</v>
      </c>
      <c r="D248" s="12" t="str">
        <f>vlookup(C248,'List of Chargers'!$A$2:$B$5,2,FALSE)</f>
        <v>Roam Point</v>
      </c>
      <c r="E248" s="23" t="s">
        <v>73</v>
      </c>
      <c r="F248" s="23" t="s">
        <v>75</v>
      </c>
      <c r="G248" s="23" t="s">
        <v>773</v>
      </c>
      <c r="H248" s="13" t="str">
        <f t="shared" si="1"/>
        <v>#RP-KE-A-246</v>
      </c>
      <c r="I248" s="13" t="str">
        <f t="shared" si="2"/>
        <v>FO-NBI-00#RP-KE-A-246</v>
      </c>
      <c r="J248" s="25"/>
      <c r="K248" s="66"/>
      <c r="S248" s="30"/>
      <c r="T248" s="30"/>
      <c r="U248" s="30"/>
      <c r="V248" s="30"/>
      <c r="Y248" s="30"/>
      <c r="Z248" s="30"/>
    </row>
    <row r="249">
      <c r="A249" s="12" t="s">
        <v>74</v>
      </c>
      <c r="B249" s="64"/>
      <c r="C249" s="23" t="s">
        <v>382</v>
      </c>
      <c r="D249" s="12" t="str">
        <f>vlookup(C249,'List of Chargers'!$A$2:$B$5,2,FALSE)</f>
        <v>Roam Point</v>
      </c>
      <c r="E249" s="23" t="s">
        <v>73</v>
      </c>
      <c r="F249" s="23" t="s">
        <v>75</v>
      </c>
      <c r="G249" s="23" t="s">
        <v>774</v>
      </c>
      <c r="H249" s="13" t="str">
        <f t="shared" si="1"/>
        <v>#RP-KE-A-247</v>
      </c>
      <c r="I249" s="13" t="str">
        <f t="shared" si="2"/>
        <v>FO-NBI-00#RP-KE-A-247</v>
      </c>
      <c r="J249" s="25"/>
      <c r="K249" s="66"/>
      <c r="S249" s="30"/>
      <c r="T249" s="30"/>
      <c r="U249" s="30"/>
      <c r="V249" s="30"/>
      <c r="Y249" s="30"/>
      <c r="Z249" s="30"/>
    </row>
    <row r="250">
      <c r="A250" s="12" t="s">
        <v>74</v>
      </c>
      <c r="B250" s="64"/>
      <c r="C250" s="23" t="s">
        <v>382</v>
      </c>
      <c r="D250" s="12" t="str">
        <f>vlookup(C250,'List of Chargers'!$A$2:$B$5,2,FALSE)</f>
        <v>Roam Point</v>
      </c>
      <c r="E250" s="23" t="s">
        <v>73</v>
      </c>
      <c r="F250" s="23" t="s">
        <v>75</v>
      </c>
      <c r="G250" s="23" t="s">
        <v>775</v>
      </c>
      <c r="H250" s="13" t="str">
        <f t="shared" si="1"/>
        <v>#RP-KE-A-248</v>
      </c>
      <c r="I250" s="13" t="str">
        <f t="shared" si="2"/>
        <v>FO-NBI-00#RP-KE-A-248</v>
      </c>
      <c r="J250" s="25"/>
      <c r="K250" s="66"/>
      <c r="S250" s="30"/>
      <c r="T250" s="30"/>
      <c r="U250" s="30"/>
      <c r="V250" s="30"/>
      <c r="Y250" s="30"/>
      <c r="Z250" s="30"/>
    </row>
    <row r="251">
      <c r="A251" s="12" t="s">
        <v>74</v>
      </c>
      <c r="B251" s="64"/>
      <c r="C251" s="23" t="s">
        <v>382</v>
      </c>
      <c r="D251" s="12" t="str">
        <f>vlookup(C251,'List of Chargers'!$A$2:$B$5,2,FALSE)</f>
        <v>Roam Point</v>
      </c>
      <c r="E251" s="23" t="s">
        <v>73</v>
      </c>
      <c r="F251" s="23" t="s">
        <v>75</v>
      </c>
      <c r="G251" s="23" t="s">
        <v>776</v>
      </c>
      <c r="H251" s="13" t="str">
        <f t="shared" si="1"/>
        <v>#RP-KE-A-249</v>
      </c>
      <c r="I251" s="13" t="str">
        <f t="shared" si="2"/>
        <v>FO-NBI-00#RP-KE-A-249</v>
      </c>
      <c r="J251" s="25"/>
      <c r="K251" s="66"/>
      <c r="S251" s="30"/>
      <c r="T251" s="30"/>
      <c r="U251" s="30"/>
      <c r="V251" s="30"/>
      <c r="Y251" s="30"/>
      <c r="Z251" s="30"/>
    </row>
    <row r="252">
      <c r="A252" s="12" t="s">
        <v>74</v>
      </c>
      <c r="B252" s="64"/>
      <c r="C252" s="23" t="s">
        <v>382</v>
      </c>
      <c r="D252" s="12" t="str">
        <f>vlookup(C252,'List of Chargers'!$A$2:$B$5,2,FALSE)</f>
        <v>Roam Point</v>
      </c>
      <c r="E252" s="23" t="s">
        <v>73</v>
      </c>
      <c r="F252" s="23" t="s">
        <v>75</v>
      </c>
      <c r="G252" s="23" t="s">
        <v>777</v>
      </c>
      <c r="H252" s="13" t="str">
        <f t="shared" si="1"/>
        <v>#RP-KE-A-250</v>
      </c>
      <c r="I252" s="13" t="str">
        <f t="shared" si="2"/>
        <v>FO-NBI-00#RP-KE-A-250</v>
      </c>
      <c r="J252" s="25"/>
      <c r="K252" s="66"/>
      <c r="S252" s="30"/>
      <c r="T252" s="30"/>
      <c r="U252" s="30"/>
      <c r="V252" s="30"/>
      <c r="Y252" s="30"/>
      <c r="Z252" s="30"/>
    </row>
    <row r="253">
      <c r="A253" s="12" t="s">
        <v>74</v>
      </c>
      <c r="B253" s="64"/>
      <c r="C253" s="23" t="s">
        <v>382</v>
      </c>
      <c r="D253" s="12" t="str">
        <f>vlookup(C253,'List of Chargers'!$A$2:$B$5,2,FALSE)</f>
        <v>Roam Point</v>
      </c>
      <c r="E253" s="23" t="s">
        <v>73</v>
      </c>
      <c r="F253" s="23" t="s">
        <v>75</v>
      </c>
      <c r="G253" s="23" t="s">
        <v>778</v>
      </c>
      <c r="H253" s="13" t="str">
        <f t="shared" si="1"/>
        <v>#RP-KE-A-251</v>
      </c>
      <c r="I253" s="13" t="str">
        <f t="shared" si="2"/>
        <v>FO-NBI-00#RP-KE-A-251</v>
      </c>
      <c r="J253" s="25"/>
      <c r="K253" s="66"/>
      <c r="S253" s="30"/>
      <c r="T253" s="30"/>
      <c r="U253" s="30"/>
      <c r="V253" s="30"/>
      <c r="Y253" s="30"/>
      <c r="Z253" s="30"/>
    </row>
    <row r="254">
      <c r="A254" s="12" t="s">
        <v>74</v>
      </c>
      <c r="B254" s="64"/>
      <c r="C254" s="23" t="s">
        <v>382</v>
      </c>
      <c r="D254" s="12" t="str">
        <f>vlookup(C254,'List of Chargers'!$A$2:$B$5,2,FALSE)</f>
        <v>Roam Point</v>
      </c>
      <c r="E254" s="23" t="s">
        <v>73</v>
      </c>
      <c r="F254" s="23" t="s">
        <v>75</v>
      </c>
      <c r="G254" s="23" t="s">
        <v>779</v>
      </c>
      <c r="H254" s="13" t="str">
        <f t="shared" si="1"/>
        <v>#RP-KE-A-252</v>
      </c>
      <c r="I254" s="13" t="str">
        <f t="shared" si="2"/>
        <v>FO-NBI-00#RP-KE-A-252</v>
      </c>
      <c r="J254" s="25"/>
      <c r="K254" s="66"/>
      <c r="S254" s="30"/>
      <c r="T254" s="30"/>
      <c r="U254" s="30"/>
      <c r="V254" s="30"/>
      <c r="Y254" s="30"/>
      <c r="Z254" s="30"/>
    </row>
    <row r="255">
      <c r="A255" s="12" t="s">
        <v>74</v>
      </c>
      <c r="B255" s="64"/>
      <c r="C255" s="23" t="s">
        <v>382</v>
      </c>
      <c r="D255" s="12" t="str">
        <f>vlookup(C255,'List of Chargers'!$A$2:$B$5,2,FALSE)</f>
        <v>Roam Point</v>
      </c>
      <c r="E255" s="23" t="s">
        <v>73</v>
      </c>
      <c r="F255" s="23" t="s">
        <v>75</v>
      </c>
      <c r="G255" s="23" t="s">
        <v>780</v>
      </c>
      <c r="H255" s="13" t="str">
        <f t="shared" si="1"/>
        <v>#RP-KE-A-253</v>
      </c>
      <c r="I255" s="13" t="str">
        <f t="shared" si="2"/>
        <v>FO-NBI-00#RP-KE-A-253</v>
      </c>
      <c r="J255" s="25"/>
      <c r="K255" s="66"/>
      <c r="S255" s="30"/>
      <c r="T255" s="30"/>
      <c r="U255" s="30"/>
      <c r="V255" s="30"/>
      <c r="Y255" s="30"/>
      <c r="Z255" s="30"/>
    </row>
    <row r="256">
      <c r="A256" s="12" t="s">
        <v>74</v>
      </c>
      <c r="B256" s="64"/>
      <c r="C256" s="23" t="s">
        <v>382</v>
      </c>
      <c r="D256" s="12" t="str">
        <f>vlookup(C256,'List of Chargers'!$A$2:$B$5,2,FALSE)</f>
        <v>Roam Point</v>
      </c>
      <c r="E256" s="23" t="s">
        <v>73</v>
      </c>
      <c r="F256" s="23" t="s">
        <v>75</v>
      </c>
      <c r="G256" s="23" t="s">
        <v>781</v>
      </c>
      <c r="H256" s="13" t="str">
        <f t="shared" si="1"/>
        <v>#RP-KE-A-254</v>
      </c>
      <c r="I256" s="13" t="str">
        <f t="shared" si="2"/>
        <v>FO-NBI-00#RP-KE-A-254</v>
      </c>
      <c r="J256" s="25"/>
      <c r="K256" s="66"/>
      <c r="S256" s="30"/>
      <c r="T256" s="30"/>
      <c r="U256" s="30"/>
      <c r="V256" s="30"/>
      <c r="Y256" s="30"/>
      <c r="Z256" s="30"/>
    </row>
    <row r="257">
      <c r="A257" s="12" t="s">
        <v>74</v>
      </c>
      <c r="B257" s="64"/>
      <c r="C257" s="23" t="s">
        <v>382</v>
      </c>
      <c r="D257" s="12" t="str">
        <f>vlookup(C257,'List of Chargers'!$A$2:$B$5,2,FALSE)</f>
        <v>Roam Point</v>
      </c>
      <c r="E257" s="23" t="s">
        <v>73</v>
      </c>
      <c r="F257" s="23" t="s">
        <v>75</v>
      </c>
      <c r="G257" s="23" t="s">
        <v>782</v>
      </c>
      <c r="H257" s="13" t="str">
        <f t="shared" si="1"/>
        <v>#RP-KE-A-255</v>
      </c>
      <c r="I257" s="13" t="str">
        <f t="shared" si="2"/>
        <v>FO-NBI-00#RP-KE-A-255</v>
      </c>
      <c r="J257" s="25"/>
      <c r="K257" s="66"/>
      <c r="S257" s="30"/>
      <c r="T257" s="30"/>
      <c r="U257" s="30"/>
      <c r="V257" s="30"/>
      <c r="Y257" s="30"/>
      <c r="Z257" s="30"/>
    </row>
    <row r="258">
      <c r="A258" s="12" t="s">
        <v>74</v>
      </c>
      <c r="B258" s="64"/>
      <c r="C258" s="23" t="s">
        <v>382</v>
      </c>
      <c r="D258" s="12" t="str">
        <f>vlookup(C258,'List of Chargers'!$A$2:$B$5,2,FALSE)</f>
        <v>Roam Point</v>
      </c>
      <c r="E258" s="23" t="s">
        <v>73</v>
      </c>
      <c r="F258" s="23" t="s">
        <v>75</v>
      </c>
      <c r="G258" s="23" t="s">
        <v>783</v>
      </c>
      <c r="H258" s="13" t="str">
        <f t="shared" si="1"/>
        <v>#RP-KE-A-256</v>
      </c>
      <c r="I258" s="13" t="str">
        <f t="shared" si="2"/>
        <v>FO-NBI-00#RP-KE-A-256</v>
      </c>
      <c r="J258" s="25"/>
      <c r="K258" s="66"/>
      <c r="S258" s="30"/>
      <c r="T258" s="30"/>
      <c r="U258" s="30"/>
      <c r="V258" s="30"/>
      <c r="Y258" s="30"/>
      <c r="Z258" s="30"/>
    </row>
    <row r="259">
      <c r="A259" s="12" t="s">
        <v>74</v>
      </c>
      <c r="B259" s="64"/>
      <c r="C259" s="23" t="s">
        <v>382</v>
      </c>
      <c r="D259" s="12" t="str">
        <f>vlookup(C259,'List of Chargers'!$A$2:$B$5,2,FALSE)</f>
        <v>Roam Point</v>
      </c>
      <c r="E259" s="23" t="s">
        <v>73</v>
      </c>
      <c r="F259" s="23" t="s">
        <v>75</v>
      </c>
      <c r="G259" s="23" t="s">
        <v>784</v>
      </c>
      <c r="H259" s="13" t="str">
        <f t="shared" si="1"/>
        <v>#RP-KE-A-257</v>
      </c>
      <c r="I259" s="13" t="str">
        <f t="shared" si="2"/>
        <v>FO-NBI-00#RP-KE-A-257</v>
      </c>
      <c r="J259" s="25"/>
      <c r="K259" s="66"/>
      <c r="S259" s="30"/>
      <c r="T259" s="30"/>
      <c r="U259" s="30"/>
      <c r="V259" s="30"/>
      <c r="Y259" s="30"/>
      <c r="Z259" s="30"/>
    </row>
    <row r="260">
      <c r="A260" s="12" t="s">
        <v>74</v>
      </c>
      <c r="B260" s="64"/>
      <c r="C260" s="23" t="s">
        <v>382</v>
      </c>
      <c r="D260" s="12" t="str">
        <f>vlookup(C260,'List of Chargers'!$A$2:$B$5,2,FALSE)</f>
        <v>Roam Point</v>
      </c>
      <c r="E260" s="23" t="s">
        <v>73</v>
      </c>
      <c r="F260" s="23" t="s">
        <v>75</v>
      </c>
      <c r="G260" s="23" t="s">
        <v>785</v>
      </c>
      <c r="H260" s="13" t="str">
        <f t="shared" si="1"/>
        <v>#RP-KE-A-258</v>
      </c>
      <c r="I260" s="13" t="str">
        <f t="shared" si="2"/>
        <v>FO-NBI-00#RP-KE-A-258</v>
      </c>
      <c r="J260" s="25"/>
      <c r="K260" s="66"/>
      <c r="S260" s="30"/>
      <c r="T260" s="30"/>
      <c r="U260" s="30"/>
      <c r="V260" s="30"/>
      <c r="Y260" s="30"/>
      <c r="Z260" s="30"/>
    </row>
    <row r="261">
      <c r="A261" s="12" t="s">
        <v>74</v>
      </c>
      <c r="B261" s="64"/>
      <c r="C261" s="23" t="s">
        <v>382</v>
      </c>
      <c r="D261" s="12" t="str">
        <f>vlookup(C261,'List of Chargers'!$A$2:$B$5,2,FALSE)</f>
        <v>Roam Point</v>
      </c>
      <c r="E261" s="23" t="s">
        <v>73</v>
      </c>
      <c r="F261" s="23" t="s">
        <v>75</v>
      </c>
      <c r="G261" s="23" t="s">
        <v>786</v>
      </c>
      <c r="H261" s="13" t="str">
        <f t="shared" si="1"/>
        <v>#RP-KE-A-259</v>
      </c>
      <c r="I261" s="13" t="str">
        <f t="shared" si="2"/>
        <v>FO-NBI-00#RP-KE-A-259</v>
      </c>
      <c r="J261" s="25"/>
      <c r="K261" s="66"/>
      <c r="S261" s="30"/>
      <c r="T261" s="30"/>
      <c r="U261" s="30"/>
      <c r="V261" s="30"/>
      <c r="Y261" s="30"/>
      <c r="Z261" s="30"/>
    </row>
    <row r="262">
      <c r="A262" s="12" t="s">
        <v>74</v>
      </c>
      <c r="B262" s="64"/>
      <c r="C262" s="23" t="s">
        <v>382</v>
      </c>
      <c r="D262" s="12" t="str">
        <f>vlookup(C262,'List of Chargers'!$A$2:$B$5,2,FALSE)</f>
        <v>Roam Point</v>
      </c>
      <c r="E262" s="23" t="s">
        <v>73</v>
      </c>
      <c r="F262" s="23" t="s">
        <v>75</v>
      </c>
      <c r="G262" s="23" t="s">
        <v>787</v>
      </c>
      <c r="H262" s="13" t="str">
        <f t="shared" si="1"/>
        <v>#RP-KE-A-260</v>
      </c>
      <c r="I262" s="13" t="str">
        <f t="shared" si="2"/>
        <v>FO-NBI-00#RP-KE-A-260</v>
      </c>
      <c r="J262" s="25"/>
      <c r="K262" s="66"/>
      <c r="S262" s="30"/>
      <c r="T262" s="30"/>
      <c r="U262" s="30"/>
      <c r="V262" s="30"/>
      <c r="Y262" s="30"/>
      <c r="Z262" s="30"/>
    </row>
    <row r="263">
      <c r="A263" s="12" t="s">
        <v>74</v>
      </c>
      <c r="B263" s="64"/>
      <c r="C263" s="23" t="s">
        <v>382</v>
      </c>
      <c r="D263" s="12" t="str">
        <f>vlookup(C263,'List of Chargers'!$A$2:$B$5,2,FALSE)</f>
        <v>Roam Point</v>
      </c>
      <c r="E263" s="23" t="s">
        <v>73</v>
      </c>
      <c r="F263" s="23" t="s">
        <v>75</v>
      </c>
      <c r="G263" s="23" t="s">
        <v>788</v>
      </c>
      <c r="H263" s="13" t="str">
        <f t="shared" si="1"/>
        <v>#RP-KE-A-261</v>
      </c>
      <c r="I263" s="13" t="str">
        <f t="shared" si="2"/>
        <v>FO-NBI-00#RP-KE-A-261</v>
      </c>
      <c r="J263" s="25"/>
      <c r="K263" s="66"/>
      <c r="S263" s="30"/>
      <c r="T263" s="30"/>
      <c r="U263" s="30"/>
      <c r="V263" s="30"/>
      <c r="Y263" s="30"/>
      <c r="Z263" s="30"/>
    </row>
    <row r="264">
      <c r="A264" s="12" t="s">
        <v>74</v>
      </c>
      <c r="B264" s="64"/>
      <c r="C264" s="23" t="s">
        <v>382</v>
      </c>
      <c r="D264" s="12" t="str">
        <f>vlookup(C264,'List of Chargers'!$A$2:$B$5,2,FALSE)</f>
        <v>Roam Point</v>
      </c>
      <c r="E264" s="23" t="s">
        <v>73</v>
      </c>
      <c r="F264" s="23" t="s">
        <v>75</v>
      </c>
      <c r="G264" s="23" t="s">
        <v>789</v>
      </c>
      <c r="H264" s="13" t="str">
        <f t="shared" si="1"/>
        <v>#RP-KE-A-262</v>
      </c>
      <c r="I264" s="13" t="str">
        <f t="shared" si="2"/>
        <v>FO-NBI-00#RP-KE-A-262</v>
      </c>
      <c r="J264" s="25"/>
      <c r="K264" s="66"/>
      <c r="S264" s="30"/>
      <c r="T264" s="30"/>
      <c r="U264" s="30"/>
      <c r="V264" s="30"/>
      <c r="Y264" s="30"/>
      <c r="Z264" s="30"/>
    </row>
    <row r="265">
      <c r="A265" s="12" t="s">
        <v>74</v>
      </c>
      <c r="B265" s="64"/>
      <c r="C265" s="23" t="s">
        <v>382</v>
      </c>
      <c r="D265" s="12" t="str">
        <f>vlookup(C265,'List of Chargers'!$A$2:$B$5,2,FALSE)</f>
        <v>Roam Point</v>
      </c>
      <c r="E265" s="23" t="s">
        <v>73</v>
      </c>
      <c r="F265" s="23" t="s">
        <v>75</v>
      </c>
      <c r="G265" s="23" t="s">
        <v>790</v>
      </c>
      <c r="H265" s="13" t="str">
        <f t="shared" si="1"/>
        <v>#RP-KE-A-263</v>
      </c>
      <c r="I265" s="13" t="str">
        <f t="shared" si="2"/>
        <v>FO-NBI-00#RP-KE-A-263</v>
      </c>
      <c r="J265" s="25"/>
      <c r="K265" s="66"/>
      <c r="S265" s="30"/>
      <c r="T265" s="30"/>
      <c r="U265" s="30"/>
      <c r="V265" s="30"/>
      <c r="Y265" s="30"/>
      <c r="Z265" s="30"/>
    </row>
    <row r="266">
      <c r="A266" s="12" t="s">
        <v>74</v>
      </c>
      <c r="B266" s="64"/>
      <c r="C266" s="23" t="s">
        <v>382</v>
      </c>
      <c r="D266" s="12" t="str">
        <f>vlookup(C266,'List of Chargers'!$A$2:$B$5,2,FALSE)</f>
        <v>Roam Point</v>
      </c>
      <c r="E266" s="23" t="s">
        <v>73</v>
      </c>
      <c r="F266" s="23" t="s">
        <v>75</v>
      </c>
      <c r="G266" s="23" t="s">
        <v>791</v>
      </c>
      <c r="H266" s="13" t="str">
        <f t="shared" si="1"/>
        <v>#RP-KE-A-264</v>
      </c>
      <c r="I266" s="13" t="str">
        <f t="shared" si="2"/>
        <v>FO-NBI-00#RP-KE-A-264</v>
      </c>
      <c r="J266" s="25"/>
      <c r="K266" s="66"/>
      <c r="S266" s="30"/>
      <c r="T266" s="30"/>
      <c r="U266" s="30"/>
      <c r="V266" s="30"/>
      <c r="Y266" s="30"/>
      <c r="Z266" s="30"/>
    </row>
    <row r="267">
      <c r="A267" s="12" t="s">
        <v>74</v>
      </c>
      <c r="B267" s="64"/>
      <c r="C267" s="23" t="s">
        <v>382</v>
      </c>
      <c r="D267" s="12" t="str">
        <f>vlookup(C267,'List of Chargers'!$A$2:$B$5,2,FALSE)</f>
        <v>Roam Point</v>
      </c>
      <c r="E267" s="23" t="s">
        <v>73</v>
      </c>
      <c r="F267" s="23" t="s">
        <v>75</v>
      </c>
      <c r="G267" s="23" t="s">
        <v>792</v>
      </c>
      <c r="H267" s="13" t="str">
        <f t="shared" si="1"/>
        <v>#RP-KE-A-265</v>
      </c>
      <c r="I267" s="13" t="str">
        <f t="shared" si="2"/>
        <v>FO-NBI-00#RP-KE-A-265</v>
      </c>
      <c r="J267" s="25"/>
      <c r="K267" s="66"/>
      <c r="S267" s="30"/>
      <c r="T267" s="30"/>
      <c r="U267" s="30"/>
      <c r="V267" s="30"/>
      <c r="Y267" s="30"/>
      <c r="Z267" s="30"/>
    </row>
    <row r="268">
      <c r="A268" s="12" t="s">
        <v>74</v>
      </c>
      <c r="B268" s="64"/>
      <c r="C268" s="23" t="s">
        <v>382</v>
      </c>
      <c r="D268" s="12" t="str">
        <f>vlookup(C268,'List of Chargers'!$A$2:$B$5,2,FALSE)</f>
        <v>Roam Point</v>
      </c>
      <c r="E268" s="23" t="s">
        <v>73</v>
      </c>
      <c r="F268" s="23" t="s">
        <v>75</v>
      </c>
      <c r="G268" s="23" t="s">
        <v>793</v>
      </c>
      <c r="H268" s="13" t="str">
        <f t="shared" si="1"/>
        <v>#RP-KE-A-266</v>
      </c>
      <c r="I268" s="13" t="str">
        <f t="shared" si="2"/>
        <v>FO-NBI-00#RP-KE-A-266</v>
      </c>
      <c r="J268" s="25"/>
      <c r="K268" s="66"/>
      <c r="S268" s="30"/>
      <c r="T268" s="30"/>
      <c r="U268" s="30"/>
      <c r="V268" s="30"/>
      <c r="Y268" s="30"/>
      <c r="Z268" s="30"/>
    </row>
    <row r="269">
      <c r="A269" s="12" t="s">
        <v>74</v>
      </c>
      <c r="B269" s="64"/>
      <c r="C269" s="23" t="s">
        <v>382</v>
      </c>
      <c r="D269" s="12" t="str">
        <f>vlookup(C269,'List of Chargers'!$A$2:$B$5,2,FALSE)</f>
        <v>Roam Point</v>
      </c>
      <c r="E269" s="23" t="s">
        <v>73</v>
      </c>
      <c r="F269" s="23" t="s">
        <v>75</v>
      </c>
      <c r="G269" s="23" t="s">
        <v>794</v>
      </c>
      <c r="H269" s="13" t="str">
        <f t="shared" si="1"/>
        <v>#RP-KE-A-267</v>
      </c>
      <c r="I269" s="13" t="str">
        <f t="shared" si="2"/>
        <v>FO-NBI-00#RP-KE-A-267</v>
      </c>
      <c r="J269" s="25"/>
      <c r="K269" s="66"/>
      <c r="S269" s="30"/>
      <c r="T269" s="30"/>
      <c r="U269" s="30"/>
      <c r="V269" s="30"/>
      <c r="Y269" s="30"/>
      <c r="Z269" s="30"/>
    </row>
    <row r="270">
      <c r="A270" s="12" t="s">
        <v>74</v>
      </c>
      <c r="B270" s="64"/>
      <c r="C270" s="23" t="s">
        <v>382</v>
      </c>
      <c r="D270" s="12" t="str">
        <f>vlookup(C270,'List of Chargers'!$A$2:$B$5,2,FALSE)</f>
        <v>Roam Point</v>
      </c>
      <c r="E270" s="23" t="s">
        <v>73</v>
      </c>
      <c r="F270" s="23" t="s">
        <v>75</v>
      </c>
      <c r="G270" s="23" t="s">
        <v>795</v>
      </c>
      <c r="H270" s="13" t="str">
        <f t="shared" si="1"/>
        <v>#RP-KE-A-268</v>
      </c>
      <c r="I270" s="13" t="str">
        <f t="shared" si="2"/>
        <v>FO-NBI-00#RP-KE-A-268</v>
      </c>
      <c r="J270" s="25"/>
      <c r="K270" s="66"/>
      <c r="S270" s="30"/>
      <c r="T270" s="30"/>
      <c r="U270" s="30"/>
      <c r="V270" s="30"/>
      <c r="Y270" s="30"/>
      <c r="Z270" s="30"/>
    </row>
    <row r="271">
      <c r="A271" s="12" t="s">
        <v>74</v>
      </c>
      <c r="B271" s="64"/>
      <c r="C271" s="23" t="s">
        <v>382</v>
      </c>
      <c r="D271" s="12" t="str">
        <f>vlookup(C271,'List of Chargers'!$A$2:$B$5,2,FALSE)</f>
        <v>Roam Point</v>
      </c>
      <c r="E271" s="23" t="s">
        <v>73</v>
      </c>
      <c r="F271" s="23" t="s">
        <v>75</v>
      </c>
      <c r="G271" s="23" t="s">
        <v>796</v>
      </c>
      <c r="H271" s="13" t="str">
        <f t="shared" si="1"/>
        <v>#RP-KE-A-269</v>
      </c>
      <c r="I271" s="13" t="str">
        <f t="shared" si="2"/>
        <v>FO-NBI-00#RP-KE-A-269</v>
      </c>
      <c r="J271" s="25"/>
      <c r="K271" s="66"/>
      <c r="S271" s="30"/>
      <c r="T271" s="30"/>
      <c r="U271" s="30"/>
      <c r="V271" s="30"/>
      <c r="Y271" s="30"/>
      <c r="Z271" s="30"/>
    </row>
    <row r="272">
      <c r="A272" s="12" t="s">
        <v>74</v>
      </c>
      <c r="B272" s="64"/>
      <c r="C272" s="23" t="s">
        <v>382</v>
      </c>
      <c r="D272" s="12" t="str">
        <f>vlookup(C272,'List of Chargers'!$A$2:$B$5,2,FALSE)</f>
        <v>Roam Point</v>
      </c>
      <c r="E272" s="23" t="s">
        <v>73</v>
      </c>
      <c r="F272" s="23" t="s">
        <v>75</v>
      </c>
      <c r="G272" s="23" t="s">
        <v>797</v>
      </c>
      <c r="H272" s="13" t="str">
        <f t="shared" si="1"/>
        <v>#RP-KE-A-270</v>
      </c>
      <c r="I272" s="13" t="str">
        <f t="shared" si="2"/>
        <v>FO-NBI-00#RP-KE-A-270</v>
      </c>
      <c r="J272" s="25"/>
      <c r="K272" s="66"/>
      <c r="S272" s="30"/>
      <c r="T272" s="30"/>
      <c r="U272" s="30"/>
      <c r="V272" s="30"/>
      <c r="Y272" s="30"/>
      <c r="Z272" s="30"/>
    </row>
    <row r="273">
      <c r="A273" s="12" t="s">
        <v>74</v>
      </c>
      <c r="B273" s="64"/>
      <c r="C273" s="23" t="s">
        <v>382</v>
      </c>
      <c r="D273" s="12" t="str">
        <f>vlookup(C273,'List of Chargers'!$A$2:$B$5,2,FALSE)</f>
        <v>Roam Point</v>
      </c>
      <c r="E273" s="23" t="s">
        <v>73</v>
      </c>
      <c r="F273" s="23" t="s">
        <v>75</v>
      </c>
      <c r="G273" s="23" t="s">
        <v>798</v>
      </c>
      <c r="H273" s="13" t="str">
        <f t="shared" si="1"/>
        <v>#RP-KE-A-271</v>
      </c>
      <c r="I273" s="13" t="str">
        <f t="shared" si="2"/>
        <v>FO-NBI-00#RP-KE-A-271</v>
      </c>
      <c r="J273" s="25"/>
      <c r="K273" s="66"/>
      <c r="S273" s="30"/>
      <c r="T273" s="30"/>
      <c r="U273" s="30"/>
      <c r="V273" s="30"/>
      <c r="Y273" s="30"/>
      <c r="Z273" s="30"/>
    </row>
    <row r="274">
      <c r="A274" s="12" t="s">
        <v>74</v>
      </c>
      <c r="B274" s="64"/>
      <c r="C274" s="23" t="s">
        <v>382</v>
      </c>
      <c r="D274" s="12" t="str">
        <f>vlookup(C274,'List of Chargers'!$A$2:$B$5,2,FALSE)</f>
        <v>Roam Point</v>
      </c>
      <c r="E274" s="23" t="s">
        <v>73</v>
      </c>
      <c r="F274" s="23" t="s">
        <v>75</v>
      </c>
      <c r="G274" s="23" t="s">
        <v>799</v>
      </c>
      <c r="H274" s="13" t="str">
        <f t="shared" si="1"/>
        <v>#RP-KE-A-272</v>
      </c>
      <c r="I274" s="13" t="str">
        <f t="shared" si="2"/>
        <v>FO-NBI-00#RP-KE-A-272</v>
      </c>
      <c r="J274" s="25"/>
      <c r="K274" s="66"/>
      <c r="S274" s="30"/>
      <c r="T274" s="30"/>
      <c r="U274" s="30"/>
      <c r="V274" s="30"/>
      <c r="Y274" s="30"/>
      <c r="Z274" s="30"/>
    </row>
    <row r="275">
      <c r="A275" s="12" t="s">
        <v>74</v>
      </c>
      <c r="B275" s="64"/>
      <c r="C275" s="23" t="s">
        <v>382</v>
      </c>
      <c r="D275" s="12" t="str">
        <f>vlookup(C275,'List of Chargers'!$A$2:$B$5,2,FALSE)</f>
        <v>Roam Point</v>
      </c>
      <c r="E275" s="23" t="s">
        <v>73</v>
      </c>
      <c r="F275" s="23" t="s">
        <v>75</v>
      </c>
      <c r="G275" s="23" t="s">
        <v>800</v>
      </c>
      <c r="H275" s="13" t="str">
        <f t="shared" si="1"/>
        <v>#RP-KE-A-273</v>
      </c>
      <c r="I275" s="13" t="str">
        <f t="shared" si="2"/>
        <v>FO-NBI-00#RP-KE-A-273</v>
      </c>
      <c r="J275" s="25"/>
      <c r="K275" s="66"/>
      <c r="S275" s="30"/>
      <c r="T275" s="30"/>
      <c r="U275" s="30"/>
      <c r="V275" s="30"/>
      <c r="Y275" s="30"/>
      <c r="Z275" s="30"/>
    </row>
    <row r="276">
      <c r="A276" s="12" t="s">
        <v>74</v>
      </c>
      <c r="B276" s="64"/>
      <c r="C276" s="23" t="s">
        <v>382</v>
      </c>
      <c r="D276" s="12" t="str">
        <f>vlookup(C276,'List of Chargers'!$A$2:$B$5,2,FALSE)</f>
        <v>Roam Point</v>
      </c>
      <c r="E276" s="23" t="s">
        <v>73</v>
      </c>
      <c r="F276" s="23" t="s">
        <v>75</v>
      </c>
      <c r="G276" s="23" t="s">
        <v>801</v>
      </c>
      <c r="H276" s="13" t="str">
        <f t="shared" si="1"/>
        <v>#RP-KE-A-274</v>
      </c>
      <c r="I276" s="13" t="str">
        <f t="shared" si="2"/>
        <v>FO-NBI-00#RP-KE-A-274</v>
      </c>
      <c r="J276" s="25"/>
      <c r="K276" s="66"/>
      <c r="S276" s="30"/>
      <c r="T276" s="30"/>
      <c r="U276" s="30"/>
      <c r="V276" s="30"/>
      <c r="Y276" s="30"/>
      <c r="Z276" s="30"/>
    </row>
    <row r="277">
      <c r="A277" s="12" t="s">
        <v>74</v>
      </c>
      <c r="B277" s="64"/>
      <c r="C277" s="23" t="s">
        <v>382</v>
      </c>
      <c r="D277" s="12" t="str">
        <f>vlookup(C277,'List of Chargers'!$A$2:$B$5,2,FALSE)</f>
        <v>Roam Point</v>
      </c>
      <c r="E277" s="23" t="s">
        <v>73</v>
      </c>
      <c r="F277" s="23" t="s">
        <v>75</v>
      </c>
      <c r="G277" s="23" t="s">
        <v>802</v>
      </c>
      <c r="H277" s="13" t="str">
        <f t="shared" si="1"/>
        <v>#RP-KE-A-275</v>
      </c>
      <c r="I277" s="13" t="str">
        <f t="shared" si="2"/>
        <v>FO-NBI-00#RP-KE-A-275</v>
      </c>
      <c r="J277" s="25"/>
      <c r="K277" s="66"/>
      <c r="S277" s="30"/>
      <c r="T277" s="30"/>
      <c r="U277" s="30"/>
      <c r="V277" s="30"/>
      <c r="Y277" s="30"/>
      <c r="Z277" s="30"/>
    </row>
    <row r="278">
      <c r="A278" s="12" t="s">
        <v>74</v>
      </c>
      <c r="B278" s="64"/>
      <c r="C278" s="23" t="s">
        <v>382</v>
      </c>
      <c r="D278" s="12" t="str">
        <f>vlookup(C278,'List of Chargers'!$A$2:$B$5,2,FALSE)</f>
        <v>Roam Point</v>
      </c>
      <c r="E278" s="23" t="s">
        <v>73</v>
      </c>
      <c r="F278" s="23" t="s">
        <v>75</v>
      </c>
      <c r="G278" s="23" t="s">
        <v>803</v>
      </c>
      <c r="H278" s="13" t="str">
        <f t="shared" si="1"/>
        <v>#RP-KE-A-276</v>
      </c>
      <c r="I278" s="13" t="str">
        <f t="shared" si="2"/>
        <v>FO-NBI-00#RP-KE-A-276</v>
      </c>
      <c r="J278" s="25"/>
      <c r="K278" s="66"/>
      <c r="S278" s="30"/>
      <c r="T278" s="30"/>
      <c r="U278" s="30"/>
      <c r="V278" s="30"/>
      <c r="Y278" s="30"/>
      <c r="Z278" s="30"/>
    </row>
    <row r="279">
      <c r="A279" s="12" t="s">
        <v>74</v>
      </c>
      <c r="B279" s="64"/>
      <c r="C279" s="23" t="s">
        <v>382</v>
      </c>
      <c r="D279" s="12" t="str">
        <f>vlookup(C279,'List of Chargers'!$A$2:$B$5,2,FALSE)</f>
        <v>Roam Point</v>
      </c>
      <c r="E279" s="23" t="s">
        <v>73</v>
      </c>
      <c r="F279" s="23" t="s">
        <v>75</v>
      </c>
      <c r="G279" s="23" t="s">
        <v>804</v>
      </c>
      <c r="H279" s="13" t="str">
        <f t="shared" si="1"/>
        <v>#RP-KE-A-277</v>
      </c>
      <c r="I279" s="13" t="str">
        <f t="shared" si="2"/>
        <v>FO-NBI-00#RP-KE-A-277</v>
      </c>
      <c r="J279" s="25"/>
      <c r="K279" s="66"/>
      <c r="S279" s="30"/>
      <c r="T279" s="30"/>
      <c r="U279" s="30"/>
      <c r="V279" s="30"/>
      <c r="Y279" s="30"/>
      <c r="Z279" s="30"/>
    </row>
    <row r="280">
      <c r="A280" s="12" t="s">
        <v>74</v>
      </c>
      <c r="B280" s="64"/>
      <c r="C280" s="23" t="s">
        <v>382</v>
      </c>
      <c r="D280" s="12" t="str">
        <f>vlookup(C280,'List of Chargers'!$A$2:$B$5,2,FALSE)</f>
        <v>Roam Point</v>
      </c>
      <c r="E280" s="23" t="s">
        <v>73</v>
      </c>
      <c r="F280" s="23" t="s">
        <v>75</v>
      </c>
      <c r="G280" s="23" t="s">
        <v>805</v>
      </c>
      <c r="H280" s="13" t="str">
        <f t="shared" si="1"/>
        <v>#RP-KE-A-278</v>
      </c>
      <c r="I280" s="13" t="str">
        <f t="shared" si="2"/>
        <v>FO-NBI-00#RP-KE-A-278</v>
      </c>
      <c r="J280" s="25"/>
      <c r="K280" s="66"/>
      <c r="S280" s="30"/>
      <c r="T280" s="30"/>
      <c r="U280" s="30"/>
      <c r="V280" s="30"/>
      <c r="Y280" s="30"/>
      <c r="Z280" s="30"/>
    </row>
    <row r="281">
      <c r="A281" s="12" t="s">
        <v>74</v>
      </c>
      <c r="B281" s="64"/>
      <c r="C281" s="23" t="s">
        <v>382</v>
      </c>
      <c r="D281" s="12" t="str">
        <f>vlookup(C281,'List of Chargers'!$A$2:$B$5,2,FALSE)</f>
        <v>Roam Point</v>
      </c>
      <c r="E281" s="23" t="s">
        <v>73</v>
      </c>
      <c r="F281" s="23" t="s">
        <v>75</v>
      </c>
      <c r="G281" s="23" t="s">
        <v>806</v>
      </c>
      <c r="H281" s="13" t="str">
        <f t="shared" si="1"/>
        <v>#RP-KE-A-279</v>
      </c>
      <c r="I281" s="13" t="str">
        <f t="shared" si="2"/>
        <v>FO-NBI-00#RP-KE-A-279</v>
      </c>
      <c r="J281" s="25"/>
      <c r="K281" s="66"/>
      <c r="S281" s="30"/>
      <c r="T281" s="30"/>
      <c r="U281" s="30"/>
      <c r="V281" s="30"/>
      <c r="Y281" s="30"/>
      <c r="Z281" s="30"/>
    </row>
    <row r="282">
      <c r="A282" s="12" t="s">
        <v>74</v>
      </c>
      <c r="B282" s="64"/>
      <c r="C282" s="23" t="s">
        <v>382</v>
      </c>
      <c r="D282" s="12" t="str">
        <f>vlookup(C282,'List of Chargers'!$A$2:$B$5,2,FALSE)</f>
        <v>Roam Point</v>
      </c>
      <c r="E282" s="23" t="s">
        <v>73</v>
      </c>
      <c r="F282" s="23" t="s">
        <v>75</v>
      </c>
      <c r="G282" s="23" t="s">
        <v>807</v>
      </c>
      <c r="H282" s="13" t="str">
        <f t="shared" si="1"/>
        <v>#RP-KE-A-280</v>
      </c>
      <c r="I282" s="13" t="str">
        <f t="shared" si="2"/>
        <v>FO-NBI-00#RP-KE-A-280</v>
      </c>
      <c r="J282" s="25"/>
      <c r="K282" s="66"/>
      <c r="S282" s="30"/>
      <c r="T282" s="30"/>
      <c r="U282" s="30"/>
      <c r="V282" s="30"/>
      <c r="Y282" s="30"/>
      <c r="Z282" s="30"/>
    </row>
    <row r="283">
      <c r="A283" s="12" t="s">
        <v>74</v>
      </c>
      <c r="B283" s="64"/>
      <c r="C283" s="23" t="s">
        <v>382</v>
      </c>
      <c r="D283" s="12" t="str">
        <f>vlookup(C283,'List of Chargers'!$A$2:$B$5,2,FALSE)</f>
        <v>Roam Point</v>
      </c>
      <c r="E283" s="23" t="s">
        <v>73</v>
      </c>
      <c r="F283" s="23" t="s">
        <v>75</v>
      </c>
      <c r="G283" s="23" t="s">
        <v>808</v>
      </c>
      <c r="H283" s="13" t="str">
        <f t="shared" si="1"/>
        <v>#RP-KE-A-281</v>
      </c>
      <c r="I283" s="13" t="str">
        <f t="shared" si="2"/>
        <v>FO-NBI-00#RP-KE-A-281</v>
      </c>
      <c r="J283" s="25"/>
      <c r="K283" s="66"/>
      <c r="S283" s="30"/>
      <c r="T283" s="30"/>
      <c r="U283" s="30"/>
      <c r="V283" s="30"/>
      <c r="Y283" s="30"/>
      <c r="Z283" s="30"/>
    </row>
    <row r="284">
      <c r="A284" s="12" t="s">
        <v>74</v>
      </c>
      <c r="B284" s="64"/>
      <c r="C284" s="23" t="s">
        <v>382</v>
      </c>
      <c r="D284" s="12" t="str">
        <f>vlookup(C284,'List of Chargers'!$A$2:$B$5,2,FALSE)</f>
        <v>Roam Point</v>
      </c>
      <c r="E284" s="23" t="s">
        <v>73</v>
      </c>
      <c r="F284" s="23" t="s">
        <v>75</v>
      </c>
      <c r="G284" s="23" t="s">
        <v>809</v>
      </c>
      <c r="H284" s="13" t="str">
        <f t="shared" si="1"/>
        <v>#RP-KE-A-282</v>
      </c>
      <c r="I284" s="13" t="str">
        <f t="shared" si="2"/>
        <v>FO-NBI-00#RP-KE-A-282</v>
      </c>
      <c r="J284" s="25"/>
      <c r="K284" s="66"/>
      <c r="S284" s="30"/>
      <c r="T284" s="30"/>
      <c r="U284" s="30"/>
      <c r="V284" s="30"/>
      <c r="Y284" s="30"/>
      <c r="Z284" s="30"/>
    </row>
    <row r="285">
      <c r="A285" s="12" t="s">
        <v>74</v>
      </c>
      <c r="B285" s="64"/>
      <c r="C285" s="23" t="s">
        <v>382</v>
      </c>
      <c r="D285" s="12" t="str">
        <f>vlookup(C285,'List of Chargers'!$A$2:$B$5,2,FALSE)</f>
        <v>Roam Point</v>
      </c>
      <c r="E285" s="23" t="s">
        <v>73</v>
      </c>
      <c r="F285" s="23" t="s">
        <v>75</v>
      </c>
      <c r="G285" s="23" t="s">
        <v>810</v>
      </c>
      <c r="H285" s="13" t="str">
        <f t="shared" si="1"/>
        <v>#RP-KE-A-283</v>
      </c>
      <c r="I285" s="13" t="str">
        <f t="shared" si="2"/>
        <v>FO-NBI-00#RP-KE-A-283</v>
      </c>
      <c r="J285" s="25"/>
      <c r="K285" s="66"/>
      <c r="S285" s="30"/>
      <c r="T285" s="30"/>
      <c r="U285" s="30"/>
      <c r="V285" s="30"/>
      <c r="Y285" s="30"/>
      <c r="Z285" s="30"/>
    </row>
    <row r="286">
      <c r="A286" s="12" t="s">
        <v>74</v>
      </c>
      <c r="B286" s="64"/>
      <c r="C286" s="23" t="s">
        <v>382</v>
      </c>
      <c r="D286" s="12" t="str">
        <f>vlookup(C286,'List of Chargers'!$A$2:$B$5,2,FALSE)</f>
        <v>Roam Point</v>
      </c>
      <c r="E286" s="23" t="s">
        <v>73</v>
      </c>
      <c r="F286" s="23" t="s">
        <v>75</v>
      </c>
      <c r="G286" s="23" t="s">
        <v>811</v>
      </c>
      <c r="H286" s="13" t="str">
        <f t="shared" si="1"/>
        <v>#RP-KE-A-284</v>
      </c>
      <c r="I286" s="13" t="str">
        <f t="shared" si="2"/>
        <v>FO-NBI-00#RP-KE-A-284</v>
      </c>
      <c r="J286" s="25"/>
      <c r="K286" s="66"/>
      <c r="S286" s="30"/>
      <c r="T286" s="30"/>
      <c r="U286" s="30"/>
      <c r="V286" s="30"/>
      <c r="Y286" s="30"/>
      <c r="Z286" s="30"/>
    </row>
    <row r="287">
      <c r="A287" s="12" t="s">
        <v>74</v>
      </c>
      <c r="B287" s="64"/>
      <c r="C287" s="23" t="s">
        <v>382</v>
      </c>
      <c r="D287" s="12" t="str">
        <f>vlookup(C287,'List of Chargers'!$A$2:$B$5,2,FALSE)</f>
        <v>Roam Point</v>
      </c>
      <c r="E287" s="23" t="s">
        <v>73</v>
      </c>
      <c r="F287" s="23" t="s">
        <v>75</v>
      </c>
      <c r="G287" s="23" t="s">
        <v>812</v>
      </c>
      <c r="H287" s="13" t="str">
        <f t="shared" si="1"/>
        <v>#RP-KE-A-285</v>
      </c>
      <c r="I287" s="13" t="str">
        <f t="shared" si="2"/>
        <v>FO-NBI-00#RP-KE-A-285</v>
      </c>
      <c r="J287" s="25"/>
      <c r="K287" s="66"/>
      <c r="S287" s="30"/>
      <c r="T287" s="30"/>
      <c r="U287" s="30"/>
      <c r="V287" s="30"/>
      <c r="Y287" s="30"/>
      <c r="Z287" s="30"/>
    </row>
    <row r="288">
      <c r="A288" s="12" t="s">
        <v>74</v>
      </c>
      <c r="B288" s="64"/>
      <c r="C288" s="23" t="s">
        <v>382</v>
      </c>
      <c r="D288" s="12" t="str">
        <f>vlookup(C288,'List of Chargers'!$A$2:$B$5,2,FALSE)</f>
        <v>Roam Point</v>
      </c>
      <c r="E288" s="23" t="s">
        <v>73</v>
      </c>
      <c r="F288" s="23" t="s">
        <v>75</v>
      </c>
      <c r="G288" s="23" t="s">
        <v>813</v>
      </c>
      <c r="H288" s="13" t="str">
        <f t="shared" si="1"/>
        <v>#RP-KE-A-286</v>
      </c>
      <c r="I288" s="13" t="str">
        <f t="shared" si="2"/>
        <v>FO-NBI-00#RP-KE-A-286</v>
      </c>
      <c r="J288" s="25"/>
      <c r="K288" s="66"/>
      <c r="S288" s="30"/>
      <c r="T288" s="30"/>
      <c r="U288" s="30"/>
      <c r="V288" s="30"/>
      <c r="Y288" s="30"/>
      <c r="Z288" s="30"/>
    </row>
    <row r="289">
      <c r="A289" s="12" t="s">
        <v>74</v>
      </c>
      <c r="B289" s="64"/>
      <c r="C289" s="23" t="s">
        <v>382</v>
      </c>
      <c r="D289" s="12" t="str">
        <f>vlookup(C289,'List of Chargers'!$A$2:$B$5,2,FALSE)</f>
        <v>Roam Point</v>
      </c>
      <c r="E289" s="23" t="s">
        <v>73</v>
      </c>
      <c r="F289" s="23" t="s">
        <v>75</v>
      </c>
      <c r="G289" s="23" t="s">
        <v>814</v>
      </c>
      <c r="H289" s="13" t="str">
        <f t="shared" si="1"/>
        <v>#RP-KE-A-287</v>
      </c>
      <c r="I289" s="13" t="str">
        <f t="shared" si="2"/>
        <v>FO-NBI-00#RP-KE-A-287</v>
      </c>
      <c r="J289" s="25"/>
      <c r="K289" s="66"/>
      <c r="S289" s="30"/>
      <c r="T289" s="30"/>
      <c r="U289" s="30"/>
      <c r="V289" s="30"/>
      <c r="Y289" s="30"/>
      <c r="Z289" s="30"/>
    </row>
    <row r="290">
      <c r="A290" s="12" t="s">
        <v>74</v>
      </c>
      <c r="B290" s="64"/>
      <c r="C290" s="23" t="s">
        <v>382</v>
      </c>
      <c r="D290" s="12" t="str">
        <f>vlookup(C290,'List of Chargers'!$A$2:$B$5,2,FALSE)</f>
        <v>Roam Point</v>
      </c>
      <c r="E290" s="23" t="s">
        <v>73</v>
      </c>
      <c r="F290" s="23" t="s">
        <v>75</v>
      </c>
      <c r="G290" s="23" t="s">
        <v>815</v>
      </c>
      <c r="H290" s="13" t="str">
        <f t="shared" si="1"/>
        <v>#RP-KE-A-288</v>
      </c>
      <c r="I290" s="13" t="str">
        <f t="shared" si="2"/>
        <v>FO-NBI-00#RP-KE-A-288</v>
      </c>
      <c r="J290" s="25"/>
      <c r="K290" s="66"/>
      <c r="S290" s="30"/>
      <c r="T290" s="30"/>
      <c r="U290" s="30"/>
      <c r="V290" s="30"/>
      <c r="Y290" s="30"/>
      <c r="Z290" s="30"/>
    </row>
    <row r="291">
      <c r="A291" s="12" t="s">
        <v>74</v>
      </c>
      <c r="B291" s="64"/>
      <c r="C291" s="23" t="s">
        <v>382</v>
      </c>
      <c r="D291" s="12" t="str">
        <f>vlookup(C291,'List of Chargers'!$A$2:$B$5,2,FALSE)</f>
        <v>Roam Point</v>
      </c>
      <c r="E291" s="23" t="s">
        <v>73</v>
      </c>
      <c r="F291" s="23" t="s">
        <v>75</v>
      </c>
      <c r="G291" s="23" t="s">
        <v>816</v>
      </c>
      <c r="H291" s="13" t="str">
        <f t="shared" si="1"/>
        <v>#RP-KE-A-289</v>
      </c>
      <c r="I291" s="13" t="str">
        <f t="shared" si="2"/>
        <v>FO-NBI-00#RP-KE-A-289</v>
      </c>
      <c r="J291" s="25"/>
      <c r="K291" s="66"/>
      <c r="S291" s="30"/>
      <c r="T291" s="30"/>
      <c r="U291" s="30"/>
      <c r="V291" s="30"/>
      <c r="Y291" s="30"/>
      <c r="Z291" s="30"/>
    </row>
    <row r="292">
      <c r="A292" s="12" t="s">
        <v>74</v>
      </c>
      <c r="B292" s="64"/>
      <c r="C292" s="23" t="s">
        <v>382</v>
      </c>
      <c r="D292" s="12" t="str">
        <f>vlookup(C292,'List of Chargers'!$A$2:$B$5,2,FALSE)</f>
        <v>Roam Point</v>
      </c>
      <c r="E292" s="23" t="s">
        <v>73</v>
      </c>
      <c r="F292" s="23" t="s">
        <v>75</v>
      </c>
      <c r="G292" s="23" t="s">
        <v>817</v>
      </c>
      <c r="H292" s="13" t="str">
        <f t="shared" si="1"/>
        <v>#RP-KE-A-290</v>
      </c>
      <c r="I292" s="13" t="str">
        <f t="shared" si="2"/>
        <v>FO-NBI-00#RP-KE-A-290</v>
      </c>
      <c r="J292" s="25"/>
      <c r="K292" s="66"/>
      <c r="S292" s="30"/>
      <c r="T292" s="30"/>
      <c r="U292" s="30"/>
      <c r="V292" s="30"/>
      <c r="Y292" s="30"/>
      <c r="Z292" s="30"/>
    </row>
    <row r="293">
      <c r="A293" s="12" t="s">
        <v>74</v>
      </c>
      <c r="B293" s="64"/>
      <c r="C293" s="23" t="s">
        <v>382</v>
      </c>
      <c r="D293" s="12" t="str">
        <f>vlookup(C293,'List of Chargers'!$A$2:$B$5,2,FALSE)</f>
        <v>Roam Point</v>
      </c>
      <c r="E293" s="23" t="s">
        <v>73</v>
      </c>
      <c r="F293" s="23" t="s">
        <v>75</v>
      </c>
      <c r="G293" s="23" t="s">
        <v>818</v>
      </c>
      <c r="H293" s="13" t="str">
        <f t="shared" si="1"/>
        <v>#RP-KE-A-291</v>
      </c>
      <c r="I293" s="13" t="str">
        <f t="shared" si="2"/>
        <v>FO-NBI-00#RP-KE-A-291</v>
      </c>
      <c r="J293" s="25"/>
      <c r="K293" s="66"/>
      <c r="S293" s="30"/>
      <c r="T293" s="30"/>
      <c r="U293" s="30"/>
      <c r="V293" s="30"/>
      <c r="Y293" s="30"/>
      <c r="Z293" s="30"/>
    </row>
    <row r="294">
      <c r="A294" s="12" t="s">
        <v>74</v>
      </c>
      <c r="B294" s="64"/>
      <c r="C294" s="23" t="s">
        <v>382</v>
      </c>
      <c r="D294" s="12" t="str">
        <f>vlookup(C294,'List of Chargers'!$A$2:$B$5,2,FALSE)</f>
        <v>Roam Point</v>
      </c>
      <c r="E294" s="23" t="s">
        <v>73</v>
      </c>
      <c r="F294" s="23" t="s">
        <v>75</v>
      </c>
      <c r="G294" s="23" t="s">
        <v>819</v>
      </c>
      <c r="H294" s="13" t="str">
        <f t="shared" si="1"/>
        <v>#RP-KE-A-292</v>
      </c>
      <c r="I294" s="13" t="str">
        <f t="shared" si="2"/>
        <v>FO-NBI-00#RP-KE-A-292</v>
      </c>
      <c r="J294" s="25"/>
      <c r="K294" s="66"/>
      <c r="S294" s="30"/>
      <c r="T294" s="30"/>
      <c r="U294" s="30"/>
      <c r="V294" s="30"/>
      <c r="Y294" s="30"/>
      <c r="Z294" s="30"/>
    </row>
    <row r="295">
      <c r="A295" s="12" t="s">
        <v>74</v>
      </c>
      <c r="B295" s="64"/>
      <c r="C295" s="23" t="s">
        <v>382</v>
      </c>
      <c r="D295" s="12" t="str">
        <f>vlookup(C295,'List of Chargers'!$A$2:$B$5,2,FALSE)</f>
        <v>Roam Point</v>
      </c>
      <c r="E295" s="23" t="s">
        <v>73</v>
      </c>
      <c r="F295" s="23" t="s">
        <v>75</v>
      </c>
      <c r="G295" s="23" t="s">
        <v>820</v>
      </c>
      <c r="H295" s="13" t="str">
        <f t="shared" si="1"/>
        <v>#RP-KE-A-293</v>
      </c>
      <c r="I295" s="13" t="str">
        <f t="shared" si="2"/>
        <v>FO-NBI-00#RP-KE-A-293</v>
      </c>
      <c r="J295" s="25"/>
      <c r="K295" s="66"/>
      <c r="S295" s="30"/>
      <c r="T295" s="30"/>
      <c r="U295" s="30"/>
      <c r="V295" s="30"/>
      <c r="Y295" s="30"/>
      <c r="Z295" s="30"/>
    </row>
    <row r="296">
      <c r="A296" s="12" t="s">
        <v>74</v>
      </c>
      <c r="B296" s="64"/>
      <c r="C296" s="23" t="s">
        <v>382</v>
      </c>
      <c r="D296" s="12" t="str">
        <f>vlookup(C296,'List of Chargers'!$A$2:$B$5,2,FALSE)</f>
        <v>Roam Point</v>
      </c>
      <c r="E296" s="23" t="s">
        <v>73</v>
      </c>
      <c r="F296" s="23" t="s">
        <v>75</v>
      </c>
      <c r="G296" s="23" t="s">
        <v>821</v>
      </c>
      <c r="H296" s="13" t="str">
        <f t="shared" si="1"/>
        <v>#RP-KE-A-294</v>
      </c>
      <c r="I296" s="13" t="str">
        <f t="shared" si="2"/>
        <v>FO-NBI-00#RP-KE-A-294</v>
      </c>
      <c r="J296" s="25"/>
      <c r="K296" s="66"/>
      <c r="S296" s="30"/>
      <c r="T296" s="30"/>
      <c r="U296" s="30"/>
      <c r="V296" s="30"/>
      <c r="Y296" s="30"/>
      <c r="Z296" s="30"/>
    </row>
    <row r="297">
      <c r="A297" s="12" t="s">
        <v>74</v>
      </c>
      <c r="B297" s="64"/>
      <c r="C297" s="23" t="s">
        <v>382</v>
      </c>
      <c r="D297" s="12" t="str">
        <f>vlookup(C297,'List of Chargers'!$A$2:$B$5,2,FALSE)</f>
        <v>Roam Point</v>
      </c>
      <c r="E297" s="23" t="s">
        <v>73</v>
      </c>
      <c r="F297" s="23" t="s">
        <v>75</v>
      </c>
      <c r="G297" s="23" t="s">
        <v>822</v>
      </c>
      <c r="H297" s="13" t="str">
        <f t="shared" si="1"/>
        <v>#RP-KE-A-295</v>
      </c>
      <c r="I297" s="13" t="str">
        <f t="shared" si="2"/>
        <v>FO-NBI-00#RP-KE-A-295</v>
      </c>
      <c r="J297" s="25"/>
      <c r="K297" s="66"/>
      <c r="S297" s="30"/>
      <c r="T297" s="30"/>
      <c r="U297" s="30"/>
      <c r="V297" s="30"/>
      <c r="Y297" s="30"/>
      <c r="Z297" s="30"/>
    </row>
    <row r="298">
      <c r="A298" s="12" t="s">
        <v>74</v>
      </c>
      <c r="B298" s="64"/>
      <c r="C298" s="23" t="s">
        <v>382</v>
      </c>
      <c r="D298" s="12" t="str">
        <f>vlookup(C298,'List of Chargers'!$A$2:$B$5,2,FALSE)</f>
        <v>Roam Point</v>
      </c>
      <c r="E298" s="23" t="s">
        <v>73</v>
      </c>
      <c r="F298" s="23" t="s">
        <v>75</v>
      </c>
      <c r="G298" s="23" t="s">
        <v>823</v>
      </c>
      <c r="H298" s="13" t="str">
        <f t="shared" si="1"/>
        <v>#RP-KE-A-296</v>
      </c>
      <c r="I298" s="13" t="str">
        <f t="shared" si="2"/>
        <v>FO-NBI-00#RP-KE-A-296</v>
      </c>
      <c r="J298" s="25"/>
      <c r="K298" s="66"/>
      <c r="S298" s="30"/>
      <c r="T298" s="30"/>
      <c r="U298" s="30"/>
      <c r="V298" s="30"/>
      <c r="Y298" s="30"/>
      <c r="Z298" s="30"/>
    </row>
    <row r="299">
      <c r="A299" s="12" t="s">
        <v>74</v>
      </c>
      <c r="B299" s="64"/>
      <c r="C299" s="23" t="s">
        <v>382</v>
      </c>
      <c r="D299" s="12" t="str">
        <f>vlookup(C299,'List of Chargers'!$A$2:$B$5,2,FALSE)</f>
        <v>Roam Point</v>
      </c>
      <c r="E299" s="23" t="s">
        <v>73</v>
      </c>
      <c r="F299" s="23" t="s">
        <v>75</v>
      </c>
      <c r="G299" s="23" t="s">
        <v>824</v>
      </c>
      <c r="H299" s="13" t="str">
        <f t="shared" si="1"/>
        <v>#RP-KE-A-297</v>
      </c>
      <c r="I299" s="13" t="str">
        <f t="shared" si="2"/>
        <v>FO-NBI-00#RP-KE-A-297</v>
      </c>
      <c r="J299" s="25"/>
      <c r="K299" s="66"/>
      <c r="S299" s="30"/>
      <c r="T299" s="30"/>
      <c r="U299" s="30"/>
      <c r="V299" s="30"/>
      <c r="Y299" s="30"/>
      <c r="Z299" s="30"/>
    </row>
    <row r="300">
      <c r="A300" s="12" t="s">
        <v>74</v>
      </c>
      <c r="B300" s="64"/>
      <c r="C300" s="23" t="s">
        <v>382</v>
      </c>
      <c r="D300" s="12" t="str">
        <f>vlookup(C300,'List of Chargers'!$A$2:$B$5,2,FALSE)</f>
        <v>Roam Point</v>
      </c>
      <c r="E300" s="23" t="s">
        <v>73</v>
      </c>
      <c r="F300" s="23" t="s">
        <v>75</v>
      </c>
      <c r="G300" s="23" t="s">
        <v>825</v>
      </c>
      <c r="H300" s="13" t="str">
        <f t="shared" si="1"/>
        <v>#RP-KE-A-298</v>
      </c>
      <c r="I300" s="13" t="str">
        <f t="shared" si="2"/>
        <v>FO-NBI-00#RP-KE-A-298</v>
      </c>
      <c r="J300" s="25"/>
      <c r="K300" s="66"/>
      <c r="S300" s="30"/>
      <c r="T300" s="30"/>
      <c r="U300" s="30"/>
      <c r="V300" s="30"/>
      <c r="Y300" s="30"/>
      <c r="Z300" s="30"/>
    </row>
    <row r="301">
      <c r="A301" s="12" t="s">
        <v>74</v>
      </c>
      <c r="B301" s="64"/>
      <c r="C301" s="23" t="s">
        <v>382</v>
      </c>
      <c r="D301" s="12" t="str">
        <f>vlookup(C301,'List of Chargers'!$A$2:$B$5,2,FALSE)</f>
        <v>Roam Point</v>
      </c>
      <c r="E301" s="23" t="s">
        <v>73</v>
      </c>
      <c r="F301" s="23" t="s">
        <v>75</v>
      </c>
      <c r="G301" s="23" t="s">
        <v>826</v>
      </c>
      <c r="H301" s="13" t="str">
        <f t="shared" si="1"/>
        <v>#RP-KE-A-299</v>
      </c>
      <c r="I301" s="13" t="str">
        <f t="shared" si="2"/>
        <v>FO-NBI-00#RP-KE-A-299</v>
      </c>
      <c r="J301" s="25"/>
      <c r="K301" s="66"/>
      <c r="S301" s="30"/>
      <c r="T301" s="30"/>
      <c r="U301" s="30"/>
      <c r="V301" s="30"/>
      <c r="Y301" s="30"/>
      <c r="Z301" s="30"/>
    </row>
    <row r="302">
      <c r="A302" s="12" t="s">
        <v>74</v>
      </c>
      <c r="B302" s="64"/>
      <c r="C302" s="23" t="s">
        <v>382</v>
      </c>
      <c r="D302" s="12" t="str">
        <f>vlookup(C302,'List of Chargers'!$A$2:$B$5,2,FALSE)</f>
        <v>Roam Point</v>
      </c>
      <c r="E302" s="23" t="s">
        <v>73</v>
      </c>
      <c r="F302" s="23" t="s">
        <v>75</v>
      </c>
      <c r="G302" s="23" t="s">
        <v>827</v>
      </c>
      <c r="H302" s="13" t="str">
        <f t="shared" si="1"/>
        <v>#RP-KE-A-300</v>
      </c>
      <c r="I302" s="13" t="str">
        <f t="shared" si="2"/>
        <v>FO-NBI-00#RP-KE-A-300</v>
      </c>
      <c r="J302" s="25"/>
      <c r="K302" s="66"/>
      <c r="S302" s="30"/>
      <c r="T302" s="30"/>
      <c r="U302" s="30"/>
      <c r="V302" s="30"/>
      <c r="Y302" s="30"/>
      <c r="Z302" s="30"/>
    </row>
    <row r="303">
      <c r="A303" s="12" t="s">
        <v>74</v>
      </c>
      <c r="B303" s="64"/>
      <c r="C303" s="23" t="s">
        <v>382</v>
      </c>
      <c r="D303" s="12" t="str">
        <f>vlookup(C303,'List of Chargers'!$A$2:$B$5,2,FALSE)</f>
        <v>Roam Point</v>
      </c>
      <c r="E303" s="23" t="s">
        <v>73</v>
      </c>
      <c r="F303" s="23" t="s">
        <v>75</v>
      </c>
      <c r="G303" s="23" t="s">
        <v>828</v>
      </c>
      <c r="H303" s="13" t="str">
        <f t="shared" si="1"/>
        <v>#RP-KE-A-301</v>
      </c>
      <c r="I303" s="13" t="str">
        <f t="shared" si="2"/>
        <v>FO-NBI-00#RP-KE-A-301</v>
      </c>
      <c r="J303" s="25"/>
      <c r="K303" s="66"/>
      <c r="S303" s="30"/>
      <c r="T303" s="30"/>
      <c r="U303" s="30"/>
      <c r="V303" s="30"/>
      <c r="Y303" s="30"/>
      <c r="Z303" s="30"/>
    </row>
    <row r="304">
      <c r="A304" s="12" t="s">
        <v>74</v>
      </c>
      <c r="B304" s="64"/>
      <c r="C304" s="23" t="s">
        <v>382</v>
      </c>
      <c r="D304" s="12" t="str">
        <f>vlookup(C304,'List of Chargers'!$A$2:$B$5,2,FALSE)</f>
        <v>Roam Point</v>
      </c>
      <c r="E304" s="23" t="s">
        <v>73</v>
      </c>
      <c r="F304" s="23" t="s">
        <v>75</v>
      </c>
      <c r="G304" s="23" t="s">
        <v>829</v>
      </c>
      <c r="H304" s="13" t="str">
        <f t="shared" si="1"/>
        <v>#RP-KE-A-302</v>
      </c>
      <c r="I304" s="13" t="str">
        <f t="shared" si="2"/>
        <v>FO-NBI-00#RP-KE-A-302</v>
      </c>
      <c r="J304" s="25"/>
      <c r="K304" s="66"/>
      <c r="S304" s="30"/>
      <c r="T304" s="30"/>
      <c r="U304" s="30"/>
      <c r="V304" s="30"/>
      <c r="Y304" s="30"/>
      <c r="Z304" s="30"/>
    </row>
    <row r="305">
      <c r="A305" s="12" t="s">
        <v>74</v>
      </c>
      <c r="B305" s="64"/>
      <c r="C305" s="23" t="s">
        <v>382</v>
      </c>
      <c r="D305" s="12" t="str">
        <f>vlookup(C305,'List of Chargers'!$A$2:$B$5,2,FALSE)</f>
        <v>Roam Point</v>
      </c>
      <c r="E305" s="23" t="s">
        <v>73</v>
      </c>
      <c r="F305" s="23" t="s">
        <v>75</v>
      </c>
      <c r="G305" s="23" t="s">
        <v>830</v>
      </c>
      <c r="H305" s="13" t="str">
        <f t="shared" si="1"/>
        <v>#RP-KE-A-303</v>
      </c>
      <c r="I305" s="13" t="str">
        <f t="shared" si="2"/>
        <v>FO-NBI-00#RP-KE-A-303</v>
      </c>
      <c r="J305" s="25"/>
      <c r="K305" s="66"/>
      <c r="S305" s="30"/>
      <c r="T305" s="30"/>
      <c r="U305" s="30"/>
      <c r="V305" s="30"/>
      <c r="Y305" s="30"/>
      <c r="Z305" s="30"/>
    </row>
    <row r="306">
      <c r="A306" s="12" t="s">
        <v>74</v>
      </c>
      <c r="B306" s="64"/>
      <c r="C306" s="30"/>
      <c r="D306" s="30"/>
      <c r="E306" s="30"/>
      <c r="F306" s="30"/>
      <c r="G306" s="30"/>
      <c r="J306" s="25"/>
      <c r="K306" s="66"/>
      <c r="S306" s="30"/>
      <c r="T306" s="30"/>
      <c r="U306" s="30"/>
      <c r="V306" s="30"/>
      <c r="Y306" s="30"/>
      <c r="Z306" s="30"/>
    </row>
    <row r="307">
      <c r="A307" s="12" t="s">
        <v>74</v>
      </c>
      <c r="B307" s="64"/>
      <c r="C307" s="30"/>
      <c r="D307" s="30"/>
      <c r="E307" s="30"/>
      <c r="F307" s="30"/>
      <c r="G307" s="30"/>
      <c r="J307" s="25"/>
      <c r="K307" s="66"/>
      <c r="S307" s="30"/>
      <c r="T307" s="30"/>
      <c r="U307" s="30"/>
      <c r="V307" s="30"/>
      <c r="Y307" s="30"/>
      <c r="Z307" s="30"/>
    </row>
    <row r="308">
      <c r="A308" s="12" t="s">
        <v>74</v>
      </c>
      <c r="B308" s="64"/>
      <c r="C308" s="30"/>
      <c r="D308" s="30"/>
      <c r="E308" s="30"/>
      <c r="F308" s="30"/>
      <c r="G308" s="30"/>
      <c r="J308" s="25"/>
      <c r="K308" s="66"/>
      <c r="S308" s="30"/>
      <c r="T308" s="30"/>
      <c r="U308" s="30"/>
      <c r="V308" s="30"/>
      <c r="Y308" s="30"/>
      <c r="Z308" s="30"/>
    </row>
    <row r="309">
      <c r="A309" s="12" t="s">
        <v>74</v>
      </c>
      <c r="B309" s="64"/>
      <c r="C309" s="30"/>
      <c r="D309" s="30"/>
      <c r="E309" s="30"/>
      <c r="F309" s="30"/>
      <c r="G309" s="30"/>
      <c r="J309" s="25"/>
      <c r="K309" s="66"/>
      <c r="S309" s="30"/>
      <c r="T309" s="30"/>
      <c r="U309" s="30"/>
      <c r="V309" s="30"/>
      <c r="Y309" s="30"/>
      <c r="Z309" s="30"/>
    </row>
    <row r="310">
      <c r="A310" s="12" t="s">
        <v>74</v>
      </c>
      <c r="B310" s="64"/>
      <c r="C310" s="30"/>
      <c r="D310" s="30"/>
      <c r="E310" s="30"/>
      <c r="F310" s="30"/>
      <c r="G310" s="30"/>
      <c r="J310" s="25"/>
      <c r="K310" s="66"/>
      <c r="S310" s="30"/>
      <c r="T310" s="30"/>
      <c r="U310" s="30"/>
      <c r="V310" s="30"/>
      <c r="Y310" s="30"/>
      <c r="Z310" s="30"/>
    </row>
    <row r="311">
      <c r="A311" s="12" t="s">
        <v>74</v>
      </c>
      <c r="B311" s="64"/>
      <c r="C311" s="30"/>
      <c r="D311" s="30"/>
      <c r="E311" s="30"/>
      <c r="F311" s="30"/>
      <c r="G311" s="30"/>
      <c r="J311" s="25"/>
      <c r="K311" s="66"/>
      <c r="S311" s="30"/>
      <c r="T311" s="30"/>
      <c r="U311" s="30"/>
      <c r="V311" s="30"/>
      <c r="Y311" s="30"/>
      <c r="Z311" s="30"/>
    </row>
    <row r="312">
      <c r="A312" s="12" t="s">
        <v>74</v>
      </c>
      <c r="B312" s="64"/>
      <c r="C312" s="30"/>
      <c r="D312" s="30"/>
      <c r="E312" s="30"/>
      <c r="F312" s="30"/>
      <c r="G312" s="30"/>
      <c r="J312" s="25"/>
      <c r="K312" s="66"/>
      <c r="S312" s="30"/>
      <c r="T312" s="30"/>
      <c r="U312" s="30"/>
      <c r="V312" s="30"/>
      <c r="Y312" s="30"/>
      <c r="Z312" s="30"/>
    </row>
    <row r="313">
      <c r="A313" s="12" t="s">
        <v>74</v>
      </c>
      <c r="B313" s="64"/>
      <c r="C313" s="30"/>
      <c r="D313" s="30"/>
      <c r="E313" s="30"/>
      <c r="F313" s="30"/>
      <c r="G313" s="30"/>
      <c r="J313" s="25"/>
      <c r="K313" s="66"/>
      <c r="S313" s="30"/>
      <c r="T313" s="30"/>
      <c r="U313" s="30"/>
      <c r="V313" s="30"/>
      <c r="Y313" s="30"/>
      <c r="Z313" s="30"/>
    </row>
    <row r="314">
      <c r="A314" s="12" t="s">
        <v>74</v>
      </c>
      <c r="B314" s="64"/>
      <c r="C314" s="30"/>
      <c r="D314" s="30"/>
      <c r="E314" s="30"/>
      <c r="F314" s="30"/>
      <c r="G314" s="30"/>
      <c r="J314" s="25"/>
      <c r="K314" s="66"/>
      <c r="S314" s="30"/>
      <c r="T314" s="30"/>
      <c r="U314" s="30"/>
      <c r="V314" s="30"/>
      <c r="Y314" s="30"/>
      <c r="Z314" s="30"/>
    </row>
    <row r="315">
      <c r="A315" s="12" t="s">
        <v>74</v>
      </c>
      <c r="B315" s="64"/>
      <c r="C315" s="30"/>
      <c r="D315" s="30"/>
      <c r="E315" s="30"/>
      <c r="F315" s="30"/>
      <c r="G315" s="30"/>
      <c r="J315" s="25"/>
      <c r="K315" s="66"/>
      <c r="S315" s="30"/>
      <c r="T315" s="30"/>
      <c r="U315" s="30"/>
      <c r="V315" s="30"/>
      <c r="Y315" s="30"/>
      <c r="Z315" s="30"/>
    </row>
    <row r="316">
      <c r="A316" s="12" t="s">
        <v>74</v>
      </c>
      <c r="B316" s="64"/>
      <c r="C316" s="30"/>
      <c r="D316" s="30"/>
      <c r="E316" s="30"/>
      <c r="F316" s="30"/>
      <c r="G316" s="30"/>
      <c r="J316" s="25"/>
      <c r="K316" s="66"/>
      <c r="S316" s="30"/>
      <c r="T316" s="30"/>
      <c r="U316" s="30"/>
      <c r="V316" s="30"/>
      <c r="Y316" s="30"/>
      <c r="Z316" s="30"/>
    </row>
    <row r="317">
      <c r="A317" s="12" t="s">
        <v>74</v>
      </c>
      <c r="B317" s="64"/>
      <c r="C317" s="30"/>
      <c r="D317" s="30"/>
      <c r="E317" s="30"/>
      <c r="F317" s="30"/>
      <c r="G317" s="30"/>
      <c r="J317" s="25"/>
      <c r="K317" s="66"/>
      <c r="S317" s="30"/>
      <c r="T317" s="30"/>
      <c r="U317" s="30"/>
      <c r="V317" s="30"/>
      <c r="Y317" s="30"/>
      <c r="Z317" s="30"/>
    </row>
    <row r="318">
      <c r="A318" s="12" t="s">
        <v>74</v>
      </c>
      <c r="B318" s="64"/>
      <c r="C318" s="30"/>
      <c r="D318" s="30"/>
      <c r="E318" s="30"/>
      <c r="F318" s="30"/>
      <c r="G318" s="30"/>
      <c r="J318" s="25"/>
      <c r="K318" s="66"/>
      <c r="S318" s="30"/>
      <c r="T318" s="30"/>
      <c r="U318" s="30"/>
      <c r="V318" s="30"/>
      <c r="Y318" s="30"/>
      <c r="Z318" s="30"/>
    </row>
    <row r="319">
      <c r="A319" s="12" t="s">
        <v>74</v>
      </c>
      <c r="B319" s="64"/>
      <c r="C319" s="30"/>
      <c r="D319" s="30"/>
      <c r="E319" s="30"/>
      <c r="F319" s="30"/>
      <c r="G319" s="30"/>
      <c r="J319" s="25"/>
      <c r="K319" s="66"/>
      <c r="S319" s="30"/>
      <c r="T319" s="30"/>
      <c r="U319" s="30"/>
      <c r="V319" s="30"/>
      <c r="Y319" s="30"/>
      <c r="Z319" s="30"/>
    </row>
    <row r="320">
      <c r="A320" s="12" t="s">
        <v>74</v>
      </c>
      <c r="B320" s="64"/>
      <c r="C320" s="30"/>
      <c r="D320" s="30"/>
      <c r="E320" s="30"/>
      <c r="F320" s="30"/>
      <c r="G320" s="30"/>
      <c r="J320" s="25"/>
      <c r="K320" s="66"/>
      <c r="S320" s="30"/>
      <c r="T320" s="30"/>
      <c r="U320" s="30"/>
      <c r="V320" s="30"/>
      <c r="Y320" s="30"/>
      <c r="Z320" s="30"/>
    </row>
    <row r="321">
      <c r="A321" s="12" t="s">
        <v>74</v>
      </c>
      <c r="B321" s="64"/>
      <c r="C321" s="30"/>
      <c r="D321" s="30"/>
      <c r="E321" s="30"/>
      <c r="F321" s="30"/>
      <c r="G321" s="30"/>
      <c r="J321" s="25"/>
      <c r="K321" s="66"/>
      <c r="S321" s="30"/>
      <c r="T321" s="30"/>
      <c r="U321" s="30"/>
      <c r="V321" s="30"/>
      <c r="Y321" s="30"/>
      <c r="Z321" s="30"/>
    </row>
    <row r="322">
      <c r="A322" s="12" t="s">
        <v>74</v>
      </c>
      <c r="B322" s="64"/>
      <c r="C322" s="30"/>
      <c r="D322" s="30"/>
      <c r="E322" s="30"/>
      <c r="F322" s="30"/>
      <c r="G322" s="30"/>
      <c r="J322" s="25"/>
      <c r="K322" s="66"/>
      <c r="S322" s="30"/>
      <c r="T322" s="30"/>
      <c r="U322" s="30"/>
      <c r="V322" s="30"/>
      <c r="Y322" s="30"/>
      <c r="Z322" s="30"/>
    </row>
    <row r="323">
      <c r="A323" s="12" t="s">
        <v>74</v>
      </c>
      <c r="B323" s="64"/>
      <c r="C323" s="30"/>
      <c r="D323" s="30"/>
      <c r="E323" s="30"/>
      <c r="F323" s="30"/>
      <c r="G323" s="30"/>
      <c r="J323" s="25"/>
      <c r="K323" s="66"/>
      <c r="S323" s="30"/>
      <c r="T323" s="30"/>
      <c r="U323" s="30"/>
      <c r="V323" s="30"/>
      <c r="Y323" s="30"/>
      <c r="Z323" s="30"/>
    </row>
    <row r="324">
      <c r="A324" s="12" t="s">
        <v>74</v>
      </c>
      <c r="B324" s="64"/>
      <c r="C324" s="30"/>
      <c r="D324" s="30"/>
      <c r="E324" s="30"/>
      <c r="F324" s="30"/>
      <c r="G324" s="30"/>
      <c r="J324" s="25"/>
      <c r="K324" s="66"/>
      <c r="S324" s="30"/>
      <c r="T324" s="30"/>
      <c r="U324" s="30"/>
      <c r="V324" s="30"/>
      <c r="Y324" s="30"/>
      <c r="Z324" s="30"/>
    </row>
    <row r="325">
      <c r="A325" s="12" t="s">
        <v>74</v>
      </c>
      <c r="B325" s="64"/>
      <c r="C325" s="30"/>
      <c r="D325" s="30"/>
      <c r="E325" s="30"/>
      <c r="F325" s="30"/>
      <c r="G325" s="30"/>
      <c r="J325" s="25"/>
      <c r="K325" s="66"/>
      <c r="S325" s="30"/>
      <c r="T325" s="30"/>
      <c r="U325" s="30"/>
      <c r="V325" s="30"/>
      <c r="Y325" s="30"/>
      <c r="Z325" s="30"/>
    </row>
    <row r="326">
      <c r="A326" s="12" t="s">
        <v>74</v>
      </c>
      <c r="B326" s="64"/>
      <c r="C326" s="30"/>
      <c r="D326" s="30"/>
      <c r="E326" s="30"/>
      <c r="F326" s="30"/>
      <c r="G326" s="30"/>
      <c r="J326" s="25"/>
      <c r="K326" s="66"/>
      <c r="S326" s="30"/>
      <c r="T326" s="30"/>
      <c r="U326" s="30"/>
      <c r="V326" s="30"/>
      <c r="Y326" s="30"/>
      <c r="Z326" s="30"/>
    </row>
    <row r="327">
      <c r="A327" s="12" t="s">
        <v>74</v>
      </c>
      <c r="B327" s="64"/>
      <c r="C327" s="30"/>
      <c r="D327" s="30"/>
      <c r="E327" s="30"/>
      <c r="F327" s="30"/>
      <c r="G327" s="30"/>
      <c r="J327" s="25"/>
      <c r="K327" s="66"/>
      <c r="S327" s="30"/>
      <c r="T327" s="30"/>
      <c r="U327" s="30"/>
      <c r="V327" s="30"/>
      <c r="Y327" s="30"/>
      <c r="Z327" s="30"/>
    </row>
    <row r="328">
      <c r="A328" s="12" t="s">
        <v>74</v>
      </c>
      <c r="B328" s="64"/>
      <c r="C328" s="30"/>
      <c r="D328" s="30"/>
      <c r="E328" s="30"/>
      <c r="F328" s="30"/>
      <c r="G328" s="30"/>
      <c r="J328" s="25"/>
      <c r="K328" s="66"/>
      <c r="S328" s="30"/>
      <c r="T328" s="30"/>
      <c r="U328" s="30"/>
      <c r="V328" s="30"/>
      <c r="Y328" s="30"/>
      <c r="Z328" s="30"/>
    </row>
    <row r="329">
      <c r="A329" s="12" t="s">
        <v>74</v>
      </c>
      <c r="B329" s="64"/>
      <c r="C329" s="30"/>
      <c r="D329" s="30"/>
      <c r="E329" s="30"/>
      <c r="F329" s="30"/>
      <c r="G329" s="30"/>
      <c r="J329" s="25"/>
      <c r="K329" s="66"/>
      <c r="S329" s="30"/>
      <c r="T329" s="30"/>
      <c r="U329" s="30"/>
      <c r="V329" s="30"/>
      <c r="Y329" s="30"/>
      <c r="Z329" s="30"/>
    </row>
    <row r="330">
      <c r="A330" s="12" t="s">
        <v>74</v>
      </c>
      <c r="B330" s="64"/>
      <c r="C330" s="30"/>
      <c r="D330" s="30"/>
      <c r="E330" s="30"/>
      <c r="F330" s="30"/>
      <c r="G330" s="30"/>
      <c r="J330" s="25"/>
      <c r="K330" s="66"/>
      <c r="S330" s="30"/>
      <c r="T330" s="30"/>
      <c r="U330" s="30"/>
      <c r="V330" s="30"/>
      <c r="Y330" s="30"/>
      <c r="Z330" s="30"/>
    </row>
    <row r="331">
      <c r="A331" s="12" t="s">
        <v>74</v>
      </c>
      <c r="B331" s="64"/>
      <c r="C331" s="30"/>
      <c r="D331" s="30"/>
      <c r="E331" s="30"/>
      <c r="F331" s="30"/>
      <c r="G331" s="30"/>
      <c r="J331" s="25"/>
      <c r="K331" s="66"/>
      <c r="S331" s="30"/>
      <c r="T331" s="30"/>
      <c r="U331" s="30"/>
      <c r="V331" s="30"/>
      <c r="Y331" s="30"/>
      <c r="Z331" s="30"/>
    </row>
    <row r="332">
      <c r="A332" s="12" t="s">
        <v>74</v>
      </c>
      <c r="B332" s="64"/>
      <c r="C332" s="30"/>
      <c r="D332" s="30"/>
      <c r="E332" s="30"/>
      <c r="F332" s="30"/>
      <c r="G332" s="30"/>
      <c r="J332" s="25"/>
      <c r="K332" s="66"/>
      <c r="S332" s="30"/>
      <c r="T332" s="30"/>
      <c r="U332" s="30"/>
      <c r="V332" s="30"/>
      <c r="Y332" s="30"/>
      <c r="Z332" s="30"/>
    </row>
    <row r="333">
      <c r="A333" s="12" t="s">
        <v>74</v>
      </c>
      <c r="B333" s="64"/>
      <c r="C333" s="30"/>
      <c r="D333" s="30"/>
      <c r="E333" s="30"/>
      <c r="F333" s="30"/>
      <c r="G333" s="30"/>
      <c r="J333" s="25"/>
      <c r="K333" s="66"/>
      <c r="S333" s="30"/>
      <c r="T333" s="30"/>
      <c r="U333" s="30"/>
      <c r="V333" s="30"/>
      <c r="Y333" s="30"/>
      <c r="Z333" s="30"/>
    </row>
    <row r="334">
      <c r="A334" s="12" t="s">
        <v>74</v>
      </c>
      <c r="B334" s="64"/>
      <c r="C334" s="30"/>
      <c r="D334" s="30"/>
      <c r="E334" s="30"/>
      <c r="F334" s="30"/>
      <c r="G334" s="30"/>
      <c r="J334" s="25"/>
      <c r="K334" s="66"/>
      <c r="S334" s="30"/>
      <c r="T334" s="30"/>
      <c r="U334" s="30"/>
      <c r="V334" s="30"/>
      <c r="Y334" s="30"/>
      <c r="Z334" s="30"/>
    </row>
    <row r="335">
      <c r="A335" s="12" t="s">
        <v>74</v>
      </c>
      <c r="B335" s="64"/>
      <c r="C335" s="30"/>
      <c r="D335" s="30"/>
      <c r="E335" s="30"/>
      <c r="F335" s="30"/>
      <c r="G335" s="30"/>
      <c r="J335" s="25"/>
      <c r="K335" s="66"/>
      <c r="S335" s="30"/>
      <c r="T335" s="30"/>
      <c r="U335" s="30"/>
      <c r="V335" s="30"/>
      <c r="Y335" s="30"/>
      <c r="Z335" s="30"/>
    </row>
    <row r="336">
      <c r="A336" s="12" t="s">
        <v>74</v>
      </c>
      <c r="B336" s="64"/>
      <c r="C336" s="30"/>
      <c r="D336" s="30"/>
      <c r="E336" s="30"/>
      <c r="F336" s="30"/>
      <c r="G336" s="30"/>
      <c r="J336" s="25"/>
      <c r="K336" s="66"/>
      <c r="S336" s="30"/>
      <c r="T336" s="30"/>
      <c r="U336" s="30"/>
      <c r="V336" s="30"/>
      <c r="Y336" s="30"/>
      <c r="Z336" s="30"/>
    </row>
    <row r="337">
      <c r="A337" s="12" t="s">
        <v>74</v>
      </c>
      <c r="B337" s="64"/>
      <c r="C337" s="30"/>
      <c r="D337" s="30"/>
      <c r="E337" s="30"/>
      <c r="F337" s="30"/>
      <c r="G337" s="30"/>
      <c r="J337" s="25"/>
      <c r="K337" s="66"/>
      <c r="S337" s="30"/>
      <c r="T337" s="30"/>
      <c r="U337" s="30"/>
      <c r="V337" s="30"/>
      <c r="Y337" s="30"/>
      <c r="Z337" s="30"/>
    </row>
    <row r="338">
      <c r="A338" s="12" t="s">
        <v>74</v>
      </c>
      <c r="B338" s="64"/>
      <c r="C338" s="30"/>
      <c r="D338" s="30"/>
      <c r="E338" s="30"/>
      <c r="F338" s="30"/>
      <c r="G338" s="30"/>
      <c r="J338" s="25"/>
      <c r="K338" s="66"/>
      <c r="S338" s="30"/>
      <c r="T338" s="30"/>
      <c r="U338" s="30"/>
      <c r="V338" s="30"/>
      <c r="Y338" s="30"/>
      <c r="Z338" s="30"/>
    </row>
    <row r="339">
      <c r="A339" s="12" t="s">
        <v>74</v>
      </c>
      <c r="B339" s="64"/>
      <c r="C339" s="30"/>
      <c r="D339" s="30"/>
      <c r="E339" s="30"/>
      <c r="F339" s="30"/>
      <c r="G339" s="30"/>
      <c r="J339" s="25"/>
      <c r="K339" s="66"/>
      <c r="S339" s="30"/>
      <c r="T339" s="30"/>
      <c r="U339" s="30"/>
      <c r="V339" s="30"/>
      <c r="Y339" s="30"/>
      <c r="Z339" s="30"/>
    </row>
    <row r="340">
      <c r="A340" s="12" t="s">
        <v>74</v>
      </c>
      <c r="B340" s="64"/>
      <c r="C340" s="30"/>
      <c r="D340" s="30"/>
      <c r="E340" s="30"/>
      <c r="F340" s="30"/>
      <c r="G340" s="30"/>
      <c r="J340" s="25"/>
      <c r="K340" s="66"/>
      <c r="S340" s="30"/>
      <c r="T340" s="30"/>
      <c r="U340" s="30"/>
      <c r="V340" s="30"/>
      <c r="Y340" s="30"/>
      <c r="Z340" s="30"/>
    </row>
    <row r="341">
      <c r="A341" s="12" t="s">
        <v>74</v>
      </c>
      <c r="B341" s="64"/>
      <c r="C341" s="30"/>
      <c r="D341" s="30"/>
      <c r="E341" s="30"/>
      <c r="F341" s="30"/>
      <c r="G341" s="30"/>
      <c r="J341" s="25"/>
      <c r="K341" s="66"/>
      <c r="S341" s="30"/>
      <c r="T341" s="30"/>
      <c r="U341" s="30"/>
      <c r="V341" s="30"/>
      <c r="Y341" s="30"/>
      <c r="Z341" s="30"/>
    </row>
    <row r="342">
      <c r="A342" s="12" t="s">
        <v>74</v>
      </c>
      <c r="B342" s="64"/>
      <c r="C342" s="30"/>
      <c r="D342" s="30"/>
      <c r="E342" s="30"/>
      <c r="F342" s="30"/>
      <c r="G342" s="30"/>
      <c r="J342" s="25"/>
      <c r="K342" s="66"/>
      <c r="S342" s="30"/>
      <c r="T342" s="30"/>
      <c r="U342" s="30"/>
      <c r="V342" s="30"/>
      <c r="Y342" s="30"/>
      <c r="Z342" s="30"/>
    </row>
    <row r="343">
      <c r="A343" s="12" t="s">
        <v>74</v>
      </c>
      <c r="B343" s="64"/>
      <c r="C343" s="30"/>
      <c r="D343" s="30"/>
      <c r="E343" s="30"/>
      <c r="F343" s="30"/>
      <c r="G343" s="30"/>
      <c r="J343" s="25"/>
      <c r="K343" s="66"/>
      <c r="S343" s="30"/>
      <c r="T343" s="30"/>
      <c r="U343" s="30"/>
      <c r="V343" s="30"/>
      <c r="Y343" s="30"/>
      <c r="Z343" s="30"/>
    </row>
    <row r="344">
      <c r="A344" s="12" t="s">
        <v>74</v>
      </c>
      <c r="B344" s="64"/>
      <c r="C344" s="30"/>
      <c r="D344" s="30"/>
      <c r="E344" s="30"/>
      <c r="F344" s="30"/>
      <c r="G344" s="30"/>
      <c r="J344" s="25"/>
      <c r="K344" s="66"/>
      <c r="S344" s="30"/>
      <c r="T344" s="30"/>
      <c r="U344" s="30"/>
      <c r="V344" s="30"/>
      <c r="Y344" s="30"/>
      <c r="Z344" s="30"/>
    </row>
    <row r="345">
      <c r="A345" s="12" t="s">
        <v>74</v>
      </c>
      <c r="B345" s="64"/>
      <c r="C345" s="30"/>
      <c r="D345" s="30"/>
      <c r="E345" s="30"/>
      <c r="F345" s="30"/>
      <c r="G345" s="30"/>
      <c r="J345" s="25"/>
      <c r="K345" s="66"/>
      <c r="S345" s="30"/>
      <c r="T345" s="30"/>
      <c r="U345" s="30"/>
      <c r="V345" s="30"/>
      <c r="Y345" s="30"/>
      <c r="Z345" s="30"/>
    </row>
    <row r="346">
      <c r="A346" s="12" t="s">
        <v>74</v>
      </c>
      <c r="B346" s="64"/>
      <c r="C346" s="30"/>
      <c r="D346" s="30"/>
      <c r="E346" s="30"/>
      <c r="F346" s="30"/>
      <c r="G346" s="30"/>
      <c r="J346" s="25"/>
      <c r="K346" s="66"/>
      <c r="S346" s="30"/>
      <c r="T346" s="30"/>
      <c r="U346" s="30"/>
      <c r="V346" s="30"/>
      <c r="Y346" s="30"/>
      <c r="Z346" s="30"/>
    </row>
    <row r="347">
      <c r="A347" s="12" t="s">
        <v>74</v>
      </c>
      <c r="B347" s="64"/>
      <c r="C347" s="30"/>
      <c r="D347" s="30"/>
      <c r="E347" s="30"/>
      <c r="F347" s="30"/>
      <c r="G347" s="30"/>
      <c r="J347" s="25"/>
      <c r="K347" s="66"/>
      <c r="S347" s="30"/>
      <c r="T347" s="30"/>
      <c r="U347" s="30"/>
      <c r="V347" s="30"/>
      <c r="Y347" s="30"/>
      <c r="Z347" s="30"/>
    </row>
    <row r="348">
      <c r="A348" s="12" t="s">
        <v>74</v>
      </c>
      <c r="B348" s="64"/>
      <c r="C348" s="30"/>
      <c r="D348" s="30"/>
      <c r="E348" s="30"/>
      <c r="F348" s="30"/>
      <c r="G348" s="30"/>
      <c r="J348" s="25"/>
      <c r="K348" s="66"/>
      <c r="S348" s="30"/>
      <c r="T348" s="30"/>
      <c r="U348" s="30"/>
      <c r="V348" s="30"/>
      <c r="Y348" s="30"/>
      <c r="Z348" s="30"/>
    </row>
    <row r="349">
      <c r="A349" s="12" t="s">
        <v>74</v>
      </c>
      <c r="B349" s="64"/>
      <c r="C349" s="30"/>
      <c r="D349" s="30"/>
      <c r="E349" s="30"/>
      <c r="F349" s="30"/>
      <c r="G349" s="30"/>
      <c r="J349" s="25"/>
      <c r="K349" s="66"/>
      <c r="S349" s="30"/>
      <c r="T349" s="30"/>
      <c r="U349" s="30"/>
      <c r="V349" s="30"/>
      <c r="Y349" s="30"/>
      <c r="Z349" s="30"/>
    </row>
    <row r="350">
      <c r="A350" s="12" t="s">
        <v>74</v>
      </c>
      <c r="B350" s="64"/>
      <c r="C350" s="30"/>
      <c r="D350" s="30"/>
      <c r="E350" s="30"/>
      <c r="F350" s="30"/>
      <c r="G350" s="30"/>
      <c r="J350" s="25"/>
      <c r="K350" s="66"/>
      <c r="S350" s="30"/>
      <c r="T350" s="30"/>
      <c r="U350" s="30"/>
      <c r="V350" s="30"/>
      <c r="Y350" s="30"/>
      <c r="Z350" s="30"/>
    </row>
    <row r="351">
      <c r="A351" s="12" t="s">
        <v>74</v>
      </c>
      <c r="B351" s="64"/>
      <c r="C351" s="30"/>
      <c r="D351" s="30"/>
      <c r="E351" s="30"/>
      <c r="F351" s="30"/>
      <c r="G351" s="30"/>
      <c r="J351" s="25"/>
      <c r="K351" s="66"/>
      <c r="S351" s="30"/>
      <c r="T351" s="30"/>
      <c r="U351" s="30"/>
      <c r="V351" s="30"/>
      <c r="Y351" s="30"/>
      <c r="Z351" s="30"/>
    </row>
    <row r="352">
      <c r="A352" s="12" t="s">
        <v>74</v>
      </c>
      <c r="B352" s="64"/>
      <c r="C352" s="30"/>
      <c r="D352" s="30"/>
      <c r="E352" s="30"/>
      <c r="F352" s="30"/>
      <c r="G352" s="30"/>
      <c r="J352" s="25"/>
      <c r="K352" s="66"/>
      <c r="S352" s="30"/>
      <c r="T352" s="30"/>
      <c r="U352" s="30"/>
      <c r="V352" s="30"/>
      <c r="Y352" s="30"/>
      <c r="Z352" s="30"/>
    </row>
    <row r="353">
      <c r="A353" s="12" t="s">
        <v>74</v>
      </c>
      <c r="B353" s="64"/>
      <c r="C353" s="30"/>
      <c r="D353" s="30"/>
      <c r="E353" s="30"/>
      <c r="F353" s="30"/>
      <c r="G353" s="30"/>
      <c r="J353" s="25"/>
      <c r="K353" s="66"/>
      <c r="S353" s="30"/>
      <c r="T353" s="30"/>
      <c r="U353" s="30"/>
      <c r="V353" s="30"/>
      <c r="Y353" s="30"/>
      <c r="Z353" s="30"/>
    </row>
    <row r="354">
      <c r="A354" s="12" t="s">
        <v>74</v>
      </c>
      <c r="B354" s="64"/>
      <c r="C354" s="30"/>
      <c r="D354" s="30"/>
      <c r="E354" s="30"/>
      <c r="F354" s="30"/>
      <c r="G354" s="30"/>
      <c r="J354" s="25"/>
      <c r="K354" s="66"/>
      <c r="S354" s="30"/>
      <c r="T354" s="30"/>
      <c r="U354" s="30"/>
      <c r="V354" s="30"/>
      <c r="Y354" s="30"/>
      <c r="Z354" s="30"/>
    </row>
    <row r="355">
      <c r="A355" s="12" t="s">
        <v>74</v>
      </c>
      <c r="B355" s="64"/>
      <c r="C355" s="30"/>
      <c r="D355" s="30"/>
      <c r="E355" s="30"/>
      <c r="F355" s="30"/>
      <c r="G355" s="30"/>
      <c r="J355" s="25"/>
      <c r="K355" s="66"/>
      <c r="S355" s="30"/>
      <c r="T355" s="30"/>
      <c r="U355" s="30"/>
      <c r="V355" s="30"/>
      <c r="Y355" s="30"/>
      <c r="Z355" s="30"/>
    </row>
    <row r="356">
      <c r="A356" s="12" t="s">
        <v>74</v>
      </c>
      <c r="B356" s="64"/>
      <c r="C356" s="30"/>
      <c r="D356" s="30"/>
      <c r="E356" s="30"/>
      <c r="F356" s="30"/>
      <c r="G356" s="30"/>
      <c r="J356" s="25"/>
      <c r="K356" s="66"/>
      <c r="S356" s="30"/>
      <c r="T356" s="30"/>
      <c r="U356" s="30"/>
      <c r="V356" s="30"/>
      <c r="Y356" s="30"/>
      <c r="Z356" s="30"/>
    </row>
    <row r="357">
      <c r="A357" s="12" t="s">
        <v>74</v>
      </c>
      <c r="B357" s="64"/>
      <c r="C357" s="30"/>
      <c r="D357" s="30"/>
      <c r="E357" s="30"/>
      <c r="F357" s="30"/>
      <c r="G357" s="30"/>
      <c r="J357" s="25"/>
      <c r="K357" s="66"/>
      <c r="S357" s="30"/>
      <c r="T357" s="30"/>
      <c r="U357" s="30"/>
      <c r="V357" s="30"/>
      <c r="Y357" s="30"/>
      <c r="Z357" s="30"/>
    </row>
    <row r="358">
      <c r="A358" s="12" t="s">
        <v>74</v>
      </c>
      <c r="B358" s="64"/>
      <c r="C358" s="30"/>
      <c r="D358" s="30"/>
      <c r="E358" s="30"/>
      <c r="F358" s="30"/>
      <c r="G358" s="30"/>
      <c r="J358" s="25"/>
      <c r="K358" s="66"/>
      <c r="S358" s="30"/>
      <c r="T358" s="30"/>
      <c r="U358" s="30"/>
      <c r="V358" s="30"/>
      <c r="Y358" s="30"/>
      <c r="Z358" s="30"/>
    </row>
    <row r="359">
      <c r="A359" s="12" t="s">
        <v>74</v>
      </c>
      <c r="B359" s="64"/>
      <c r="C359" s="30"/>
      <c r="D359" s="30"/>
      <c r="E359" s="30"/>
      <c r="F359" s="30"/>
      <c r="G359" s="30"/>
      <c r="J359" s="25"/>
      <c r="K359" s="66"/>
      <c r="S359" s="30"/>
      <c r="T359" s="30"/>
      <c r="U359" s="30"/>
      <c r="V359" s="30"/>
      <c r="Y359" s="30"/>
      <c r="Z359" s="30"/>
    </row>
    <row r="360">
      <c r="A360" s="12" t="s">
        <v>74</v>
      </c>
      <c r="B360" s="64"/>
      <c r="C360" s="30"/>
      <c r="D360" s="30"/>
      <c r="E360" s="30"/>
      <c r="F360" s="30"/>
      <c r="G360" s="30"/>
      <c r="J360" s="25"/>
      <c r="K360" s="66"/>
      <c r="S360" s="30"/>
      <c r="T360" s="30"/>
      <c r="U360" s="30"/>
      <c r="V360" s="30"/>
      <c r="Y360" s="30"/>
      <c r="Z360" s="30"/>
    </row>
    <row r="361">
      <c r="A361" s="12" t="s">
        <v>74</v>
      </c>
      <c r="B361" s="64"/>
      <c r="C361" s="30"/>
      <c r="D361" s="30"/>
      <c r="E361" s="30"/>
      <c r="F361" s="30"/>
      <c r="G361" s="30"/>
      <c r="J361" s="25"/>
      <c r="K361" s="66"/>
      <c r="S361" s="30"/>
      <c r="T361" s="30"/>
      <c r="U361" s="30"/>
      <c r="V361" s="30"/>
      <c r="Y361" s="30"/>
      <c r="Z361" s="30"/>
    </row>
    <row r="362">
      <c r="A362" s="12" t="s">
        <v>74</v>
      </c>
      <c r="B362" s="64"/>
      <c r="C362" s="30"/>
      <c r="D362" s="30"/>
      <c r="E362" s="30"/>
      <c r="F362" s="30"/>
      <c r="G362" s="30"/>
      <c r="J362" s="25"/>
      <c r="K362" s="66"/>
      <c r="S362" s="30"/>
      <c r="T362" s="30"/>
      <c r="U362" s="30"/>
      <c r="V362" s="30"/>
      <c r="Y362" s="30"/>
      <c r="Z362" s="30"/>
    </row>
    <row r="363">
      <c r="A363" s="12" t="s">
        <v>74</v>
      </c>
      <c r="B363" s="64"/>
      <c r="C363" s="30"/>
      <c r="D363" s="30"/>
      <c r="E363" s="30"/>
      <c r="F363" s="30"/>
      <c r="G363" s="30"/>
      <c r="J363" s="25"/>
      <c r="K363" s="66"/>
      <c r="S363" s="30"/>
      <c r="T363" s="30"/>
      <c r="U363" s="30"/>
      <c r="V363" s="30"/>
      <c r="Y363" s="30"/>
      <c r="Z363" s="30"/>
    </row>
    <row r="364">
      <c r="A364" s="12" t="s">
        <v>74</v>
      </c>
      <c r="B364" s="64"/>
      <c r="C364" s="30"/>
      <c r="D364" s="30"/>
      <c r="E364" s="30"/>
      <c r="F364" s="30"/>
      <c r="G364" s="30"/>
      <c r="J364" s="25"/>
      <c r="K364" s="66"/>
      <c r="S364" s="30"/>
      <c r="T364" s="30"/>
      <c r="U364" s="30"/>
      <c r="V364" s="30"/>
      <c r="Y364" s="30"/>
      <c r="Z364" s="30"/>
    </row>
    <row r="365">
      <c r="A365" s="12" t="s">
        <v>74</v>
      </c>
      <c r="B365" s="64"/>
      <c r="C365" s="30"/>
      <c r="D365" s="30"/>
      <c r="E365" s="30"/>
      <c r="F365" s="30"/>
      <c r="G365" s="30"/>
      <c r="J365" s="25"/>
      <c r="K365" s="66"/>
      <c r="S365" s="30"/>
      <c r="T365" s="30"/>
      <c r="U365" s="30"/>
      <c r="V365" s="30"/>
      <c r="Y365" s="30"/>
      <c r="Z365" s="30"/>
    </row>
    <row r="366">
      <c r="A366" s="12" t="s">
        <v>74</v>
      </c>
      <c r="B366" s="64"/>
      <c r="C366" s="30"/>
      <c r="D366" s="30"/>
      <c r="E366" s="30"/>
      <c r="F366" s="30"/>
      <c r="G366" s="30"/>
      <c r="J366" s="25"/>
      <c r="K366" s="66"/>
      <c r="S366" s="30"/>
      <c r="T366" s="30"/>
      <c r="U366" s="30"/>
      <c r="V366" s="30"/>
      <c r="Y366" s="30"/>
      <c r="Z366" s="30"/>
    </row>
    <row r="367">
      <c r="A367" s="12" t="s">
        <v>74</v>
      </c>
      <c r="B367" s="64"/>
      <c r="C367" s="30"/>
      <c r="D367" s="30"/>
      <c r="E367" s="30"/>
      <c r="F367" s="30"/>
      <c r="G367" s="30"/>
      <c r="J367" s="25"/>
      <c r="K367" s="66"/>
      <c r="S367" s="30"/>
      <c r="T367" s="30"/>
      <c r="U367" s="30"/>
      <c r="V367" s="30"/>
      <c r="Y367" s="30"/>
      <c r="Z367" s="30"/>
    </row>
    <row r="368">
      <c r="A368" s="12" t="s">
        <v>74</v>
      </c>
      <c r="B368" s="64"/>
      <c r="C368" s="30"/>
      <c r="D368" s="30"/>
      <c r="E368" s="30"/>
      <c r="F368" s="30"/>
      <c r="G368" s="30"/>
      <c r="J368" s="25"/>
      <c r="K368" s="66"/>
      <c r="S368" s="30"/>
      <c r="T368" s="30"/>
      <c r="U368" s="30"/>
      <c r="V368" s="30"/>
      <c r="Y368" s="30"/>
      <c r="Z368" s="30"/>
    </row>
    <row r="369">
      <c r="A369" s="12" t="s">
        <v>74</v>
      </c>
      <c r="B369" s="64"/>
      <c r="C369" s="30"/>
      <c r="D369" s="30"/>
      <c r="E369" s="30"/>
      <c r="F369" s="30"/>
      <c r="G369" s="30"/>
      <c r="J369" s="25"/>
      <c r="K369" s="66"/>
      <c r="S369" s="30"/>
      <c r="T369" s="30"/>
      <c r="U369" s="30"/>
      <c r="V369" s="30"/>
      <c r="Y369" s="30"/>
      <c r="Z369" s="30"/>
    </row>
    <row r="370">
      <c r="A370" s="12" t="s">
        <v>74</v>
      </c>
      <c r="B370" s="64"/>
      <c r="C370" s="30"/>
      <c r="D370" s="30"/>
      <c r="E370" s="30"/>
      <c r="F370" s="30"/>
      <c r="G370" s="30"/>
      <c r="J370" s="25"/>
      <c r="K370" s="66"/>
      <c r="S370" s="30"/>
      <c r="T370" s="30"/>
      <c r="U370" s="30"/>
      <c r="V370" s="30"/>
      <c r="Y370" s="30"/>
      <c r="Z370" s="30"/>
    </row>
    <row r="371">
      <c r="A371" s="12" t="s">
        <v>74</v>
      </c>
      <c r="B371" s="64"/>
      <c r="C371" s="30"/>
      <c r="D371" s="30"/>
      <c r="E371" s="30"/>
      <c r="F371" s="30"/>
      <c r="G371" s="30"/>
      <c r="J371" s="25"/>
      <c r="K371" s="66"/>
      <c r="S371" s="30"/>
      <c r="T371" s="30"/>
      <c r="U371" s="30"/>
      <c r="V371" s="30"/>
      <c r="Y371" s="30"/>
      <c r="Z371" s="30"/>
    </row>
    <row r="372">
      <c r="A372" s="12" t="s">
        <v>74</v>
      </c>
      <c r="B372" s="64"/>
      <c r="C372" s="30"/>
      <c r="D372" s="30"/>
      <c r="E372" s="30"/>
      <c r="F372" s="30"/>
      <c r="G372" s="30"/>
      <c r="J372" s="25"/>
      <c r="K372" s="66"/>
      <c r="S372" s="30"/>
      <c r="T372" s="30"/>
      <c r="U372" s="30"/>
      <c r="V372" s="30"/>
      <c r="Y372" s="30"/>
      <c r="Z372" s="30"/>
    </row>
    <row r="373">
      <c r="A373" s="12" t="s">
        <v>74</v>
      </c>
      <c r="B373" s="64"/>
      <c r="C373" s="30"/>
      <c r="D373" s="30"/>
      <c r="E373" s="30"/>
      <c r="F373" s="30"/>
      <c r="G373" s="30"/>
      <c r="J373" s="25"/>
      <c r="K373" s="66"/>
      <c r="S373" s="30"/>
      <c r="T373" s="30"/>
      <c r="U373" s="30"/>
      <c r="V373" s="30"/>
      <c r="Y373" s="30"/>
      <c r="Z373" s="30"/>
    </row>
    <row r="374">
      <c r="A374" s="12" t="s">
        <v>74</v>
      </c>
      <c r="B374" s="64"/>
      <c r="C374" s="30"/>
      <c r="D374" s="30"/>
      <c r="E374" s="30"/>
      <c r="F374" s="30"/>
      <c r="G374" s="30"/>
      <c r="J374" s="25"/>
      <c r="K374" s="66"/>
      <c r="S374" s="30"/>
      <c r="T374" s="30"/>
      <c r="U374" s="30"/>
      <c r="V374" s="30"/>
      <c r="Y374" s="30"/>
      <c r="Z374" s="30"/>
    </row>
    <row r="375">
      <c r="A375" s="12" t="s">
        <v>74</v>
      </c>
      <c r="B375" s="64"/>
      <c r="C375" s="30"/>
      <c r="D375" s="30"/>
      <c r="E375" s="30"/>
      <c r="F375" s="30"/>
      <c r="G375" s="30"/>
      <c r="J375" s="25"/>
      <c r="K375" s="66"/>
      <c r="S375" s="30"/>
      <c r="T375" s="30"/>
      <c r="U375" s="30"/>
      <c r="V375" s="30"/>
      <c r="Y375" s="30"/>
      <c r="Z375" s="30"/>
    </row>
    <row r="376">
      <c r="A376" s="12" t="s">
        <v>74</v>
      </c>
      <c r="B376" s="64"/>
      <c r="C376" s="30"/>
      <c r="D376" s="30"/>
      <c r="E376" s="30"/>
      <c r="F376" s="30"/>
      <c r="G376" s="30"/>
      <c r="J376" s="25"/>
      <c r="K376" s="66"/>
      <c r="S376" s="30"/>
      <c r="T376" s="30"/>
      <c r="U376" s="30"/>
      <c r="V376" s="30"/>
      <c r="Y376" s="30"/>
      <c r="Z376" s="30"/>
    </row>
    <row r="377">
      <c r="A377" s="12" t="s">
        <v>74</v>
      </c>
      <c r="B377" s="64"/>
      <c r="C377" s="30"/>
      <c r="D377" s="30"/>
      <c r="E377" s="30"/>
      <c r="F377" s="30"/>
      <c r="G377" s="30"/>
      <c r="J377" s="25"/>
      <c r="K377" s="66"/>
      <c r="S377" s="30"/>
      <c r="T377" s="30"/>
      <c r="U377" s="30"/>
      <c r="V377" s="30"/>
      <c r="Y377" s="30"/>
      <c r="Z377" s="30"/>
    </row>
    <row r="378">
      <c r="A378" s="12" t="s">
        <v>74</v>
      </c>
      <c r="B378" s="64"/>
      <c r="C378" s="30"/>
      <c r="D378" s="30"/>
      <c r="E378" s="30"/>
      <c r="F378" s="30"/>
      <c r="G378" s="30"/>
      <c r="J378" s="25"/>
      <c r="K378" s="66"/>
      <c r="S378" s="30"/>
      <c r="T378" s="30"/>
      <c r="U378" s="30"/>
      <c r="V378" s="30"/>
      <c r="Y378" s="30"/>
      <c r="Z378" s="30"/>
    </row>
    <row r="379">
      <c r="A379" s="12" t="s">
        <v>74</v>
      </c>
      <c r="B379" s="64"/>
      <c r="C379" s="30"/>
      <c r="D379" s="30"/>
      <c r="E379" s="30"/>
      <c r="F379" s="30"/>
      <c r="G379" s="30"/>
      <c r="J379" s="25"/>
      <c r="K379" s="66"/>
      <c r="S379" s="30"/>
      <c r="T379" s="30"/>
      <c r="U379" s="30"/>
      <c r="V379" s="30"/>
      <c r="Y379" s="30"/>
      <c r="Z379" s="30"/>
    </row>
    <row r="380">
      <c r="A380" s="12" t="s">
        <v>74</v>
      </c>
      <c r="B380" s="64"/>
      <c r="C380" s="30"/>
      <c r="D380" s="30"/>
      <c r="E380" s="30"/>
      <c r="F380" s="30"/>
      <c r="G380" s="30"/>
      <c r="J380" s="25"/>
      <c r="K380" s="66"/>
      <c r="S380" s="30"/>
      <c r="T380" s="30"/>
      <c r="U380" s="30"/>
      <c r="V380" s="30"/>
      <c r="Y380" s="30"/>
      <c r="Z380" s="30"/>
    </row>
    <row r="381">
      <c r="A381" s="12" t="s">
        <v>74</v>
      </c>
      <c r="B381" s="64"/>
      <c r="C381" s="30"/>
      <c r="D381" s="30"/>
      <c r="E381" s="30"/>
      <c r="F381" s="30"/>
      <c r="G381" s="30"/>
      <c r="J381" s="25"/>
      <c r="K381" s="66"/>
      <c r="S381" s="30"/>
      <c r="T381" s="30"/>
      <c r="U381" s="30"/>
      <c r="V381" s="30"/>
      <c r="Y381" s="30"/>
      <c r="Z381" s="30"/>
    </row>
    <row r="382">
      <c r="A382" s="12" t="s">
        <v>74</v>
      </c>
      <c r="B382" s="64"/>
      <c r="C382" s="30"/>
      <c r="D382" s="30"/>
      <c r="E382" s="30"/>
      <c r="F382" s="30"/>
      <c r="G382" s="30"/>
      <c r="J382" s="25"/>
      <c r="K382" s="66"/>
      <c r="S382" s="30"/>
      <c r="T382" s="30"/>
      <c r="U382" s="30"/>
      <c r="V382" s="30"/>
      <c r="Y382" s="30"/>
      <c r="Z382" s="30"/>
    </row>
    <row r="383">
      <c r="A383" s="12" t="s">
        <v>74</v>
      </c>
      <c r="B383" s="64"/>
      <c r="C383" s="30"/>
      <c r="D383" s="30"/>
      <c r="E383" s="30"/>
      <c r="F383" s="30"/>
      <c r="G383" s="30"/>
      <c r="J383" s="25"/>
      <c r="K383" s="66"/>
      <c r="S383" s="30"/>
      <c r="T383" s="30"/>
      <c r="U383" s="30"/>
      <c r="V383" s="30"/>
      <c r="Y383" s="30"/>
      <c r="Z383" s="30"/>
    </row>
    <row r="384">
      <c r="A384" s="12" t="s">
        <v>74</v>
      </c>
      <c r="B384" s="64"/>
      <c r="C384" s="30"/>
      <c r="D384" s="30"/>
      <c r="E384" s="30"/>
      <c r="F384" s="30"/>
      <c r="G384" s="30"/>
      <c r="J384" s="25"/>
      <c r="K384" s="66"/>
      <c r="S384" s="30"/>
      <c r="T384" s="30"/>
      <c r="U384" s="30"/>
      <c r="V384" s="30"/>
      <c r="Y384" s="30"/>
      <c r="Z384" s="30"/>
    </row>
    <row r="385">
      <c r="A385" s="12" t="s">
        <v>74</v>
      </c>
      <c r="B385" s="64"/>
      <c r="C385" s="30"/>
      <c r="D385" s="30"/>
      <c r="E385" s="30"/>
      <c r="F385" s="30"/>
      <c r="G385" s="30"/>
      <c r="J385" s="25"/>
      <c r="K385" s="66"/>
      <c r="S385" s="30"/>
      <c r="T385" s="30"/>
      <c r="U385" s="30"/>
      <c r="V385" s="30"/>
      <c r="Y385" s="30"/>
      <c r="Z385" s="30"/>
    </row>
    <row r="386">
      <c r="A386" s="12" t="s">
        <v>74</v>
      </c>
      <c r="B386" s="64"/>
      <c r="C386" s="30"/>
      <c r="D386" s="30"/>
      <c r="E386" s="30"/>
      <c r="F386" s="30"/>
      <c r="G386" s="30"/>
      <c r="J386" s="25"/>
      <c r="K386" s="66"/>
      <c r="S386" s="30"/>
      <c r="T386" s="30"/>
      <c r="U386" s="30"/>
      <c r="V386" s="30"/>
      <c r="Y386" s="30"/>
      <c r="Z386" s="30"/>
    </row>
    <row r="387">
      <c r="A387" s="12" t="s">
        <v>74</v>
      </c>
      <c r="B387" s="64"/>
      <c r="C387" s="30"/>
      <c r="D387" s="30"/>
      <c r="E387" s="30"/>
      <c r="F387" s="30"/>
      <c r="G387" s="30"/>
      <c r="J387" s="25"/>
      <c r="K387" s="66"/>
      <c r="S387" s="30"/>
      <c r="T387" s="30"/>
      <c r="U387" s="30"/>
      <c r="V387" s="30"/>
      <c r="Y387" s="30"/>
      <c r="Z387" s="30"/>
    </row>
    <row r="388">
      <c r="A388" s="12" t="s">
        <v>74</v>
      </c>
      <c r="B388" s="64"/>
      <c r="C388" s="30"/>
      <c r="D388" s="30"/>
      <c r="E388" s="30"/>
      <c r="F388" s="30"/>
      <c r="G388" s="30"/>
      <c r="J388" s="25"/>
      <c r="K388" s="66"/>
      <c r="S388" s="30"/>
      <c r="T388" s="30"/>
      <c r="U388" s="30"/>
      <c r="V388" s="30"/>
      <c r="Y388" s="30"/>
      <c r="Z388" s="30"/>
    </row>
    <row r="389">
      <c r="A389" s="12" t="s">
        <v>74</v>
      </c>
      <c r="B389" s="64"/>
      <c r="C389" s="30"/>
      <c r="D389" s="30"/>
      <c r="E389" s="30"/>
      <c r="F389" s="30"/>
      <c r="G389" s="30"/>
      <c r="J389" s="25"/>
      <c r="K389" s="66"/>
      <c r="S389" s="30"/>
      <c r="T389" s="30"/>
      <c r="U389" s="30"/>
      <c r="V389" s="30"/>
      <c r="Y389" s="30"/>
      <c r="Z389" s="30"/>
    </row>
    <row r="390">
      <c r="A390" s="12" t="s">
        <v>74</v>
      </c>
      <c r="B390" s="64"/>
      <c r="C390" s="30"/>
      <c r="D390" s="30"/>
      <c r="E390" s="30"/>
      <c r="F390" s="30"/>
      <c r="G390" s="30"/>
      <c r="J390" s="25"/>
      <c r="K390" s="66"/>
      <c r="S390" s="30"/>
      <c r="T390" s="30"/>
      <c r="U390" s="30"/>
      <c r="V390" s="30"/>
      <c r="Y390" s="30"/>
      <c r="Z390" s="30"/>
    </row>
    <row r="391">
      <c r="A391" s="12" t="s">
        <v>74</v>
      </c>
      <c r="B391" s="64"/>
      <c r="C391" s="30"/>
      <c r="D391" s="30"/>
      <c r="E391" s="30"/>
      <c r="F391" s="30"/>
      <c r="G391" s="30"/>
      <c r="J391" s="25"/>
      <c r="K391" s="66"/>
      <c r="S391" s="30"/>
      <c r="T391" s="30"/>
      <c r="U391" s="30"/>
      <c r="V391" s="30"/>
      <c r="Y391" s="30"/>
      <c r="Z391" s="30"/>
    </row>
    <row r="392">
      <c r="A392" s="12" t="s">
        <v>74</v>
      </c>
      <c r="B392" s="64"/>
      <c r="C392" s="30"/>
      <c r="D392" s="30"/>
      <c r="E392" s="30"/>
      <c r="F392" s="30"/>
      <c r="G392" s="30"/>
      <c r="J392" s="25"/>
      <c r="K392" s="66"/>
      <c r="S392" s="30"/>
      <c r="T392" s="30"/>
      <c r="U392" s="30"/>
      <c r="V392" s="30"/>
      <c r="Y392" s="30"/>
      <c r="Z392" s="30"/>
    </row>
    <row r="393">
      <c r="A393" s="12" t="s">
        <v>74</v>
      </c>
      <c r="B393" s="64"/>
      <c r="C393" s="30"/>
      <c r="D393" s="30"/>
      <c r="E393" s="30"/>
      <c r="F393" s="30"/>
      <c r="G393" s="30"/>
      <c r="J393" s="25"/>
      <c r="K393" s="66"/>
      <c r="S393" s="30"/>
      <c r="T393" s="30"/>
      <c r="U393" s="30"/>
      <c r="V393" s="30"/>
      <c r="Y393" s="30"/>
      <c r="Z393" s="30"/>
    </row>
    <row r="394">
      <c r="A394" s="12" t="s">
        <v>74</v>
      </c>
      <c r="B394" s="64"/>
      <c r="C394" s="30"/>
      <c r="D394" s="30"/>
      <c r="E394" s="30"/>
      <c r="F394" s="30"/>
      <c r="G394" s="30"/>
      <c r="J394" s="25"/>
      <c r="K394" s="66"/>
      <c r="S394" s="30"/>
      <c r="T394" s="30"/>
      <c r="U394" s="30"/>
      <c r="V394" s="30"/>
      <c r="Y394" s="30"/>
      <c r="Z394" s="30"/>
    </row>
    <row r="395">
      <c r="A395" s="12" t="s">
        <v>74</v>
      </c>
      <c r="B395" s="64"/>
      <c r="C395" s="30"/>
      <c r="D395" s="30"/>
      <c r="E395" s="30"/>
      <c r="F395" s="30"/>
      <c r="G395" s="30"/>
      <c r="J395" s="25"/>
      <c r="K395" s="66"/>
      <c r="S395" s="30"/>
      <c r="T395" s="30"/>
      <c r="U395" s="30"/>
      <c r="V395" s="30"/>
      <c r="Y395" s="30"/>
      <c r="Z395" s="30"/>
    </row>
    <row r="396">
      <c r="A396" s="12" t="s">
        <v>74</v>
      </c>
      <c r="B396" s="64"/>
      <c r="C396" s="30"/>
      <c r="D396" s="30"/>
      <c r="E396" s="30"/>
      <c r="F396" s="30"/>
      <c r="G396" s="30"/>
      <c r="J396" s="25"/>
      <c r="K396" s="66"/>
      <c r="S396" s="30"/>
      <c r="T396" s="30"/>
      <c r="U396" s="30"/>
      <c r="V396" s="30"/>
      <c r="Y396" s="30"/>
      <c r="Z396" s="30"/>
    </row>
    <row r="397">
      <c r="A397" s="12" t="s">
        <v>74</v>
      </c>
      <c r="B397" s="64"/>
      <c r="C397" s="30"/>
      <c r="D397" s="30"/>
      <c r="E397" s="30"/>
      <c r="F397" s="30"/>
      <c r="G397" s="30"/>
      <c r="J397" s="25"/>
      <c r="K397" s="66"/>
      <c r="S397" s="30"/>
      <c r="T397" s="30"/>
      <c r="U397" s="30"/>
      <c r="V397" s="30"/>
      <c r="Y397" s="30"/>
      <c r="Z397" s="30"/>
    </row>
    <row r="398">
      <c r="A398" s="12" t="s">
        <v>74</v>
      </c>
      <c r="B398" s="64"/>
      <c r="C398" s="30"/>
      <c r="D398" s="30"/>
      <c r="E398" s="30"/>
      <c r="F398" s="30"/>
      <c r="G398" s="30"/>
      <c r="J398" s="25"/>
      <c r="K398" s="66"/>
      <c r="S398" s="30"/>
      <c r="T398" s="30"/>
      <c r="U398" s="30"/>
      <c r="V398" s="30"/>
      <c r="Y398" s="30"/>
      <c r="Z398" s="30"/>
    </row>
    <row r="399">
      <c r="A399" s="12" t="s">
        <v>74</v>
      </c>
      <c r="B399" s="64"/>
      <c r="C399" s="30"/>
      <c r="D399" s="30"/>
      <c r="E399" s="30"/>
      <c r="F399" s="30"/>
      <c r="G399" s="30"/>
      <c r="J399" s="25"/>
      <c r="K399" s="66"/>
      <c r="S399" s="30"/>
      <c r="T399" s="30"/>
      <c r="U399" s="30"/>
      <c r="V399" s="30"/>
      <c r="Y399" s="30"/>
      <c r="Z399" s="30"/>
    </row>
    <row r="400">
      <c r="A400" s="12" t="s">
        <v>74</v>
      </c>
      <c r="B400" s="64"/>
      <c r="C400" s="30"/>
      <c r="D400" s="30"/>
      <c r="E400" s="30"/>
      <c r="F400" s="30"/>
      <c r="G400" s="30"/>
      <c r="J400" s="25"/>
      <c r="K400" s="66"/>
      <c r="S400" s="30"/>
      <c r="T400" s="30"/>
      <c r="U400" s="30"/>
      <c r="V400" s="30"/>
      <c r="Y400" s="30"/>
      <c r="Z400" s="30"/>
    </row>
    <row r="401">
      <c r="A401" s="12" t="s">
        <v>74</v>
      </c>
      <c r="B401" s="64"/>
      <c r="C401" s="30"/>
      <c r="D401" s="30"/>
      <c r="E401" s="30"/>
      <c r="F401" s="30"/>
      <c r="G401" s="30"/>
      <c r="J401" s="25"/>
      <c r="K401" s="66"/>
      <c r="S401" s="30"/>
      <c r="T401" s="30"/>
      <c r="U401" s="30"/>
      <c r="V401" s="30"/>
      <c r="Y401" s="30"/>
      <c r="Z401" s="30"/>
    </row>
    <row r="402">
      <c r="A402" s="12" t="s">
        <v>74</v>
      </c>
      <c r="B402" s="64"/>
      <c r="C402" s="30"/>
      <c r="D402" s="30"/>
      <c r="E402" s="30"/>
      <c r="F402" s="30"/>
      <c r="G402" s="30"/>
      <c r="J402" s="25"/>
      <c r="K402" s="66"/>
      <c r="S402" s="30"/>
      <c r="T402" s="30"/>
      <c r="U402" s="30"/>
      <c r="V402" s="30"/>
      <c r="Y402" s="30"/>
      <c r="Z402" s="30"/>
    </row>
    <row r="403">
      <c r="A403" s="12" t="s">
        <v>74</v>
      </c>
      <c r="B403" s="64"/>
      <c r="C403" s="30"/>
      <c r="D403" s="30"/>
      <c r="E403" s="30"/>
      <c r="F403" s="30"/>
      <c r="G403" s="30"/>
      <c r="J403" s="25"/>
      <c r="K403" s="66"/>
      <c r="S403" s="30"/>
      <c r="T403" s="30"/>
      <c r="U403" s="30"/>
      <c r="V403" s="30"/>
      <c r="Y403" s="30"/>
      <c r="Z403" s="30"/>
    </row>
    <row r="404">
      <c r="A404" s="12" t="s">
        <v>74</v>
      </c>
      <c r="B404" s="64"/>
      <c r="C404" s="30"/>
      <c r="D404" s="30"/>
      <c r="E404" s="30"/>
      <c r="F404" s="30"/>
      <c r="G404" s="30"/>
      <c r="J404" s="25"/>
      <c r="K404" s="66"/>
      <c r="S404" s="30"/>
      <c r="T404" s="30"/>
      <c r="U404" s="30"/>
      <c r="V404" s="30"/>
      <c r="Y404" s="30"/>
      <c r="Z404" s="30"/>
    </row>
    <row r="405">
      <c r="A405" s="12" t="s">
        <v>74</v>
      </c>
      <c r="B405" s="64"/>
      <c r="C405" s="30"/>
      <c r="D405" s="30"/>
      <c r="E405" s="30"/>
      <c r="F405" s="30"/>
      <c r="G405" s="30"/>
      <c r="J405" s="25"/>
      <c r="K405" s="66"/>
      <c r="S405" s="30"/>
      <c r="T405" s="30"/>
      <c r="U405" s="30"/>
      <c r="V405" s="30"/>
      <c r="Y405" s="30"/>
      <c r="Z405" s="30"/>
    </row>
    <row r="406">
      <c r="A406" s="12" t="s">
        <v>74</v>
      </c>
      <c r="B406" s="64"/>
      <c r="C406" s="30"/>
      <c r="D406" s="30"/>
      <c r="E406" s="30"/>
      <c r="F406" s="30"/>
      <c r="G406" s="30"/>
      <c r="J406" s="25"/>
      <c r="K406" s="66"/>
      <c r="S406" s="30"/>
      <c r="T406" s="30"/>
      <c r="U406" s="30"/>
      <c r="V406" s="30"/>
      <c r="Y406" s="30"/>
      <c r="Z406" s="30"/>
    </row>
    <row r="407">
      <c r="A407" s="12" t="s">
        <v>74</v>
      </c>
      <c r="B407" s="64"/>
      <c r="C407" s="30"/>
      <c r="D407" s="30"/>
      <c r="E407" s="30"/>
      <c r="F407" s="30"/>
      <c r="G407" s="30"/>
      <c r="J407" s="25"/>
      <c r="K407" s="66"/>
      <c r="S407" s="30"/>
      <c r="T407" s="30"/>
      <c r="U407" s="30"/>
      <c r="V407" s="30"/>
      <c r="Y407" s="30"/>
      <c r="Z407" s="30"/>
    </row>
    <row r="408">
      <c r="A408" s="12" t="s">
        <v>74</v>
      </c>
      <c r="B408" s="64"/>
      <c r="C408" s="30"/>
      <c r="D408" s="30"/>
      <c r="E408" s="30"/>
      <c r="F408" s="30"/>
      <c r="G408" s="30"/>
      <c r="J408" s="25"/>
      <c r="K408" s="66"/>
      <c r="S408" s="30"/>
      <c r="T408" s="30"/>
      <c r="U408" s="30"/>
      <c r="V408" s="30"/>
      <c r="Y408" s="30"/>
      <c r="Z408" s="30"/>
    </row>
    <row r="409">
      <c r="A409" s="12" t="s">
        <v>74</v>
      </c>
      <c r="B409" s="64"/>
      <c r="C409" s="30"/>
      <c r="D409" s="30"/>
      <c r="E409" s="30"/>
      <c r="F409" s="30"/>
      <c r="G409" s="30"/>
      <c r="J409" s="25"/>
      <c r="K409" s="66"/>
      <c r="S409" s="30"/>
      <c r="T409" s="30"/>
      <c r="U409" s="30"/>
      <c r="V409" s="30"/>
      <c r="Y409" s="30"/>
      <c r="Z409" s="30"/>
    </row>
    <row r="410">
      <c r="A410" s="12" t="s">
        <v>74</v>
      </c>
      <c r="B410" s="64"/>
      <c r="C410" s="30"/>
      <c r="D410" s="30"/>
      <c r="E410" s="30"/>
      <c r="F410" s="30"/>
      <c r="G410" s="30"/>
      <c r="J410" s="25"/>
      <c r="K410" s="66"/>
      <c r="S410" s="30"/>
      <c r="T410" s="30"/>
      <c r="U410" s="30"/>
      <c r="V410" s="30"/>
      <c r="Y410" s="30"/>
      <c r="Z410" s="30"/>
    </row>
    <row r="411">
      <c r="A411" s="12" t="s">
        <v>74</v>
      </c>
      <c r="B411" s="64"/>
      <c r="C411" s="30"/>
      <c r="D411" s="30"/>
      <c r="E411" s="30"/>
      <c r="F411" s="30"/>
      <c r="G411" s="30"/>
      <c r="J411" s="25"/>
      <c r="K411" s="66"/>
      <c r="S411" s="30"/>
      <c r="T411" s="30"/>
      <c r="U411" s="30"/>
      <c r="V411" s="30"/>
      <c r="Y411" s="30"/>
      <c r="Z411" s="30"/>
    </row>
    <row r="412">
      <c r="A412" s="12" t="s">
        <v>74</v>
      </c>
      <c r="B412" s="64"/>
      <c r="C412" s="30"/>
      <c r="D412" s="30"/>
      <c r="E412" s="30"/>
      <c r="F412" s="30"/>
      <c r="G412" s="30"/>
      <c r="J412" s="25"/>
      <c r="K412" s="66"/>
      <c r="S412" s="30"/>
      <c r="T412" s="30"/>
      <c r="U412" s="30"/>
      <c r="V412" s="30"/>
      <c r="Y412" s="30"/>
      <c r="Z412" s="30"/>
    </row>
    <row r="413">
      <c r="A413" s="12" t="s">
        <v>74</v>
      </c>
      <c r="B413" s="64"/>
      <c r="C413" s="30"/>
      <c r="D413" s="30"/>
      <c r="E413" s="30"/>
      <c r="F413" s="30"/>
      <c r="G413" s="30"/>
      <c r="J413" s="25"/>
      <c r="K413" s="66"/>
      <c r="S413" s="30"/>
      <c r="T413" s="30"/>
      <c r="U413" s="30"/>
      <c r="V413" s="30"/>
      <c r="Y413" s="30"/>
      <c r="Z413" s="30"/>
    </row>
    <row r="414">
      <c r="A414" s="12" t="s">
        <v>74</v>
      </c>
      <c r="B414" s="64"/>
      <c r="C414" s="30"/>
      <c r="D414" s="30"/>
      <c r="E414" s="30"/>
      <c r="F414" s="30"/>
      <c r="G414" s="30"/>
      <c r="J414" s="25"/>
      <c r="K414" s="66"/>
      <c r="S414" s="30"/>
      <c r="T414" s="30"/>
      <c r="U414" s="30"/>
      <c r="V414" s="30"/>
      <c r="Y414" s="30"/>
      <c r="Z414" s="30"/>
    </row>
    <row r="415">
      <c r="A415" s="12" t="s">
        <v>74</v>
      </c>
      <c r="B415" s="64"/>
      <c r="C415" s="30"/>
      <c r="D415" s="30"/>
      <c r="E415" s="30"/>
      <c r="F415" s="30"/>
      <c r="G415" s="30"/>
      <c r="J415" s="25"/>
      <c r="K415" s="66"/>
      <c r="S415" s="30"/>
      <c r="T415" s="30"/>
      <c r="U415" s="30"/>
      <c r="V415" s="30"/>
      <c r="Y415" s="30"/>
      <c r="Z415" s="30"/>
    </row>
    <row r="416">
      <c r="A416" s="12" t="s">
        <v>74</v>
      </c>
      <c r="B416" s="64"/>
      <c r="C416" s="30"/>
      <c r="D416" s="30"/>
      <c r="E416" s="30"/>
      <c r="F416" s="30"/>
      <c r="G416" s="30"/>
      <c r="J416" s="25"/>
      <c r="K416" s="66"/>
      <c r="S416" s="30"/>
      <c r="T416" s="30"/>
      <c r="U416" s="30"/>
      <c r="V416" s="30"/>
      <c r="Y416" s="30"/>
      <c r="Z416" s="30"/>
    </row>
    <row r="417">
      <c r="A417" s="12" t="s">
        <v>74</v>
      </c>
      <c r="B417" s="64"/>
      <c r="C417" s="30"/>
      <c r="D417" s="30"/>
      <c r="E417" s="30"/>
      <c r="F417" s="30"/>
      <c r="G417" s="30"/>
      <c r="J417" s="25"/>
      <c r="K417" s="66"/>
      <c r="S417" s="30"/>
      <c r="T417" s="30"/>
      <c r="U417" s="30"/>
      <c r="V417" s="30"/>
      <c r="Y417" s="30"/>
      <c r="Z417" s="30"/>
    </row>
    <row r="418">
      <c r="A418" s="12" t="s">
        <v>74</v>
      </c>
      <c r="B418" s="64"/>
      <c r="C418" s="30"/>
      <c r="D418" s="30"/>
      <c r="E418" s="30"/>
      <c r="F418" s="30"/>
      <c r="G418" s="30"/>
      <c r="J418" s="25"/>
      <c r="K418" s="66"/>
      <c r="S418" s="30"/>
      <c r="T418" s="30"/>
      <c r="U418" s="30"/>
      <c r="V418" s="30"/>
      <c r="Y418" s="30"/>
      <c r="Z418" s="30"/>
    </row>
    <row r="419">
      <c r="A419" s="12" t="s">
        <v>74</v>
      </c>
      <c r="B419" s="64"/>
      <c r="C419" s="30"/>
      <c r="D419" s="30"/>
      <c r="E419" s="30"/>
      <c r="F419" s="30"/>
      <c r="G419" s="30"/>
      <c r="J419" s="25"/>
      <c r="K419" s="66"/>
      <c r="S419" s="30"/>
      <c r="T419" s="30"/>
      <c r="U419" s="30"/>
      <c r="V419" s="30"/>
      <c r="Y419" s="30"/>
      <c r="Z419" s="30"/>
    </row>
    <row r="420">
      <c r="A420" s="12" t="s">
        <v>74</v>
      </c>
      <c r="B420" s="64"/>
      <c r="C420" s="30"/>
      <c r="D420" s="30"/>
      <c r="E420" s="30"/>
      <c r="F420" s="30"/>
      <c r="G420" s="30"/>
      <c r="J420" s="25"/>
      <c r="K420" s="66"/>
      <c r="S420" s="30"/>
      <c r="T420" s="30"/>
      <c r="U420" s="30"/>
      <c r="V420" s="30"/>
      <c r="Y420" s="30"/>
      <c r="Z420" s="30"/>
    </row>
    <row r="421">
      <c r="A421" s="12" t="s">
        <v>74</v>
      </c>
      <c r="B421" s="64"/>
      <c r="C421" s="30"/>
      <c r="D421" s="30"/>
      <c r="E421" s="30"/>
      <c r="F421" s="30"/>
      <c r="G421" s="30"/>
      <c r="J421" s="25"/>
      <c r="K421" s="66"/>
      <c r="S421" s="30"/>
      <c r="T421" s="30"/>
      <c r="U421" s="30"/>
      <c r="V421" s="30"/>
      <c r="Y421" s="30"/>
      <c r="Z421" s="30"/>
    </row>
    <row r="422">
      <c r="A422" s="12" t="s">
        <v>74</v>
      </c>
      <c r="B422" s="64"/>
      <c r="C422" s="30"/>
      <c r="D422" s="30"/>
      <c r="E422" s="30"/>
      <c r="F422" s="30"/>
      <c r="G422" s="30"/>
      <c r="J422" s="25"/>
      <c r="K422" s="66"/>
      <c r="S422" s="30"/>
      <c r="T422" s="30"/>
      <c r="U422" s="30"/>
      <c r="V422" s="30"/>
      <c r="Y422" s="30"/>
      <c r="Z422" s="30"/>
    </row>
    <row r="423">
      <c r="A423" s="12" t="s">
        <v>74</v>
      </c>
      <c r="B423" s="64"/>
      <c r="C423" s="30"/>
      <c r="D423" s="30"/>
      <c r="E423" s="30"/>
      <c r="F423" s="30"/>
      <c r="G423" s="30"/>
      <c r="J423" s="25"/>
      <c r="K423" s="66"/>
      <c r="S423" s="30"/>
      <c r="T423" s="30"/>
      <c r="U423" s="30"/>
      <c r="V423" s="30"/>
      <c r="Y423" s="30"/>
      <c r="Z423" s="30"/>
    </row>
    <row r="424">
      <c r="A424" s="12" t="s">
        <v>74</v>
      </c>
      <c r="B424" s="64"/>
      <c r="C424" s="30"/>
      <c r="D424" s="30"/>
      <c r="E424" s="30"/>
      <c r="F424" s="30"/>
      <c r="G424" s="30"/>
      <c r="J424" s="25"/>
      <c r="K424" s="66"/>
      <c r="S424" s="30"/>
      <c r="T424" s="30"/>
      <c r="U424" s="30"/>
      <c r="V424" s="30"/>
      <c r="Y424" s="30"/>
      <c r="Z424" s="30"/>
    </row>
    <row r="425">
      <c r="A425" s="12" t="s">
        <v>74</v>
      </c>
      <c r="B425" s="64"/>
      <c r="C425" s="30"/>
      <c r="D425" s="30"/>
      <c r="E425" s="30"/>
      <c r="F425" s="30"/>
      <c r="G425" s="30"/>
      <c r="J425" s="25"/>
      <c r="K425" s="66"/>
      <c r="S425" s="30"/>
      <c r="T425" s="30"/>
      <c r="U425" s="30"/>
      <c r="V425" s="30"/>
      <c r="Y425" s="30"/>
      <c r="Z425" s="30"/>
    </row>
    <row r="426">
      <c r="A426" s="12" t="s">
        <v>74</v>
      </c>
      <c r="B426" s="64"/>
      <c r="C426" s="30"/>
      <c r="D426" s="30"/>
      <c r="E426" s="30"/>
      <c r="F426" s="30"/>
      <c r="G426" s="30"/>
      <c r="J426" s="25"/>
      <c r="K426" s="66"/>
      <c r="S426" s="30"/>
      <c r="T426" s="30"/>
      <c r="U426" s="30"/>
      <c r="V426" s="30"/>
      <c r="Y426" s="30"/>
      <c r="Z426" s="30"/>
    </row>
    <row r="427">
      <c r="A427" s="12" t="s">
        <v>74</v>
      </c>
      <c r="B427" s="64"/>
      <c r="C427" s="30"/>
      <c r="D427" s="30"/>
      <c r="E427" s="30"/>
      <c r="F427" s="30"/>
      <c r="G427" s="30"/>
      <c r="J427" s="25"/>
      <c r="K427" s="66"/>
      <c r="S427" s="30"/>
      <c r="T427" s="30"/>
      <c r="U427" s="30"/>
      <c r="V427" s="30"/>
      <c r="Y427" s="30"/>
      <c r="Z427" s="30"/>
    </row>
    <row r="428">
      <c r="A428" s="12" t="s">
        <v>74</v>
      </c>
      <c r="B428" s="64"/>
      <c r="C428" s="30"/>
      <c r="D428" s="30"/>
      <c r="E428" s="30"/>
      <c r="F428" s="30"/>
      <c r="G428" s="30"/>
      <c r="J428" s="25"/>
      <c r="K428" s="66"/>
      <c r="S428" s="30"/>
      <c r="T428" s="30"/>
      <c r="U428" s="30"/>
      <c r="V428" s="30"/>
      <c r="Y428" s="30"/>
      <c r="Z428" s="30"/>
    </row>
    <row r="429">
      <c r="A429" s="12" t="s">
        <v>74</v>
      </c>
      <c r="B429" s="64"/>
      <c r="C429" s="30"/>
      <c r="D429" s="30"/>
      <c r="E429" s="30"/>
      <c r="F429" s="30"/>
      <c r="G429" s="30"/>
      <c r="J429" s="25"/>
      <c r="K429" s="66"/>
      <c r="S429" s="30"/>
      <c r="T429" s="30"/>
      <c r="U429" s="30"/>
      <c r="V429" s="30"/>
      <c r="Y429" s="30"/>
      <c r="Z429" s="30"/>
    </row>
    <row r="430">
      <c r="A430" s="12" t="s">
        <v>74</v>
      </c>
      <c r="B430" s="64"/>
      <c r="C430" s="30"/>
      <c r="D430" s="30"/>
      <c r="E430" s="30"/>
      <c r="F430" s="30"/>
      <c r="G430" s="30"/>
      <c r="J430" s="25"/>
      <c r="K430" s="66"/>
      <c r="S430" s="30"/>
      <c r="T430" s="30"/>
      <c r="U430" s="30"/>
      <c r="V430" s="30"/>
      <c r="Y430" s="30"/>
      <c r="Z430" s="30"/>
    </row>
    <row r="431">
      <c r="A431" s="12" t="s">
        <v>74</v>
      </c>
      <c r="B431" s="64"/>
      <c r="C431" s="30"/>
      <c r="D431" s="30"/>
      <c r="E431" s="30"/>
      <c r="F431" s="30"/>
      <c r="G431" s="30"/>
      <c r="J431" s="25"/>
      <c r="K431" s="66"/>
      <c r="S431" s="30"/>
      <c r="T431" s="30"/>
      <c r="U431" s="30"/>
      <c r="V431" s="30"/>
      <c r="Y431" s="30"/>
      <c r="Z431" s="30"/>
    </row>
    <row r="432">
      <c r="A432" s="12" t="s">
        <v>74</v>
      </c>
      <c r="B432" s="64"/>
      <c r="C432" s="30"/>
      <c r="D432" s="30"/>
      <c r="E432" s="30"/>
      <c r="F432" s="30"/>
      <c r="G432" s="30"/>
      <c r="J432" s="25"/>
      <c r="K432" s="66"/>
      <c r="S432" s="30"/>
      <c r="T432" s="30"/>
      <c r="U432" s="30"/>
      <c r="V432" s="30"/>
      <c r="Y432" s="30"/>
      <c r="Z432" s="30"/>
    </row>
    <row r="433">
      <c r="A433" s="12" t="s">
        <v>74</v>
      </c>
      <c r="B433" s="64"/>
      <c r="C433" s="30"/>
      <c r="D433" s="30"/>
      <c r="E433" s="30"/>
      <c r="F433" s="30"/>
      <c r="G433" s="30"/>
      <c r="J433" s="25"/>
      <c r="K433" s="66"/>
      <c r="S433" s="30"/>
      <c r="T433" s="30"/>
      <c r="U433" s="30"/>
      <c r="V433" s="30"/>
      <c r="Y433" s="30"/>
      <c r="Z433" s="30"/>
    </row>
    <row r="434">
      <c r="A434" s="12" t="s">
        <v>74</v>
      </c>
      <c r="B434" s="64"/>
      <c r="C434" s="30"/>
      <c r="D434" s="30"/>
      <c r="E434" s="30"/>
      <c r="F434" s="30"/>
      <c r="G434" s="30"/>
      <c r="J434" s="25"/>
      <c r="K434" s="66"/>
      <c r="S434" s="30"/>
      <c r="T434" s="30"/>
      <c r="U434" s="30"/>
      <c r="V434" s="30"/>
      <c r="Y434" s="30"/>
      <c r="Z434" s="30"/>
    </row>
    <row r="435">
      <c r="A435" s="12" t="s">
        <v>74</v>
      </c>
      <c r="B435" s="64"/>
      <c r="C435" s="30"/>
      <c r="D435" s="30"/>
      <c r="E435" s="30"/>
      <c r="F435" s="30"/>
      <c r="G435" s="30"/>
      <c r="J435" s="25"/>
      <c r="K435" s="66"/>
      <c r="S435" s="30"/>
      <c r="T435" s="30"/>
      <c r="U435" s="30"/>
      <c r="V435" s="30"/>
      <c r="Y435" s="30"/>
      <c r="Z435" s="30"/>
    </row>
    <row r="436">
      <c r="A436" s="12" t="s">
        <v>74</v>
      </c>
      <c r="B436" s="64"/>
      <c r="C436" s="30"/>
      <c r="D436" s="30"/>
      <c r="E436" s="30"/>
      <c r="F436" s="30"/>
      <c r="G436" s="30"/>
      <c r="J436" s="25"/>
      <c r="K436" s="66"/>
      <c r="S436" s="30"/>
      <c r="T436" s="30"/>
      <c r="U436" s="30"/>
      <c r="V436" s="30"/>
      <c r="Y436" s="30"/>
      <c r="Z436" s="30"/>
    </row>
    <row r="437">
      <c r="A437" s="12" t="s">
        <v>74</v>
      </c>
      <c r="B437" s="64"/>
      <c r="C437" s="30"/>
      <c r="D437" s="30"/>
      <c r="E437" s="30"/>
      <c r="F437" s="30"/>
      <c r="G437" s="30"/>
      <c r="J437" s="25"/>
      <c r="K437" s="66"/>
      <c r="S437" s="30"/>
      <c r="T437" s="30"/>
      <c r="U437" s="30"/>
      <c r="V437" s="30"/>
      <c r="Y437" s="30"/>
      <c r="Z437" s="30"/>
    </row>
    <row r="438">
      <c r="A438" s="12" t="s">
        <v>74</v>
      </c>
      <c r="B438" s="64"/>
      <c r="C438" s="30"/>
      <c r="D438" s="30"/>
      <c r="E438" s="30"/>
      <c r="F438" s="30"/>
      <c r="G438" s="30"/>
      <c r="J438" s="25"/>
      <c r="K438" s="66"/>
      <c r="S438" s="30"/>
      <c r="T438" s="30"/>
      <c r="U438" s="30"/>
      <c r="V438" s="30"/>
      <c r="Y438" s="30"/>
      <c r="Z438" s="30"/>
    </row>
    <row r="439">
      <c r="A439" s="12" t="s">
        <v>74</v>
      </c>
      <c r="B439" s="64"/>
      <c r="C439" s="30"/>
      <c r="D439" s="30"/>
      <c r="E439" s="30"/>
      <c r="F439" s="30"/>
      <c r="G439" s="30"/>
      <c r="J439" s="25"/>
      <c r="K439" s="66"/>
      <c r="S439" s="30"/>
      <c r="T439" s="30"/>
      <c r="U439" s="30"/>
      <c r="V439" s="30"/>
      <c r="Y439" s="30"/>
      <c r="Z439" s="30"/>
    </row>
    <row r="440">
      <c r="A440" s="12" t="s">
        <v>74</v>
      </c>
      <c r="B440" s="64"/>
      <c r="C440" s="30"/>
      <c r="D440" s="30"/>
      <c r="E440" s="30"/>
      <c r="F440" s="30"/>
      <c r="G440" s="30"/>
      <c r="J440" s="25"/>
      <c r="K440" s="66"/>
      <c r="S440" s="30"/>
      <c r="T440" s="30"/>
      <c r="U440" s="30"/>
      <c r="V440" s="30"/>
      <c r="Y440" s="30"/>
      <c r="Z440" s="30"/>
    </row>
    <row r="441">
      <c r="A441" s="12" t="s">
        <v>74</v>
      </c>
      <c r="B441" s="64"/>
      <c r="C441" s="30"/>
      <c r="D441" s="30"/>
      <c r="E441" s="30"/>
      <c r="F441" s="30"/>
      <c r="G441" s="30"/>
      <c r="J441" s="25"/>
      <c r="K441" s="66"/>
      <c r="S441" s="30"/>
      <c r="T441" s="30"/>
      <c r="U441" s="30"/>
      <c r="V441" s="30"/>
      <c r="Y441" s="30"/>
      <c r="Z441" s="30"/>
    </row>
    <row r="442">
      <c r="A442" s="12" t="s">
        <v>74</v>
      </c>
      <c r="B442" s="64"/>
      <c r="C442" s="30"/>
      <c r="D442" s="30"/>
      <c r="E442" s="30"/>
      <c r="F442" s="30"/>
      <c r="G442" s="30"/>
      <c r="J442" s="25"/>
      <c r="K442" s="66"/>
      <c r="S442" s="30"/>
      <c r="T442" s="30"/>
      <c r="U442" s="30"/>
      <c r="V442" s="30"/>
      <c r="Y442" s="30"/>
      <c r="Z442" s="30"/>
    </row>
    <row r="443">
      <c r="A443" s="12" t="s">
        <v>74</v>
      </c>
      <c r="B443" s="64"/>
      <c r="C443" s="30"/>
      <c r="D443" s="30"/>
      <c r="E443" s="30"/>
      <c r="F443" s="30"/>
      <c r="G443" s="30"/>
      <c r="J443" s="25"/>
      <c r="K443" s="66"/>
      <c r="S443" s="30"/>
      <c r="T443" s="30"/>
      <c r="U443" s="30"/>
      <c r="V443" s="30"/>
      <c r="Y443" s="30"/>
      <c r="Z443" s="30"/>
    </row>
    <row r="444">
      <c r="A444" s="12" t="s">
        <v>74</v>
      </c>
      <c r="B444" s="64"/>
      <c r="C444" s="30"/>
      <c r="D444" s="30"/>
      <c r="E444" s="30"/>
      <c r="F444" s="30"/>
      <c r="G444" s="30"/>
      <c r="J444" s="25"/>
      <c r="K444" s="66"/>
      <c r="S444" s="30"/>
      <c r="T444" s="30"/>
      <c r="U444" s="30"/>
      <c r="V444" s="30"/>
      <c r="Y444" s="30"/>
      <c r="Z444" s="30"/>
    </row>
    <row r="445">
      <c r="A445" s="12" t="s">
        <v>74</v>
      </c>
      <c r="B445" s="64"/>
      <c r="C445" s="30"/>
      <c r="D445" s="30"/>
      <c r="E445" s="30"/>
      <c r="F445" s="30"/>
      <c r="G445" s="30"/>
      <c r="J445" s="25"/>
      <c r="K445" s="66"/>
      <c r="S445" s="30"/>
      <c r="T445" s="30"/>
      <c r="U445" s="30"/>
      <c r="V445" s="30"/>
      <c r="Y445" s="30"/>
      <c r="Z445" s="30"/>
    </row>
    <row r="446">
      <c r="A446" s="12" t="s">
        <v>74</v>
      </c>
      <c r="B446" s="64"/>
      <c r="C446" s="30"/>
      <c r="D446" s="30"/>
      <c r="E446" s="30"/>
      <c r="F446" s="30"/>
      <c r="G446" s="30"/>
      <c r="J446" s="25"/>
      <c r="K446" s="66"/>
      <c r="S446" s="30"/>
      <c r="T446" s="30"/>
      <c r="U446" s="30"/>
      <c r="V446" s="30"/>
      <c r="Y446" s="30"/>
      <c r="Z446" s="30"/>
    </row>
    <row r="447">
      <c r="A447" s="12" t="s">
        <v>74</v>
      </c>
      <c r="B447" s="64"/>
      <c r="C447" s="30"/>
      <c r="D447" s="30"/>
      <c r="E447" s="30"/>
      <c r="F447" s="30"/>
      <c r="G447" s="30"/>
      <c r="J447" s="25"/>
      <c r="K447" s="66"/>
      <c r="S447" s="30"/>
      <c r="T447" s="30"/>
      <c r="U447" s="30"/>
      <c r="V447" s="30"/>
      <c r="Y447" s="30"/>
      <c r="Z447" s="30"/>
    </row>
    <row r="448">
      <c r="A448" s="12" t="s">
        <v>74</v>
      </c>
      <c r="B448" s="64"/>
      <c r="C448" s="30"/>
      <c r="D448" s="30"/>
      <c r="E448" s="30"/>
      <c r="F448" s="30"/>
      <c r="G448" s="30"/>
      <c r="J448" s="25"/>
      <c r="K448" s="66"/>
      <c r="S448" s="30"/>
      <c r="T448" s="30"/>
      <c r="U448" s="30"/>
      <c r="V448" s="30"/>
      <c r="Y448" s="30"/>
      <c r="Z448" s="30"/>
    </row>
    <row r="449">
      <c r="A449" s="12" t="s">
        <v>74</v>
      </c>
      <c r="B449" s="64"/>
      <c r="C449" s="30"/>
      <c r="D449" s="30"/>
      <c r="E449" s="30"/>
      <c r="F449" s="30"/>
      <c r="G449" s="30"/>
      <c r="J449" s="25"/>
      <c r="K449" s="66"/>
      <c r="S449" s="30"/>
      <c r="T449" s="30"/>
      <c r="U449" s="30"/>
      <c r="V449" s="30"/>
      <c r="Y449" s="30"/>
      <c r="Z449" s="30"/>
    </row>
    <row r="450">
      <c r="A450" s="12" t="s">
        <v>74</v>
      </c>
      <c r="B450" s="64"/>
      <c r="C450" s="30"/>
      <c r="D450" s="30"/>
      <c r="E450" s="30"/>
      <c r="F450" s="30"/>
      <c r="G450" s="30"/>
      <c r="J450" s="25"/>
      <c r="K450" s="66"/>
      <c r="S450" s="30"/>
      <c r="T450" s="30"/>
      <c r="U450" s="30"/>
      <c r="V450" s="30"/>
      <c r="Y450" s="30"/>
      <c r="Z450" s="30"/>
    </row>
    <row r="451">
      <c r="A451" s="12" t="s">
        <v>74</v>
      </c>
      <c r="B451" s="64"/>
      <c r="C451" s="30"/>
      <c r="D451" s="30"/>
      <c r="E451" s="30"/>
      <c r="F451" s="30"/>
      <c r="G451" s="30"/>
      <c r="J451" s="25"/>
      <c r="K451" s="66"/>
      <c r="S451" s="30"/>
      <c r="T451" s="30"/>
      <c r="U451" s="30"/>
      <c r="V451" s="30"/>
      <c r="Y451" s="30"/>
      <c r="Z451" s="30"/>
    </row>
    <row r="452">
      <c r="A452" s="12" t="s">
        <v>74</v>
      </c>
      <c r="B452" s="64"/>
      <c r="C452" s="30"/>
      <c r="D452" s="30"/>
      <c r="E452" s="30"/>
      <c r="F452" s="30"/>
      <c r="G452" s="30"/>
      <c r="J452" s="25"/>
      <c r="K452" s="66"/>
      <c r="S452" s="30"/>
      <c r="T452" s="30"/>
      <c r="U452" s="30"/>
      <c r="V452" s="30"/>
      <c r="Y452" s="30"/>
      <c r="Z452" s="30"/>
    </row>
    <row r="453">
      <c r="A453" s="12" t="s">
        <v>74</v>
      </c>
      <c r="B453" s="64"/>
      <c r="C453" s="30"/>
      <c r="D453" s="30"/>
      <c r="E453" s="30"/>
      <c r="F453" s="30"/>
      <c r="G453" s="30"/>
      <c r="J453" s="25"/>
      <c r="K453" s="66"/>
      <c r="S453" s="30"/>
      <c r="T453" s="30"/>
      <c r="U453" s="30"/>
      <c r="V453" s="30"/>
      <c r="Y453" s="30"/>
      <c r="Z453" s="30"/>
    </row>
    <row r="454">
      <c r="A454" s="12" t="s">
        <v>74</v>
      </c>
      <c r="B454" s="64"/>
      <c r="C454" s="30"/>
      <c r="D454" s="30"/>
      <c r="E454" s="30"/>
      <c r="F454" s="30"/>
      <c r="G454" s="30"/>
      <c r="J454" s="25"/>
      <c r="K454" s="66"/>
      <c r="S454" s="30"/>
      <c r="T454" s="30"/>
      <c r="U454" s="30"/>
      <c r="V454" s="30"/>
      <c r="Y454" s="30"/>
      <c r="Z454" s="30"/>
    </row>
    <row r="455">
      <c r="A455" s="12" t="s">
        <v>74</v>
      </c>
      <c r="B455" s="64"/>
      <c r="C455" s="30"/>
      <c r="D455" s="30"/>
      <c r="E455" s="30"/>
      <c r="F455" s="30"/>
      <c r="G455" s="30"/>
      <c r="J455" s="25"/>
      <c r="K455" s="66"/>
      <c r="S455" s="30"/>
      <c r="T455" s="30"/>
      <c r="U455" s="30"/>
      <c r="V455" s="30"/>
      <c r="Y455" s="30"/>
      <c r="Z455" s="30"/>
    </row>
    <row r="456">
      <c r="A456" s="12" t="s">
        <v>74</v>
      </c>
      <c r="B456" s="64"/>
      <c r="C456" s="30"/>
      <c r="D456" s="30"/>
      <c r="E456" s="30"/>
      <c r="F456" s="30"/>
      <c r="G456" s="30"/>
      <c r="J456" s="25"/>
      <c r="K456" s="66"/>
      <c r="S456" s="30"/>
      <c r="T456" s="30"/>
      <c r="U456" s="30"/>
      <c r="V456" s="30"/>
      <c r="Y456" s="30"/>
      <c r="Z456" s="30"/>
    </row>
    <row r="457">
      <c r="A457" s="12" t="s">
        <v>74</v>
      </c>
      <c r="B457" s="64"/>
      <c r="C457" s="30"/>
      <c r="D457" s="30"/>
      <c r="E457" s="30"/>
      <c r="F457" s="30"/>
      <c r="G457" s="30"/>
      <c r="J457" s="25"/>
      <c r="K457" s="66"/>
      <c r="S457" s="30"/>
      <c r="T457" s="30"/>
      <c r="U457" s="30"/>
      <c r="V457" s="30"/>
      <c r="Y457" s="30"/>
      <c r="Z457" s="30"/>
    </row>
    <row r="458">
      <c r="A458" s="12" t="s">
        <v>74</v>
      </c>
      <c r="B458" s="64"/>
      <c r="C458" s="30"/>
      <c r="D458" s="30"/>
      <c r="E458" s="30"/>
      <c r="F458" s="30"/>
      <c r="G458" s="30"/>
      <c r="J458" s="25"/>
      <c r="K458" s="66"/>
      <c r="S458" s="30"/>
      <c r="T458" s="30"/>
      <c r="U458" s="30"/>
      <c r="V458" s="30"/>
      <c r="Y458" s="30"/>
      <c r="Z458" s="30"/>
    </row>
    <row r="459">
      <c r="A459" s="12" t="s">
        <v>74</v>
      </c>
      <c r="B459" s="64"/>
      <c r="C459" s="30"/>
      <c r="D459" s="30"/>
      <c r="E459" s="30"/>
      <c r="F459" s="30"/>
      <c r="G459" s="30"/>
      <c r="J459" s="25"/>
      <c r="K459" s="66"/>
      <c r="S459" s="30"/>
      <c r="T459" s="30"/>
      <c r="U459" s="30"/>
      <c r="V459" s="30"/>
      <c r="Y459" s="30"/>
      <c r="Z459" s="30"/>
    </row>
    <row r="460">
      <c r="A460" s="12" t="s">
        <v>74</v>
      </c>
      <c r="B460" s="64"/>
      <c r="C460" s="30"/>
      <c r="D460" s="30"/>
      <c r="E460" s="30"/>
      <c r="F460" s="30"/>
      <c r="G460" s="30"/>
      <c r="J460" s="25"/>
      <c r="K460" s="66"/>
      <c r="S460" s="30"/>
      <c r="T460" s="30"/>
      <c r="U460" s="30"/>
      <c r="V460" s="30"/>
      <c r="Y460" s="30"/>
      <c r="Z460" s="30"/>
    </row>
    <row r="461">
      <c r="A461" s="12" t="s">
        <v>74</v>
      </c>
      <c r="B461" s="64"/>
      <c r="C461" s="30"/>
      <c r="D461" s="30"/>
      <c r="E461" s="30"/>
      <c r="F461" s="30"/>
      <c r="G461" s="30"/>
      <c r="J461" s="25"/>
      <c r="K461" s="66"/>
      <c r="S461" s="30"/>
      <c r="T461" s="30"/>
      <c r="U461" s="30"/>
      <c r="V461" s="30"/>
      <c r="Y461" s="30"/>
      <c r="Z461" s="30"/>
    </row>
    <row r="462">
      <c r="A462" s="12" t="s">
        <v>74</v>
      </c>
      <c r="B462" s="64"/>
      <c r="C462" s="30"/>
      <c r="D462" s="30"/>
      <c r="E462" s="30"/>
      <c r="F462" s="30"/>
      <c r="G462" s="30"/>
      <c r="J462" s="25"/>
      <c r="K462" s="66"/>
      <c r="S462" s="30"/>
      <c r="T462" s="30"/>
      <c r="U462" s="30"/>
      <c r="V462" s="30"/>
      <c r="Y462" s="30"/>
      <c r="Z462" s="30"/>
    </row>
    <row r="463">
      <c r="A463" s="12" t="s">
        <v>74</v>
      </c>
      <c r="B463" s="64"/>
      <c r="C463" s="30"/>
      <c r="D463" s="30"/>
      <c r="E463" s="30"/>
      <c r="F463" s="30"/>
      <c r="G463" s="30"/>
      <c r="J463" s="25"/>
      <c r="K463" s="66"/>
      <c r="S463" s="30"/>
      <c r="T463" s="30"/>
      <c r="U463" s="30"/>
      <c r="V463" s="30"/>
      <c r="Y463" s="30"/>
      <c r="Z463" s="30"/>
    </row>
    <row r="464">
      <c r="A464" s="12" t="s">
        <v>74</v>
      </c>
      <c r="B464" s="64"/>
      <c r="C464" s="30"/>
      <c r="D464" s="30"/>
      <c r="E464" s="30"/>
      <c r="F464" s="30"/>
      <c r="G464" s="30"/>
      <c r="J464" s="25"/>
      <c r="K464" s="66"/>
      <c r="S464" s="30"/>
      <c r="T464" s="30"/>
      <c r="U464" s="30"/>
      <c r="V464" s="30"/>
      <c r="Y464" s="30"/>
      <c r="Z464" s="30"/>
    </row>
    <row r="465">
      <c r="A465" s="12" t="s">
        <v>74</v>
      </c>
      <c r="B465" s="64"/>
      <c r="C465" s="30"/>
      <c r="D465" s="30"/>
      <c r="E465" s="30"/>
      <c r="F465" s="30"/>
      <c r="G465" s="30"/>
      <c r="J465" s="25"/>
      <c r="K465" s="66"/>
      <c r="S465" s="30"/>
      <c r="T465" s="30"/>
      <c r="U465" s="30"/>
      <c r="V465" s="30"/>
      <c r="Y465" s="30"/>
      <c r="Z465" s="30"/>
    </row>
    <row r="466">
      <c r="A466" s="12" t="s">
        <v>74</v>
      </c>
      <c r="B466" s="64"/>
      <c r="C466" s="30"/>
      <c r="D466" s="30"/>
      <c r="E466" s="30"/>
      <c r="F466" s="30"/>
      <c r="G466" s="30"/>
      <c r="J466" s="25"/>
      <c r="K466" s="66"/>
      <c r="S466" s="30"/>
      <c r="T466" s="30"/>
      <c r="U466" s="30"/>
      <c r="V466" s="30"/>
      <c r="Y466" s="30"/>
      <c r="Z466" s="30"/>
    </row>
    <row r="467">
      <c r="A467" s="12" t="s">
        <v>74</v>
      </c>
      <c r="B467" s="64"/>
      <c r="C467" s="30"/>
      <c r="D467" s="30"/>
      <c r="E467" s="30"/>
      <c r="F467" s="30"/>
      <c r="G467" s="30"/>
      <c r="J467" s="25"/>
      <c r="K467" s="66"/>
      <c r="S467" s="30"/>
      <c r="T467" s="30"/>
      <c r="U467" s="30"/>
      <c r="V467" s="30"/>
      <c r="Y467" s="30"/>
      <c r="Z467" s="30"/>
    </row>
    <row r="468">
      <c r="A468" s="12" t="s">
        <v>74</v>
      </c>
      <c r="B468" s="64"/>
      <c r="C468" s="30"/>
      <c r="D468" s="30"/>
      <c r="E468" s="30"/>
      <c r="F468" s="30"/>
      <c r="G468" s="30"/>
      <c r="J468" s="25"/>
      <c r="K468" s="66"/>
      <c r="S468" s="30"/>
      <c r="T468" s="30"/>
      <c r="U468" s="30"/>
      <c r="V468" s="30"/>
      <c r="Y468" s="30"/>
      <c r="Z468" s="30"/>
    </row>
    <row r="469">
      <c r="A469" s="12" t="s">
        <v>74</v>
      </c>
      <c r="B469" s="64"/>
      <c r="C469" s="30"/>
      <c r="D469" s="30"/>
      <c r="E469" s="30"/>
      <c r="F469" s="30"/>
      <c r="G469" s="30"/>
      <c r="J469" s="25"/>
      <c r="K469" s="66"/>
      <c r="S469" s="30"/>
      <c r="T469" s="30"/>
      <c r="U469" s="30"/>
      <c r="V469" s="30"/>
      <c r="Y469" s="30"/>
      <c r="Z469" s="30"/>
    </row>
    <row r="470">
      <c r="A470" s="12" t="s">
        <v>74</v>
      </c>
      <c r="B470" s="64"/>
      <c r="C470" s="30"/>
      <c r="D470" s="30"/>
      <c r="E470" s="30"/>
      <c r="F470" s="30"/>
      <c r="G470" s="30"/>
      <c r="J470" s="25"/>
      <c r="K470" s="66"/>
      <c r="S470" s="30"/>
      <c r="T470" s="30"/>
      <c r="U470" s="30"/>
      <c r="V470" s="30"/>
      <c r="Y470" s="30"/>
      <c r="Z470" s="30"/>
    </row>
    <row r="471">
      <c r="A471" s="12" t="s">
        <v>74</v>
      </c>
      <c r="B471" s="64"/>
      <c r="C471" s="30"/>
      <c r="D471" s="30"/>
      <c r="E471" s="30"/>
      <c r="F471" s="30"/>
      <c r="G471" s="30"/>
      <c r="J471" s="25"/>
      <c r="K471" s="66"/>
      <c r="S471" s="30"/>
      <c r="T471" s="30"/>
      <c r="U471" s="30"/>
      <c r="V471" s="30"/>
      <c r="Y471" s="30"/>
      <c r="Z471" s="30"/>
    </row>
    <row r="472">
      <c r="A472" s="12" t="s">
        <v>74</v>
      </c>
      <c r="B472" s="64"/>
      <c r="C472" s="30"/>
      <c r="D472" s="30"/>
      <c r="E472" s="30"/>
      <c r="F472" s="30"/>
      <c r="G472" s="30"/>
      <c r="J472" s="25"/>
      <c r="K472" s="66"/>
      <c r="S472" s="30"/>
      <c r="T472" s="30"/>
      <c r="U472" s="30"/>
      <c r="V472" s="30"/>
      <c r="Y472" s="30"/>
      <c r="Z472" s="30"/>
    </row>
    <row r="473">
      <c r="A473" s="12" t="s">
        <v>74</v>
      </c>
      <c r="B473" s="64"/>
      <c r="C473" s="30"/>
      <c r="D473" s="30"/>
      <c r="E473" s="30"/>
      <c r="F473" s="30"/>
      <c r="G473" s="30"/>
      <c r="J473" s="25"/>
      <c r="K473" s="66"/>
      <c r="S473" s="30"/>
      <c r="T473" s="30"/>
      <c r="U473" s="30"/>
      <c r="V473" s="30"/>
      <c r="Y473" s="30"/>
      <c r="Z473" s="30"/>
    </row>
    <row r="474">
      <c r="A474" s="12" t="s">
        <v>74</v>
      </c>
      <c r="B474" s="64"/>
      <c r="C474" s="30"/>
      <c r="D474" s="30"/>
      <c r="E474" s="30"/>
      <c r="F474" s="30"/>
      <c r="G474" s="30"/>
      <c r="J474" s="25"/>
      <c r="K474" s="66"/>
      <c r="S474" s="30"/>
      <c r="T474" s="30"/>
      <c r="U474" s="30"/>
      <c r="V474" s="30"/>
      <c r="Y474" s="30"/>
      <c r="Z474" s="30"/>
    </row>
    <row r="475">
      <c r="A475" s="12" t="s">
        <v>74</v>
      </c>
      <c r="B475" s="64"/>
      <c r="C475" s="30"/>
      <c r="D475" s="30"/>
      <c r="E475" s="30"/>
      <c r="F475" s="30"/>
      <c r="G475" s="30"/>
      <c r="J475" s="25"/>
      <c r="K475" s="66"/>
      <c r="S475" s="30"/>
      <c r="T475" s="30"/>
      <c r="U475" s="30"/>
      <c r="V475" s="30"/>
      <c r="Y475" s="30"/>
      <c r="Z475" s="30"/>
    </row>
    <row r="476">
      <c r="A476" s="12" t="s">
        <v>74</v>
      </c>
      <c r="B476" s="64"/>
      <c r="C476" s="30"/>
      <c r="D476" s="30"/>
      <c r="E476" s="30"/>
      <c r="F476" s="30"/>
      <c r="G476" s="30"/>
      <c r="J476" s="25"/>
      <c r="K476" s="66"/>
      <c r="S476" s="30"/>
      <c r="T476" s="30"/>
      <c r="U476" s="30"/>
      <c r="V476" s="30"/>
      <c r="Y476" s="30"/>
      <c r="Z476" s="30"/>
    </row>
    <row r="477">
      <c r="A477" s="12" t="s">
        <v>74</v>
      </c>
      <c r="B477" s="64"/>
      <c r="C477" s="30"/>
      <c r="D477" s="30"/>
      <c r="E477" s="30"/>
      <c r="F477" s="30"/>
      <c r="G477" s="30"/>
      <c r="J477" s="25"/>
      <c r="K477" s="66"/>
      <c r="S477" s="30"/>
      <c r="T477" s="30"/>
      <c r="U477" s="30"/>
      <c r="V477" s="30"/>
      <c r="Y477" s="30"/>
      <c r="Z477" s="30"/>
    </row>
    <row r="478">
      <c r="A478" s="12" t="s">
        <v>74</v>
      </c>
      <c r="B478" s="64"/>
      <c r="C478" s="30"/>
      <c r="D478" s="30"/>
      <c r="E478" s="30"/>
      <c r="F478" s="30"/>
      <c r="G478" s="30"/>
      <c r="J478" s="25"/>
      <c r="K478" s="66"/>
      <c r="S478" s="30"/>
      <c r="T478" s="30"/>
      <c r="U478" s="30"/>
      <c r="V478" s="30"/>
      <c r="Y478" s="30"/>
      <c r="Z478" s="30"/>
    </row>
    <row r="479">
      <c r="A479" s="12" t="s">
        <v>74</v>
      </c>
      <c r="B479" s="64"/>
      <c r="C479" s="30"/>
      <c r="D479" s="30"/>
      <c r="E479" s="30"/>
      <c r="F479" s="30"/>
      <c r="G479" s="30"/>
      <c r="J479" s="25"/>
      <c r="K479" s="66"/>
      <c r="S479" s="30"/>
      <c r="T479" s="30"/>
      <c r="U479" s="30"/>
      <c r="V479" s="30"/>
      <c r="Y479" s="30"/>
      <c r="Z479" s="30"/>
    </row>
    <row r="480">
      <c r="A480" s="12" t="s">
        <v>74</v>
      </c>
      <c r="B480" s="64"/>
      <c r="C480" s="30"/>
      <c r="D480" s="30"/>
      <c r="E480" s="30"/>
      <c r="F480" s="30"/>
      <c r="G480" s="30"/>
      <c r="J480" s="25"/>
      <c r="K480" s="66"/>
      <c r="S480" s="30"/>
      <c r="T480" s="30"/>
      <c r="U480" s="30"/>
      <c r="V480" s="30"/>
      <c r="Y480" s="30"/>
      <c r="Z480" s="30"/>
    </row>
    <row r="481">
      <c r="A481" s="12" t="s">
        <v>74</v>
      </c>
      <c r="B481" s="64"/>
      <c r="C481" s="30"/>
      <c r="D481" s="30"/>
      <c r="E481" s="30"/>
      <c r="F481" s="30"/>
      <c r="G481" s="30"/>
      <c r="J481" s="25"/>
      <c r="K481" s="66"/>
      <c r="S481" s="30"/>
      <c r="T481" s="30"/>
      <c r="U481" s="30"/>
      <c r="V481" s="30"/>
      <c r="Y481" s="30"/>
      <c r="Z481" s="30"/>
    </row>
    <row r="482">
      <c r="A482" s="12" t="s">
        <v>74</v>
      </c>
      <c r="B482" s="64"/>
      <c r="C482" s="30"/>
      <c r="D482" s="30"/>
      <c r="E482" s="30"/>
      <c r="F482" s="30"/>
      <c r="G482" s="30"/>
      <c r="J482" s="25"/>
      <c r="K482" s="66"/>
      <c r="S482" s="30"/>
      <c r="T482" s="30"/>
      <c r="U482" s="30"/>
      <c r="V482" s="30"/>
      <c r="Y482" s="30"/>
      <c r="Z482" s="30"/>
    </row>
    <row r="483">
      <c r="A483" s="12" t="s">
        <v>74</v>
      </c>
      <c r="B483" s="64"/>
      <c r="C483" s="30"/>
      <c r="D483" s="30"/>
      <c r="E483" s="30"/>
      <c r="F483" s="30"/>
      <c r="G483" s="30"/>
      <c r="J483" s="25"/>
      <c r="K483" s="66"/>
      <c r="S483" s="30"/>
      <c r="T483" s="30"/>
      <c r="U483" s="30"/>
      <c r="V483" s="30"/>
      <c r="Y483" s="30"/>
      <c r="Z483" s="30"/>
    </row>
    <row r="484">
      <c r="A484" s="12" t="s">
        <v>74</v>
      </c>
      <c r="B484" s="64"/>
      <c r="C484" s="30"/>
      <c r="D484" s="30"/>
      <c r="E484" s="30"/>
      <c r="F484" s="30"/>
      <c r="G484" s="30"/>
      <c r="J484" s="25"/>
      <c r="K484" s="66"/>
      <c r="S484" s="30"/>
      <c r="T484" s="30"/>
      <c r="U484" s="30"/>
      <c r="V484" s="30"/>
      <c r="Y484" s="30"/>
      <c r="Z484" s="30"/>
    </row>
    <row r="485">
      <c r="A485" s="12" t="s">
        <v>74</v>
      </c>
      <c r="B485" s="64"/>
      <c r="C485" s="30"/>
      <c r="D485" s="30"/>
      <c r="E485" s="30"/>
      <c r="F485" s="30"/>
      <c r="G485" s="30"/>
      <c r="J485" s="25"/>
      <c r="K485" s="66"/>
      <c r="S485" s="30"/>
      <c r="T485" s="30"/>
      <c r="U485" s="30"/>
      <c r="V485" s="30"/>
      <c r="Y485" s="30"/>
      <c r="Z485" s="30"/>
    </row>
    <row r="486">
      <c r="A486" s="12" t="s">
        <v>74</v>
      </c>
      <c r="B486" s="64"/>
      <c r="C486" s="30"/>
      <c r="D486" s="30"/>
      <c r="E486" s="30"/>
      <c r="F486" s="30"/>
      <c r="G486" s="30"/>
      <c r="J486" s="25"/>
      <c r="K486" s="66"/>
      <c r="S486" s="30"/>
      <c r="T486" s="30"/>
      <c r="U486" s="30"/>
      <c r="V486" s="30"/>
      <c r="Y486" s="30"/>
      <c r="Z486" s="30"/>
    </row>
    <row r="487">
      <c r="A487" s="12" t="s">
        <v>74</v>
      </c>
      <c r="B487" s="64"/>
      <c r="C487" s="30"/>
      <c r="D487" s="30"/>
      <c r="E487" s="30"/>
      <c r="F487" s="30"/>
      <c r="G487" s="30"/>
      <c r="J487" s="25"/>
      <c r="K487" s="66"/>
      <c r="S487" s="30"/>
      <c r="T487" s="30"/>
      <c r="U487" s="30"/>
      <c r="V487" s="30"/>
      <c r="Y487" s="30"/>
      <c r="Z487" s="30"/>
    </row>
    <row r="488">
      <c r="A488" s="12" t="s">
        <v>74</v>
      </c>
      <c r="B488" s="64"/>
      <c r="C488" s="30"/>
      <c r="D488" s="30"/>
      <c r="E488" s="30"/>
      <c r="F488" s="30"/>
      <c r="G488" s="30"/>
      <c r="J488" s="25"/>
      <c r="K488" s="66"/>
      <c r="S488" s="30"/>
      <c r="T488" s="30"/>
      <c r="U488" s="30"/>
      <c r="V488" s="30"/>
      <c r="Y488" s="30"/>
      <c r="Z488" s="30"/>
    </row>
    <row r="489">
      <c r="A489" s="12" t="s">
        <v>74</v>
      </c>
      <c r="B489" s="64"/>
      <c r="C489" s="30"/>
      <c r="D489" s="30"/>
      <c r="E489" s="30"/>
      <c r="F489" s="30"/>
      <c r="G489" s="30"/>
      <c r="J489" s="25"/>
      <c r="K489" s="66"/>
      <c r="S489" s="30"/>
      <c r="T489" s="30"/>
      <c r="U489" s="30"/>
      <c r="V489" s="30"/>
      <c r="Y489" s="30"/>
      <c r="Z489" s="30"/>
    </row>
    <row r="490">
      <c r="A490" s="12" t="s">
        <v>74</v>
      </c>
      <c r="B490" s="64"/>
      <c r="C490" s="30"/>
      <c r="D490" s="30"/>
      <c r="E490" s="30"/>
      <c r="F490" s="30"/>
      <c r="G490" s="30"/>
      <c r="J490" s="25"/>
      <c r="K490" s="66"/>
      <c r="S490" s="30"/>
      <c r="T490" s="30"/>
      <c r="U490" s="30"/>
      <c r="V490" s="30"/>
      <c r="Y490" s="30"/>
      <c r="Z490" s="30"/>
    </row>
    <row r="491">
      <c r="A491" s="12" t="s">
        <v>74</v>
      </c>
      <c r="B491" s="64"/>
      <c r="C491" s="30"/>
      <c r="D491" s="30"/>
      <c r="E491" s="30"/>
      <c r="F491" s="30"/>
      <c r="G491" s="30"/>
      <c r="J491" s="25"/>
      <c r="K491" s="66"/>
      <c r="S491" s="30"/>
      <c r="T491" s="30"/>
      <c r="U491" s="30"/>
      <c r="V491" s="30"/>
      <c r="Y491" s="30"/>
      <c r="Z491" s="30"/>
    </row>
    <row r="492">
      <c r="A492" s="12" t="s">
        <v>74</v>
      </c>
      <c r="B492" s="64"/>
      <c r="C492" s="30"/>
      <c r="D492" s="30"/>
      <c r="E492" s="30"/>
      <c r="F492" s="30"/>
      <c r="G492" s="30"/>
      <c r="J492" s="25"/>
      <c r="K492" s="66"/>
      <c r="S492" s="30"/>
      <c r="T492" s="30"/>
      <c r="U492" s="30"/>
      <c r="V492" s="30"/>
      <c r="Y492" s="30"/>
      <c r="Z492" s="30"/>
    </row>
    <row r="493">
      <c r="A493" s="12" t="s">
        <v>74</v>
      </c>
      <c r="B493" s="64"/>
      <c r="C493" s="30"/>
      <c r="D493" s="30"/>
      <c r="E493" s="30"/>
      <c r="F493" s="30"/>
      <c r="G493" s="30"/>
      <c r="J493" s="25"/>
      <c r="K493" s="66"/>
      <c r="S493" s="30"/>
      <c r="T493" s="30"/>
      <c r="U493" s="30"/>
      <c r="V493" s="30"/>
      <c r="Y493" s="30"/>
      <c r="Z493" s="30"/>
    </row>
    <row r="494">
      <c r="A494" s="12" t="s">
        <v>74</v>
      </c>
      <c r="B494" s="64"/>
      <c r="C494" s="30"/>
      <c r="D494" s="30"/>
      <c r="E494" s="30"/>
      <c r="F494" s="30"/>
      <c r="G494" s="30"/>
      <c r="J494" s="25"/>
      <c r="K494" s="66"/>
      <c r="S494" s="30"/>
      <c r="T494" s="30"/>
      <c r="U494" s="30"/>
      <c r="V494" s="30"/>
      <c r="Y494" s="30"/>
      <c r="Z494" s="30"/>
    </row>
    <row r="495">
      <c r="A495" s="12" t="s">
        <v>74</v>
      </c>
      <c r="B495" s="64"/>
      <c r="C495" s="30"/>
      <c r="D495" s="30"/>
      <c r="E495" s="30"/>
      <c r="F495" s="30"/>
      <c r="G495" s="30"/>
      <c r="J495" s="25"/>
      <c r="K495" s="66"/>
      <c r="S495" s="30"/>
      <c r="T495" s="30"/>
      <c r="U495" s="30"/>
      <c r="V495" s="30"/>
      <c r="Y495" s="30"/>
      <c r="Z495" s="30"/>
    </row>
    <row r="496">
      <c r="A496" s="12" t="s">
        <v>74</v>
      </c>
      <c r="B496" s="64"/>
      <c r="C496" s="30"/>
      <c r="D496" s="30"/>
      <c r="E496" s="30"/>
      <c r="F496" s="30"/>
      <c r="G496" s="30"/>
      <c r="J496" s="25"/>
      <c r="K496" s="66"/>
      <c r="S496" s="30"/>
      <c r="T496" s="30"/>
      <c r="U496" s="30"/>
      <c r="V496" s="30"/>
      <c r="Y496" s="30"/>
      <c r="Z496" s="30"/>
    </row>
    <row r="497">
      <c r="A497" s="12" t="s">
        <v>74</v>
      </c>
      <c r="B497" s="64"/>
      <c r="C497" s="30"/>
      <c r="D497" s="30"/>
      <c r="E497" s="30"/>
      <c r="F497" s="30"/>
      <c r="G497" s="30"/>
      <c r="J497" s="25"/>
      <c r="K497" s="66"/>
      <c r="S497" s="30"/>
      <c r="T497" s="30"/>
      <c r="U497" s="30"/>
      <c r="V497" s="30"/>
      <c r="Y497" s="30"/>
      <c r="Z497" s="30"/>
    </row>
    <row r="498">
      <c r="A498" s="12" t="s">
        <v>74</v>
      </c>
      <c r="B498" s="64"/>
      <c r="C498" s="30"/>
      <c r="D498" s="30"/>
      <c r="E498" s="30"/>
      <c r="F498" s="30"/>
      <c r="G498" s="30"/>
      <c r="J498" s="25"/>
      <c r="K498" s="66"/>
      <c r="S498" s="30"/>
      <c r="T498" s="30"/>
      <c r="U498" s="30"/>
      <c r="V498" s="30"/>
      <c r="Y498" s="30"/>
      <c r="Z498" s="30"/>
    </row>
    <row r="499">
      <c r="A499" s="12" t="s">
        <v>74</v>
      </c>
      <c r="B499" s="64"/>
      <c r="C499" s="30"/>
      <c r="D499" s="30"/>
      <c r="E499" s="30"/>
      <c r="F499" s="30"/>
      <c r="G499" s="30"/>
      <c r="J499" s="25"/>
      <c r="K499" s="66"/>
      <c r="S499" s="30"/>
      <c r="T499" s="30"/>
      <c r="U499" s="30"/>
      <c r="V499" s="30"/>
      <c r="Y499" s="30"/>
      <c r="Z499" s="30"/>
    </row>
    <row r="500">
      <c r="A500" s="12" t="s">
        <v>74</v>
      </c>
      <c r="B500" s="64"/>
      <c r="C500" s="30"/>
      <c r="D500" s="30"/>
      <c r="E500" s="30"/>
      <c r="F500" s="30"/>
      <c r="G500" s="30"/>
      <c r="J500" s="25"/>
      <c r="K500" s="66"/>
      <c r="S500" s="30"/>
      <c r="T500" s="30"/>
      <c r="U500" s="30"/>
      <c r="V500" s="30"/>
      <c r="Y500" s="30"/>
      <c r="Z500" s="30"/>
    </row>
    <row r="501">
      <c r="A501" s="12" t="s">
        <v>74</v>
      </c>
      <c r="B501" s="64"/>
      <c r="C501" s="30"/>
      <c r="D501" s="30"/>
      <c r="E501" s="30"/>
      <c r="F501" s="30"/>
      <c r="G501" s="30"/>
      <c r="J501" s="25"/>
      <c r="K501" s="66"/>
      <c r="S501" s="30"/>
      <c r="T501" s="30"/>
      <c r="U501" s="30"/>
      <c r="V501" s="30"/>
      <c r="Y501" s="30"/>
      <c r="Z501" s="30"/>
    </row>
    <row r="502">
      <c r="A502" s="12" t="s">
        <v>74</v>
      </c>
      <c r="B502" s="64"/>
      <c r="C502" s="30"/>
      <c r="D502" s="30"/>
      <c r="E502" s="30"/>
      <c r="F502" s="30"/>
      <c r="G502" s="30"/>
      <c r="J502" s="25"/>
      <c r="K502" s="66"/>
      <c r="S502" s="30"/>
      <c r="T502" s="30"/>
      <c r="U502" s="30"/>
      <c r="V502" s="30"/>
      <c r="Y502" s="30"/>
      <c r="Z502" s="30"/>
    </row>
    <row r="503">
      <c r="A503" s="30"/>
      <c r="B503" s="30"/>
      <c r="C503" s="30"/>
      <c r="D503" s="30"/>
      <c r="E503" s="30"/>
      <c r="F503" s="30"/>
      <c r="G503" s="30"/>
      <c r="J503" s="25"/>
      <c r="K503" s="25"/>
      <c r="Y503" s="30"/>
      <c r="Z503" s="30"/>
    </row>
    <row r="504">
      <c r="A504" s="30"/>
      <c r="B504" s="30"/>
      <c r="C504" s="30"/>
      <c r="D504" s="30"/>
      <c r="E504" s="30"/>
      <c r="F504" s="30"/>
      <c r="G504" s="30"/>
      <c r="J504" s="25"/>
      <c r="K504" s="25"/>
      <c r="Y504" s="30"/>
      <c r="Z504" s="30"/>
    </row>
    <row r="505">
      <c r="A505" s="30"/>
      <c r="B505" s="30"/>
      <c r="C505" s="30"/>
      <c r="D505" s="30"/>
      <c r="E505" s="30"/>
      <c r="F505" s="30"/>
      <c r="G505" s="30"/>
      <c r="J505" s="25"/>
      <c r="K505" s="25"/>
      <c r="Y505" s="30"/>
      <c r="Z505" s="30"/>
    </row>
    <row r="506">
      <c r="A506" s="30"/>
      <c r="B506" s="30"/>
      <c r="C506" s="30"/>
      <c r="D506" s="30"/>
      <c r="E506" s="30"/>
      <c r="F506" s="30"/>
      <c r="G506" s="30"/>
      <c r="J506" s="25"/>
      <c r="K506" s="25"/>
      <c r="Y506" s="30"/>
      <c r="Z506" s="30"/>
    </row>
    <row r="507">
      <c r="A507" s="30"/>
      <c r="B507" s="30"/>
      <c r="C507" s="30"/>
      <c r="D507" s="30"/>
      <c r="E507" s="30"/>
      <c r="F507" s="30"/>
      <c r="G507" s="30"/>
      <c r="J507" s="25"/>
      <c r="K507" s="25"/>
      <c r="Y507" s="30"/>
      <c r="Z507" s="30"/>
    </row>
    <row r="508">
      <c r="A508" s="30"/>
      <c r="B508" s="30"/>
      <c r="C508" s="30"/>
      <c r="D508" s="30"/>
      <c r="E508" s="30"/>
      <c r="F508" s="30"/>
      <c r="G508" s="30"/>
      <c r="J508" s="25"/>
      <c r="K508" s="25"/>
      <c r="Y508" s="30"/>
      <c r="Z508" s="30"/>
    </row>
    <row r="509">
      <c r="A509" s="30"/>
      <c r="B509" s="30"/>
      <c r="C509" s="30"/>
      <c r="D509" s="30"/>
      <c r="E509" s="30"/>
      <c r="F509" s="30"/>
      <c r="G509" s="30"/>
      <c r="J509" s="25"/>
      <c r="K509" s="25"/>
      <c r="Y509" s="30"/>
      <c r="Z509" s="30"/>
    </row>
    <row r="510">
      <c r="A510" s="30"/>
      <c r="B510" s="30"/>
      <c r="C510" s="30"/>
      <c r="D510" s="30"/>
      <c r="E510" s="30"/>
      <c r="F510" s="30"/>
      <c r="G510" s="30"/>
      <c r="J510" s="25"/>
      <c r="K510" s="25"/>
      <c r="Y510" s="30"/>
      <c r="Z510" s="30"/>
    </row>
    <row r="511">
      <c r="A511" s="30"/>
      <c r="B511" s="30"/>
      <c r="C511" s="30"/>
      <c r="D511" s="30"/>
      <c r="E511" s="30"/>
      <c r="F511" s="30"/>
      <c r="G511" s="30"/>
      <c r="J511" s="25"/>
      <c r="K511" s="25"/>
      <c r="Y511" s="30"/>
      <c r="Z511" s="30"/>
    </row>
    <row r="512">
      <c r="A512" s="30"/>
      <c r="B512" s="30"/>
      <c r="C512" s="30"/>
      <c r="D512" s="30"/>
      <c r="E512" s="30"/>
      <c r="F512" s="30"/>
      <c r="G512" s="30"/>
      <c r="J512" s="25"/>
      <c r="K512" s="25"/>
      <c r="Y512" s="30"/>
      <c r="Z512" s="30"/>
    </row>
    <row r="513">
      <c r="A513" s="30"/>
      <c r="B513" s="30"/>
      <c r="C513" s="30"/>
      <c r="D513" s="30"/>
      <c r="E513" s="30"/>
      <c r="F513" s="30"/>
      <c r="G513" s="30"/>
      <c r="J513" s="25"/>
      <c r="K513" s="25"/>
      <c r="Y513" s="30"/>
      <c r="Z513" s="30"/>
    </row>
    <row r="514">
      <c r="A514" s="30"/>
      <c r="B514" s="30"/>
      <c r="C514" s="30"/>
      <c r="D514" s="30"/>
      <c r="E514" s="30"/>
      <c r="F514" s="30"/>
      <c r="G514" s="30"/>
      <c r="J514" s="25"/>
      <c r="K514" s="25"/>
      <c r="Y514" s="30"/>
      <c r="Z514" s="30"/>
    </row>
    <row r="515">
      <c r="A515" s="30"/>
      <c r="B515" s="30"/>
      <c r="C515" s="30"/>
      <c r="D515" s="30"/>
      <c r="E515" s="30"/>
      <c r="F515" s="30"/>
      <c r="G515" s="30"/>
      <c r="J515" s="25"/>
      <c r="K515" s="25"/>
      <c r="Y515" s="30"/>
      <c r="Z515" s="30"/>
    </row>
    <row r="516">
      <c r="A516" s="30"/>
      <c r="B516" s="30"/>
      <c r="C516" s="30"/>
      <c r="D516" s="30"/>
      <c r="E516" s="30"/>
      <c r="F516" s="30"/>
      <c r="G516" s="30"/>
      <c r="J516" s="25"/>
      <c r="K516" s="25"/>
      <c r="Y516" s="30"/>
      <c r="Z516" s="30"/>
    </row>
    <row r="517">
      <c r="A517" s="30"/>
      <c r="B517" s="30"/>
      <c r="C517" s="30"/>
      <c r="D517" s="30"/>
      <c r="E517" s="30"/>
      <c r="F517" s="30"/>
      <c r="G517" s="30"/>
      <c r="J517" s="25"/>
      <c r="K517" s="25"/>
      <c r="Y517" s="30"/>
      <c r="Z517" s="30"/>
    </row>
    <row r="518">
      <c r="A518" s="30"/>
      <c r="B518" s="30"/>
      <c r="C518" s="30"/>
      <c r="D518" s="30"/>
      <c r="E518" s="30"/>
      <c r="F518" s="30"/>
      <c r="G518" s="30"/>
      <c r="J518" s="25"/>
      <c r="K518" s="25"/>
      <c r="Y518" s="30"/>
      <c r="Z518" s="30"/>
    </row>
    <row r="519">
      <c r="A519" s="30"/>
      <c r="B519" s="30"/>
      <c r="C519" s="30"/>
      <c r="D519" s="30"/>
      <c r="E519" s="30"/>
      <c r="F519" s="30"/>
      <c r="G519" s="30"/>
      <c r="J519" s="25"/>
      <c r="K519" s="25"/>
      <c r="Y519" s="30"/>
      <c r="Z519" s="30"/>
    </row>
    <row r="520">
      <c r="A520" s="30"/>
      <c r="B520" s="30"/>
      <c r="C520" s="30"/>
      <c r="D520" s="30"/>
      <c r="E520" s="30"/>
      <c r="F520" s="30"/>
      <c r="G520" s="30"/>
      <c r="J520" s="25"/>
      <c r="K520" s="25"/>
      <c r="Y520" s="30"/>
      <c r="Z520" s="30"/>
    </row>
    <row r="521">
      <c r="A521" s="30"/>
      <c r="B521" s="30"/>
      <c r="C521" s="30"/>
      <c r="D521" s="30"/>
      <c r="E521" s="30"/>
      <c r="F521" s="30"/>
      <c r="G521" s="30"/>
      <c r="J521" s="25"/>
      <c r="K521" s="25"/>
      <c r="Y521" s="30"/>
      <c r="Z521" s="30"/>
    </row>
    <row r="522">
      <c r="A522" s="30"/>
      <c r="B522" s="30"/>
      <c r="C522" s="30"/>
      <c r="D522" s="30"/>
      <c r="E522" s="30"/>
      <c r="F522" s="30"/>
      <c r="G522" s="30"/>
      <c r="J522" s="25"/>
      <c r="K522" s="25"/>
      <c r="Y522" s="30"/>
      <c r="Z522" s="30"/>
    </row>
    <row r="523">
      <c r="A523" s="30"/>
      <c r="B523" s="30"/>
      <c r="C523" s="30"/>
      <c r="D523" s="30"/>
      <c r="E523" s="30"/>
      <c r="F523" s="30"/>
      <c r="G523" s="30"/>
      <c r="J523" s="25"/>
      <c r="K523" s="25"/>
      <c r="Y523" s="30"/>
      <c r="Z523" s="30"/>
    </row>
    <row r="524">
      <c r="A524" s="30"/>
      <c r="B524" s="30"/>
      <c r="C524" s="30"/>
      <c r="D524" s="30"/>
      <c r="E524" s="30"/>
      <c r="F524" s="30"/>
      <c r="G524" s="30"/>
      <c r="J524" s="25"/>
      <c r="K524" s="25"/>
      <c r="Y524" s="30"/>
      <c r="Z524" s="30"/>
    </row>
    <row r="525">
      <c r="A525" s="30"/>
      <c r="B525" s="30"/>
      <c r="C525" s="30"/>
      <c r="D525" s="30"/>
      <c r="E525" s="30"/>
      <c r="F525" s="30"/>
      <c r="G525" s="30"/>
      <c r="J525" s="25"/>
      <c r="K525" s="25"/>
      <c r="Y525" s="30"/>
      <c r="Z525" s="30"/>
    </row>
    <row r="526">
      <c r="A526" s="30"/>
      <c r="B526" s="30"/>
      <c r="C526" s="30"/>
      <c r="D526" s="30"/>
      <c r="E526" s="30"/>
      <c r="F526" s="30"/>
      <c r="G526" s="30"/>
      <c r="J526" s="25"/>
      <c r="K526" s="25"/>
      <c r="Y526" s="30"/>
      <c r="Z526" s="30"/>
    </row>
    <row r="527">
      <c r="A527" s="30"/>
      <c r="B527" s="30"/>
      <c r="C527" s="30"/>
      <c r="D527" s="30"/>
      <c r="E527" s="30"/>
      <c r="F527" s="30"/>
      <c r="G527" s="30"/>
      <c r="J527" s="25"/>
      <c r="K527" s="25"/>
      <c r="Y527" s="30"/>
      <c r="Z527" s="30"/>
    </row>
    <row r="528">
      <c r="A528" s="30"/>
      <c r="B528" s="30"/>
      <c r="C528" s="30"/>
      <c r="D528" s="30"/>
      <c r="E528" s="30"/>
      <c r="F528" s="30"/>
      <c r="G528" s="30"/>
      <c r="J528" s="25"/>
      <c r="K528" s="25"/>
      <c r="Y528" s="30"/>
      <c r="Z528" s="30"/>
    </row>
    <row r="529">
      <c r="A529" s="30"/>
      <c r="B529" s="30"/>
      <c r="C529" s="30"/>
      <c r="D529" s="30"/>
      <c r="E529" s="30"/>
      <c r="F529" s="30"/>
      <c r="G529" s="30"/>
      <c r="J529" s="25"/>
      <c r="K529" s="25"/>
      <c r="Y529" s="30"/>
      <c r="Z529" s="30"/>
    </row>
    <row r="530">
      <c r="A530" s="30"/>
      <c r="B530" s="30"/>
      <c r="C530" s="30"/>
      <c r="D530" s="30"/>
      <c r="E530" s="30"/>
      <c r="F530" s="30"/>
      <c r="G530" s="30"/>
      <c r="J530" s="25"/>
      <c r="K530" s="25"/>
      <c r="Y530" s="30"/>
      <c r="Z530" s="30"/>
    </row>
    <row r="531">
      <c r="A531" s="30"/>
      <c r="B531" s="30"/>
      <c r="C531" s="30"/>
      <c r="D531" s="30"/>
      <c r="E531" s="30"/>
      <c r="F531" s="30"/>
      <c r="G531" s="30"/>
      <c r="J531" s="25"/>
      <c r="K531" s="25"/>
      <c r="Y531" s="30"/>
      <c r="Z531" s="30"/>
    </row>
    <row r="532">
      <c r="A532" s="30"/>
      <c r="B532" s="30"/>
      <c r="C532" s="30"/>
      <c r="D532" s="30"/>
      <c r="E532" s="30"/>
      <c r="F532" s="30"/>
      <c r="G532" s="30"/>
      <c r="J532" s="25"/>
      <c r="K532" s="25"/>
      <c r="Y532" s="30"/>
      <c r="Z532" s="30"/>
    </row>
    <row r="533">
      <c r="A533" s="30"/>
      <c r="B533" s="30"/>
      <c r="C533" s="30"/>
      <c r="D533" s="30"/>
      <c r="E533" s="30"/>
      <c r="F533" s="30"/>
      <c r="G533" s="30"/>
      <c r="J533" s="25"/>
      <c r="K533" s="25"/>
      <c r="Y533" s="30"/>
      <c r="Z533" s="30"/>
    </row>
    <row r="534">
      <c r="A534" s="30"/>
      <c r="B534" s="30"/>
      <c r="C534" s="30"/>
      <c r="D534" s="30"/>
      <c r="E534" s="30"/>
      <c r="F534" s="30"/>
      <c r="G534" s="30"/>
      <c r="J534" s="25"/>
      <c r="K534" s="25"/>
      <c r="Y534" s="30"/>
      <c r="Z534" s="30"/>
    </row>
    <row r="535">
      <c r="A535" s="30"/>
      <c r="B535" s="30"/>
      <c r="C535" s="30"/>
      <c r="D535" s="30"/>
      <c r="E535" s="30"/>
      <c r="F535" s="30"/>
      <c r="G535" s="30"/>
      <c r="J535" s="25"/>
      <c r="K535" s="25"/>
      <c r="Y535" s="30"/>
      <c r="Z535" s="30"/>
    </row>
    <row r="536">
      <c r="A536" s="30"/>
      <c r="B536" s="30"/>
      <c r="C536" s="30"/>
      <c r="D536" s="30"/>
      <c r="E536" s="30"/>
      <c r="F536" s="30"/>
      <c r="G536" s="30"/>
      <c r="J536" s="25"/>
      <c r="K536" s="25"/>
      <c r="Y536" s="30"/>
      <c r="Z536" s="30"/>
    </row>
    <row r="537">
      <c r="A537" s="30"/>
      <c r="B537" s="30"/>
      <c r="C537" s="30"/>
      <c r="D537" s="30"/>
      <c r="E537" s="30"/>
      <c r="F537" s="30"/>
      <c r="G537" s="30"/>
      <c r="J537" s="25"/>
      <c r="K537" s="25"/>
      <c r="Y537" s="30"/>
      <c r="Z537" s="30"/>
    </row>
    <row r="538">
      <c r="A538" s="30"/>
      <c r="B538" s="30"/>
      <c r="C538" s="30"/>
      <c r="D538" s="30"/>
      <c r="E538" s="30"/>
      <c r="F538" s="30"/>
      <c r="G538" s="30"/>
      <c r="J538" s="25"/>
      <c r="K538" s="25"/>
      <c r="Y538" s="30"/>
      <c r="Z538" s="30"/>
    </row>
    <row r="539">
      <c r="A539" s="30"/>
      <c r="B539" s="30"/>
      <c r="C539" s="30"/>
      <c r="D539" s="30"/>
      <c r="E539" s="30"/>
      <c r="F539" s="30"/>
      <c r="G539" s="30"/>
      <c r="J539" s="25"/>
      <c r="K539" s="25"/>
      <c r="Y539" s="30"/>
      <c r="Z539" s="30"/>
    </row>
    <row r="540">
      <c r="A540" s="30"/>
      <c r="B540" s="30"/>
      <c r="C540" s="30"/>
      <c r="D540" s="30"/>
      <c r="E540" s="30"/>
      <c r="F540" s="30"/>
      <c r="G540" s="30"/>
      <c r="J540" s="25"/>
      <c r="K540" s="25"/>
      <c r="Y540" s="30"/>
      <c r="Z540" s="30"/>
    </row>
    <row r="541">
      <c r="A541" s="30"/>
      <c r="B541" s="30"/>
      <c r="C541" s="30"/>
      <c r="D541" s="30"/>
      <c r="E541" s="30"/>
      <c r="F541" s="30"/>
      <c r="G541" s="30"/>
      <c r="J541" s="25"/>
      <c r="K541" s="25"/>
      <c r="Y541" s="30"/>
      <c r="Z541" s="30"/>
    </row>
    <row r="542">
      <c r="A542" s="30"/>
      <c r="B542" s="30"/>
      <c r="C542" s="30"/>
      <c r="D542" s="30"/>
      <c r="E542" s="30"/>
      <c r="F542" s="30"/>
      <c r="G542" s="30"/>
      <c r="J542" s="25"/>
      <c r="K542" s="25"/>
      <c r="Y542" s="30"/>
      <c r="Z542" s="30"/>
    </row>
    <row r="543">
      <c r="A543" s="30"/>
      <c r="B543" s="30"/>
      <c r="C543" s="30"/>
      <c r="D543" s="30"/>
      <c r="E543" s="30"/>
      <c r="F543" s="30"/>
      <c r="G543" s="30"/>
      <c r="J543" s="25"/>
      <c r="K543" s="25"/>
      <c r="Y543" s="30"/>
      <c r="Z543" s="30"/>
    </row>
    <row r="544">
      <c r="A544" s="30"/>
      <c r="B544" s="30"/>
      <c r="C544" s="30"/>
      <c r="D544" s="30"/>
      <c r="E544" s="30"/>
      <c r="F544" s="30"/>
      <c r="G544" s="30"/>
      <c r="J544" s="25"/>
      <c r="K544" s="25"/>
      <c r="Y544" s="30"/>
      <c r="Z544" s="30"/>
    </row>
    <row r="545">
      <c r="A545" s="30"/>
      <c r="B545" s="30"/>
      <c r="C545" s="30"/>
      <c r="D545" s="30"/>
      <c r="E545" s="30"/>
      <c r="F545" s="30"/>
      <c r="G545" s="30"/>
      <c r="J545" s="25"/>
      <c r="K545" s="25"/>
      <c r="Y545" s="30"/>
      <c r="Z545" s="30"/>
    </row>
    <row r="546">
      <c r="A546" s="30"/>
      <c r="B546" s="30"/>
      <c r="C546" s="30"/>
      <c r="D546" s="30"/>
      <c r="E546" s="30"/>
      <c r="F546" s="30"/>
      <c r="G546" s="30"/>
      <c r="J546" s="25"/>
      <c r="K546" s="25"/>
      <c r="Y546" s="30"/>
      <c r="Z546" s="30"/>
    </row>
    <row r="547">
      <c r="A547" s="30"/>
      <c r="B547" s="30"/>
      <c r="C547" s="30"/>
      <c r="D547" s="30"/>
      <c r="E547" s="30"/>
      <c r="F547" s="30"/>
      <c r="G547" s="30"/>
      <c r="J547" s="25"/>
      <c r="K547" s="25"/>
      <c r="Y547" s="30"/>
      <c r="Z547" s="30"/>
    </row>
    <row r="548">
      <c r="A548" s="30"/>
      <c r="B548" s="30"/>
      <c r="C548" s="30"/>
      <c r="D548" s="30"/>
      <c r="E548" s="30"/>
      <c r="F548" s="30"/>
      <c r="G548" s="30"/>
      <c r="J548" s="25"/>
      <c r="K548" s="25"/>
      <c r="Y548" s="30"/>
      <c r="Z548" s="30"/>
    </row>
    <row r="549">
      <c r="A549" s="30"/>
      <c r="B549" s="30"/>
      <c r="C549" s="30"/>
      <c r="D549" s="30"/>
      <c r="E549" s="30"/>
      <c r="F549" s="30"/>
      <c r="G549" s="30"/>
      <c r="J549" s="25"/>
      <c r="K549" s="25"/>
      <c r="Y549" s="30"/>
      <c r="Z549" s="30"/>
    </row>
    <row r="550">
      <c r="A550" s="30"/>
      <c r="B550" s="30"/>
      <c r="C550" s="30"/>
      <c r="D550" s="30"/>
      <c r="E550" s="30"/>
      <c r="F550" s="30"/>
      <c r="G550" s="30"/>
      <c r="J550" s="25"/>
      <c r="K550" s="25"/>
      <c r="Y550" s="30"/>
      <c r="Z550" s="30"/>
    </row>
    <row r="551">
      <c r="A551" s="30"/>
      <c r="B551" s="30"/>
      <c r="C551" s="30"/>
      <c r="D551" s="30"/>
      <c r="E551" s="30"/>
      <c r="F551" s="30"/>
      <c r="G551" s="30"/>
      <c r="J551" s="25"/>
      <c r="K551" s="25"/>
      <c r="Y551" s="30"/>
      <c r="Z551" s="30"/>
    </row>
    <row r="552">
      <c r="A552" s="30"/>
      <c r="B552" s="30"/>
      <c r="C552" s="30"/>
      <c r="D552" s="30"/>
      <c r="E552" s="30"/>
      <c r="F552" s="30"/>
      <c r="G552" s="30"/>
      <c r="J552" s="25"/>
      <c r="K552" s="25"/>
      <c r="Y552" s="30"/>
      <c r="Z552" s="30"/>
    </row>
    <row r="553">
      <c r="A553" s="30"/>
      <c r="B553" s="30"/>
      <c r="C553" s="30"/>
      <c r="D553" s="30"/>
      <c r="E553" s="30"/>
      <c r="F553" s="30"/>
      <c r="G553" s="30"/>
      <c r="J553" s="25"/>
      <c r="K553" s="25"/>
      <c r="Y553" s="30"/>
      <c r="Z553" s="30"/>
    </row>
    <row r="554">
      <c r="A554" s="30"/>
      <c r="B554" s="30"/>
      <c r="C554" s="30"/>
      <c r="D554" s="30"/>
      <c r="E554" s="30"/>
      <c r="F554" s="30"/>
      <c r="G554" s="30"/>
      <c r="J554" s="25"/>
      <c r="K554" s="25"/>
      <c r="Y554" s="30"/>
      <c r="Z554" s="30"/>
    </row>
    <row r="555">
      <c r="A555" s="30"/>
      <c r="B555" s="30"/>
      <c r="C555" s="30"/>
      <c r="D555" s="30"/>
      <c r="E555" s="30"/>
      <c r="F555" s="30"/>
      <c r="G555" s="30"/>
      <c r="J555" s="25"/>
      <c r="K555" s="25"/>
      <c r="Y555" s="30"/>
      <c r="Z555" s="30"/>
    </row>
    <row r="556">
      <c r="A556" s="30"/>
      <c r="B556" s="30"/>
      <c r="C556" s="30"/>
      <c r="D556" s="30"/>
      <c r="E556" s="30"/>
      <c r="F556" s="30"/>
      <c r="G556" s="30"/>
      <c r="J556" s="25"/>
      <c r="K556" s="25"/>
      <c r="Y556" s="30"/>
      <c r="Z556" s="30"/>
    </row>
    <row r="557">
      <c r="A557" s="30"/>
      <c r="B557" s="30"/>
      <c r="C557" s="30"/>
      <c r="D557" s="30"/>
      <c r="E557" s="30"/>
      <c r="F557" s="30"/>
      <c r="G557" s="30"/>
      <c r="J557" s="25"/>
      <c r="K557" s="25"/>
      <c r="Y557" s="30"/>
      <c r="Z557" s="30"/>
    </row>
    <row r="558">
      <c r="A558" s="30"/>
      <c r="B558" s="30"/>
      <c r="C558" s="30"/>
      <c r="D558" s="30"/>
      <c r="E558" s="30"/>
      <c r="F558" s="30"/>
      <c r="G558" s="30"/>
      <c r="J558" s="25"/>
      <c r="K558" s="25"/>
      <c r="Y558" s="30"/>
      <c r="Z558" s="30"/>
    </row>
    <row r="559">
      <c r="A559" s="30"/>
      <c r="B559" s="30"/>
      <c r="C559" s="30"/>
      <c r="D559" s="30"/>
      <c r="E559" s="30"/>
      <c r="F559" s="30"/>
      <c r="G559" s="30"/>
      <c r="J559" s="25"/>
      <c r="K559" s="25"/>
      <c r="Y559" s="30"/>
      <c r="Z559" s="30"/>
    </row>
    <row r="560">
      <c r="A560" s="30"/>
      <c r="B560" s="30"/>
      <c r="C560" s="30"/>
      <c r="D560" s="30"/>
      <c r="E560" s="30"/>
      <c r="F560" s="30"/>
      <c r="G560" s="30"/>
      <c r="J560" s="25"/>
      <c r="K560" s="25"/>
      <c r="Y560" s="30"/>
      <c r="Z560" s="30"/>
    </row>
    <row r="561">
      <c r="A561" s="30"/>
      <c r="B561" s="30"/>
      <c r="C561" s="30"/>
      <c r="D561" s="30"/>
      <c r="E561" s="30"/>
      <c r="F561" s="30"/>
      <c r="G561" s="30"/>
      <c r="J561" s="25"/>
      <c r="K561" s="25"/>
      <c r="Y561" s="30"/>
      <c r="Z561" s="30"/>
    </row>
    <row r="562">
      <c r="A562" s="30"/>
      <c r="B562" s="30"/>
      <c r="C562" s="30"/>
      <c r="D562" s="30"/>
      <c r="E562" s="30"/>
      <c r="F562" s="30"/>
      <c r="G562" s="30"/>
      <c r="J562" s="25"/>
      <c r="K562" s="25"/>
      <c r="Y562" s="30"/>
      <c r="Z562" s="30"/>
    </row>
    <row r="563">
      <c r="A563" s="30"/>
      <c r="B563" s="30"/>
      <c r="C563" s="30"/>
      <c r="D563" s="30"/>
      <c r="E563" s="30"/>
      <c r="F563" s="30"/>
      <c r="G563" s="30"/>
      <c r="J563" s="25"/>
      <c r="K563" s="25"/>
      <c r="Y563" s="30"/>
      <c r="Z563" s="30"/>
    </row>
    <row r="564">
      <c r="A564" s="30"/>
      <c r="B564" s="30"/>
      <c r="C564" s="30"/>
      <c r="D564" s="30"/>
      <c r="E564" s="30"/>
      <c r="F564" s="30"/>
      <c r="G564" s="30"/>
      <c r="J564" s="25"/>
      <c r="K564" s="25"/>
      <c r="Y564" s="30"/>
      <c r="Z564" s="30"/>
    </row>
    <row r="565">
      <c r="A565" s="30"/>
      <c r="B565" s="30"/>
      <c r="C565" s="30"/>
      <c r="D565" s="30"/>
      <c r="E565" s="30"/>
      <c r="F565" s="30"/>
      <c r="G565" s="30"/>
      <c r="J565" s="25"/>
      <c r="K565" s="25"/>
      <c r="Y565" s="30"/>
      <c r="Z565" s="30"/>
    </row>
    <row r="566">
      <c r="A566" s="30"/>
      <c r="B566" s="30"/>
      <c r="C566" s="30"/>
      <c r="D566" s="30"/>
      <c r="E566" s="30"/>
      <c r="F566" s="30"/>
      <c r="G566" s="30"/>
      <c r="J566" s="25"/>
      <c r="K566" s="25"/>
      <c r="Y566" s="30"/>
      <c r="Z566" s="30"/>
    </row>
    <row r="567">
      <c r="A567" s="30"/>
      <c r="B567" s="30"/>
      <c r="C567" s="30"/>
      <c r="D567" s="30"/>
      <c r="E567" s="30"/>
      <c r="F567" s="30"/>
      <c r="G567" s="30"/>
      <c r="J567" s="25"/>
      <c r="K567" s="25"/>
      <c r="Y567" s="30"/>
      <c r="Z567" s="30"/>
    </row>
    <row r="568">
      <c r="A568" s="30"/>
      <c r="B568" s="30"/>
      <c r="C568" s="30"/>
      <c r="D568" s="30"/>
      <c r="E568" s="30"/>
      <c r="F568" s="30"/>
      <c r="G568" s="30"/>
      <c r="J568" s="25"/>
      <c r="K568" s="25"/>
      <c r="Y568" s="30"/>
      <c r="Z568" s="30"/>
    </row>
    <row r="569">
      <c r="A569" s="30"/>
      <c r="B569" s="30"/>
      <c r="C569" s="30"/>
      <c r="D569" s="30"/>
      <c r="E569" s="30"/>
      <c r="F569" s="30"/>
      <c r="G569" s="30"/>
      <c r="J569" s="25"/>
      <c r="K569" s="25"/>
      <c r="Y569" s="30"/>
      <c r="Z569" s="30"/>
    </row>
    <row r="570">
      <c r="A570" s="30"/>
      <c r="B570" s="30"/>
      <c r="C570" s="30"/>
      <c r="D570" s="30"/>
      <c r="E570" s="30"/>
      <c r="F570" s="30"/>
      <c r="G570" s="30"/>
      <c r="J570" s="25"/>
      <c r="K570" s="25"/>
      <c r="Y570" s="30"/>
      <c r="Z570" s="30"/>
    </row>
    <row r="571">
      <c r="A571" s="30"/>
      <c r="B571" s="30"/>
      <c r="C571" s="30"/>
      <c r="D571" s="30"/>
      <c r="E571" s="30"/>
      <c r="F571" s="30"/>
      <c r="G571" s="30"/>
      <c r="J571" s="25"/>
      <c r="K571" s="25"/>
      <c r="Y571" s="30"/>
      <c r="Z571" s="30"/>
    </row>
    <row r="572">
      <c r="A572" s="30"/>
      <c r="B572" s="30"/>
      <c r="C572" s="30"/>
      <c r="D572" s="30"/>
      <c r="E572" s="30"/>
      <c r="F572" s="30"/>
      <c r="G572" s="30"/>
      <c r="J572" s="25"/>
      <c r="K572" s="25"/>
      <c r="Y572" s="30"/>
      <c r="Z572" s="30"/>
    </row>
    <row r="573">
      <c r="A573" s="30"/>
      <c r="B573" s="30"/>
      <c r="C573" s="30"/>
      <c r="D573" s="30"/>
      <c r="E573" s="30"/>
      <c r="F573" s="30"/>
      <c r="G573" s="30"/>
      <c r="J573" s="25"/>
      <c r="K573" s="25"/>
      <c r="Y573" s="30"/>
      <c r="Z573" s="30"/>
    </row>
    <row r="574">
      <c r="A574" s="30"/>
      <c r="B574" s="30"/>
      <c r="C574" s="30"/>
      <c r="D574" s="30"/>
      <c r="E574" s="30"/>
      <c r="F574" s="30"/>
      <c r="G574" s="30"/>
      <c r="J574" s="25"/>
      <c r="K574" s="25"/>
      <c r="Y574" s="30"/>
      <c r="Z574" s="30"/>
    </row>
    <row r="575">
      <c r="A575" s="30"/>
      <c r="B575" s="30"/>
      <c r="C575" s="30"/>
      <c r="D575" s="30"/>
      <c r="E575" s="30"/>
      <c r="F575" s="30"/>
      <c r="G575" s="30"/>
      <c r="J575" s="25"/>
      <c r="K575" s="25"/>
      <c r="Y575" s="30"/>
      <c r="Z575" s="30"/>
    </row>
    <row r="576">
      <c r="A576" s="30"/>
      <c r="B576" s="30"/>
      <c r="C576" s="30"/>
      <c r="D576" s="30"/>
      <c r="E576" s="30"/>
      <c r="F576" s="30"/>
      <c r="G576" s="30"/>
      <c r="J576" s="25"/>
      <c r="K576" s="25"/>
      <c r="Y576" s="30"/>
      <c r="Z576" s="30"/>
    </row>
    <row r="577">
      <c r="A577" s="30"/>
      <c r="B577" s="30"/>
      <c r="C577" s="30"/>
      <c r="D577" s="30"/>
      <c r="E577" s="30"/>
      <c r="F577" s="30"/>
      <c r="G577" s="30"/>
      <c r="J577" s="25"/>
      <c r="K577" s="25"/>
      <c r="Y577" s="30"/>
      <c r="Z577" s="30"/>
    </row>
    <row r="578">
      <c r="A578" s="30"/>
      <c r="B578" s="30"/>
      <c r="C578" s="30"/>
      <c r="D578" s="30"/>
      <c r="E578" s="30"/>
      <c r="F578" s="30"/>
      <c r="G578" s="30"/>
      <c r="J578" s="25"/>
      <c r="K578" s="25"/>
      <c r="Y578" s="30"/>
      <c r="Z578" s="30"/>
    </row>
    <row r="579">
      <c r="A579" s="30"/>
      <c r="B579" s="30"/>
      <c r="C579" s="30"/>
      <c r="D579" s="30"/>
      <c r="E579" s="30"/>
      <c r="F579" s="30"/>
      <c r="G579" s="30"/>
      <c r="J579" s="25"/>
      <c r="K579" s="25"/>
      <c r="Y579" s="30"/>
      <c r="Z579" s="30"/>
    </row>
    <row r="580">
      <c r="A580" s="30"/>
      <c r="B580" s="30"/>
      <c r="C580" s="30"/>
      <c r="D580" s="30"/>
      <c r="E580" s="30"/>
      <c r="F580" s="30"/>
      <c r="G580" s="30"/>
      <c r="J580" s="25"/>
      <c r="K580" s="25"/>
      <c r="Y580" s="30"/>
      <c r="Z580" s="30"/>
    </row>
    <row r="581">
      <c r="A581" s="30"/>
      <c r="B581" s="30"/>
      <c r="C581" s="30"/>
      <c r="D581" s="30"/>
      <c r="E581" s="30"/>
      <c r="F581" s="30"/>
      <c r="G581" s="30"/>
      <c r="J581" s="25"/>
      <c r="K581" s="25"/>
      <c r="Y581" s="30"/>
      <c r="Z581" s="30"/>
    </row>
    <row r="582">
      <c r="A582" s="30"/>
      <c r="B582" s="30"/>
      <c r="C582" s="30"/>
      <c r="D582" s="30"/>
      <c r="E582" s="30"/>
      <c r="F582" s="30"/>
      <c r="G582" s="30"/>
      <c r="J582" s="25"/>
      <c r="K582" s="25"/>
      <c r="Y582" s="30"/>
      <c r="Z582" s="30"/>
    </row>
    <row r="583">
      <c r="A583" s="30"/>
      <c r="B583" s="30"/>
      <c r="C583" s="30"/>
      <c r="D583" s="30"/>
      <c r="E583" s="30"/>
      <c r="F583" s="30"/>
      <c r="G583" s="30"/>
      <c r="J583" s="25"/>
      <c r="K583" s="25"/>
      <c r="Y583" s="30"/>
      <c r="Z583" s="30"/>
    </row>
    <row r="584">
      <c r="A584" s="30"/>
      <c r="B584" s="30"/>
      <c r="C584" s="30"/>
      <c r="D584" s="30"/>
      <c r="E584" s="30"/>
      <c r="F584" s="30"/>
      <c r="G584" s="30"/>
      <c r="J584" s="25"/>
      <c r="K584" s="25"/>
      <c r="Y584" s="30"/>
      <c r="Z584" s="30"/>
    </row>
    <row r="585">
      <c r="A585" s="30"/>
      <c r="B585" s="30"/>
      <c r="C585" s="30"/>
      <c r="D585" s="30"/>
      <c r="E585" s="30"/>
      <c r="F585" s="30"/>
      <c r="G585" s="30"/>
      <c r="J585" s="25"/>
      <c r="K585" s="25"/>
      <c r="Y585" s="30"/>
      <c r="Z585" s="30"/>
    </row>
    <row r="586">
      <c r="A586" s="30"/>
      <c r="B586" s="30"/>
      <c r="C586" s="30"/>
      <c r="D586" s="30"/>
      <c r="E586" s="30"/>
      <c r="F586" s="30"/>
      <c r="G586" s="30"/>
      <c r="J586" s="25"/>
      <c r="K586" s="25"/>
      <c r="Y586" s="30"/>
      <c r="Z586" s="30"/>
    </row>
    <row r="587">
      <c r="A587" s="30"/>
      <c r="B587" s="30"/>
      <c r="C587" s="30"/>
      <c r="D587" s="30"/>
      <c r="E587" s="30"/>
      <c r="F587" s="30"/>
      <c r="G587" s="30"/>
      <c r="J587" s="25"/>
      <c r="K587" s="25"/>
      <c r="Y587" s="30"/>
      <c r="Z587" s="30"/>
    </row>
    <row r="588">
      <c r="A588" s="30"/>
      <c r="B588" s="30"/>
      <c r="C588" s="30"/>
      <c r="D588" s="30"/>
      <c r="E588" s="30"/>
      <c r="F588" s="30"/>
      <c r="G588" s="30"/>
      <c r="J588" s="25"/>
      <c r="K588" s="25"/>
      <c r="Y588" s="30"/>
      <c r="Z588" s="30"/>
    </row>
    <row r="589">
      <c r="A589" s="30"/>
      <c r="B589" s="30"/>
      <c r="C589" s="30"/>
      <c r="D589" s="30"/>
      <c r="E589" s="30"/>
      <c r="F589" s="30"/>
      <c r="G589" s="30"/>
      <c r="J589" s="25"/>
      <c r="K589" s="25"/>
      <c r="Y589" s="30"/>
      <c r="Z589" s="30"/>
    </row>
    <row r="590">
      <c r="A590" s="30"/>
      <c r="B590" s="30"/>
      <c r="C590" s="30"/>
      <c r="D590" s="30"/>
      <c r="E590" s="30"/>
      <c r="F590" s="30"/>
      <c r="G590" s="30"/>
      <c r="J590" s="25"/>
      <c r="K590" s="25"/>
      <c r="Y590" s="30"/>
      <c r="Z590" s="30"/>
    </row>
    <row r="591">
      <c r="A591" s="30"/>
      <c r="B591" s="30"/>
      <c r="C591" s="30"/>
      <c r="D591" s="30"/>
      <c r="E591" s="30"/>
      <c r="F591" s="30"/>
      <c r="G591" s="30"/>
      <c r="J591" s="25"/>
      <c r="K591" s="25"/>
      <c r="Y591" s="30"/>
      <c r="Z591" s="30"/>
    </row>
    <row r="592">
      <c r="A592" s="30"/>
      <c r="B592" s="30"/>
      <c r="C592" s="30"/>
      <c r="D592" s="30"/>
      <c r="E592" s="30"/>
      <c r="F592" s="30"/>
      <c r="G592" s="30"/>
      <c r="J592" s="25"/>
      <c r="K592" s="25"/>
      <c r="Y592" s="30"/>
      <c r="Z592" s="30"/>
    </row>
    <row r="593">
      <c r="A593" s="30"/>
      <c r="B593" s="30"/>
      <c r="C593" s="30"/>
      <c r="D593" s="30"/>
      <c r="E593" s="30"/>
      <c r="F593" s="30"/>
      <c r="G593" s="30"/>
      <c r="J593" s="25"/>
      <c r="K593" s="25"/>
      <c r="Y593" s="30"/>
      <c r="Z593" s="30"/>
    </row>
    <row r="594">
      <c r="A594" s="30"/>
      <c r="B594" s="30"/>
      <c r="C594" s="30"/>
      <c r="D594" s="30"/>
      <c r="E594" s="30"/>
      <c r="F594" s="30"/>
      <c r="G594" s="30"/>
      <c r="J594" s="25"/>
      <c r="K594" s="25"/>
      <c r="Y594" s="30"/>
      <c r="Z594" s="30"/>
    </row>
    <row r="595">
      <c r="A595" s="30"/>
      <c r="B595" s="30"/>
      <c r="C595" s="30"/>
      <c r="D595" s="30"/>
      <c r="E595" s="30"/>
      <c r="F595" s="30"/>
      <c r="G595" s="30"/>
      <c r="J595" s="25"/>
      <c r="K595" s="25"/>
      <c r="Y595" s="30"/>
      <c r="Z595" s="30"/>
    </row>
    <row r="596">
      <c r="A596" s="30"/>
      <c r="B596" s="30"/>
      <c r="C596" s="30"/>
      <c r="D596" s="30"/>
      <c r="E596" s="30"/>
      <c r="F596" s="30"/>
      <c r="G596" s="30"/>
      <c r="J596" s="25"/>
      <c r="K596" s="25"/>
      <c r="Y596" s="30"/>
      <c r="Z596" s="30"/>
    </row>
    <row r="597">
      <c r="A597" s="30"/>
      <c r="B597" s="30"/>
      <c r="C597" s="30"/>
      <c r="D597" s="30"/>
      <c r="E597" s="30"/>
      <c r="F597" s="30"/>
      <c r="G597" s="30"/>
      <c r="J597" s="25"/>
      <c r="K597" s="25"/>
      <c r="Y597" s="30"/>
      <c r="Z597" s="30"/>
    </row>
    <row r="598">
      <c r="A598" s="30"/>
      <c r="B598" s="30"/>
      <c r="C598" s="30"/>
      <c r="D598" s="30"/>
      <c r="E598" s="30"/>
      <c r="F598" s="30"/>
      <c r="G598" s="30"/>
      <c r="J598" s="25"/>
      <c r="K598" s="25"/>
      <c r="Y598" s="30"/>
      <c r="Z598" s="30"/>
    </row>
    <row r="599">
      <c r="A599" s="30"/>
      <c r="B599" s="30"/>
      <c r="C599" s="30"/>
      <c r="D599" s="30"/>
      <c r="E599" s="30"/>
      <c r="F599" s="30"/>
      <c r="G599" s="30"/>
      <c r="J599" s="25"/>
      <c r="K599" s="25"/>
      <c r="Y599" s="30"/>
      <c r="Z599" s="30"/>
    </row>
    <row r="600">
      <c r="A600" s="30"/>
      <c r="B600" s="30"/>
      <c r="C600" s="30"/>
      <c r="D600" s="30"/>
      <c r="E600" s="30"/>
      <c r="F600" s="30"/>
      <c r="G600" s="30"/>
      <c r="J600" s="25"/>
      <c r="K600" s="25"/>
      <c r="Y600" s="30"/>
      <c r="Z600" s="30"/>
    </row>
    <row r="601">
      <c r="A601" s="30"/>
      <c r="B601" s="30"/>
      <c r="C601" s="30"/>
      <c r="D601" s="30"/>
      <c r="E601" s="30"/>
      <c r="F601" s="30"/>
      <c r="G601" s="30"/>
      <c r="J601" s="25"/>
      <c r="K601" s="25"/>
      <c r="Y601" s="30"/>
      <c r="Z601" s="30"/>
    </row>
    <row r="602">
      <c r="A602" s="30"/>
      <c r="B602" s="30"/>
      <c r="C602" s="30"/>
      <c r="D602" s="30"/>
      <c r="E602" s="30"/>
      <c r="F602" s="30"/>
      <c r="G602" s="30"/>
      <c r="J602" s="25"/>
      <c r="K602" s="25"/>
      <c r="Y602" s="30"/>
      <c r="Z602" s="30"/>
    </row>
    <row r="603">
      <c r="A603" s="30"/>
      <c r="B603" s="30"/>
      <c r="C603" s="30"/>
      <c r="D603" s="30"/>
      <c r="E603" s="30"/>
      <c r="F603" s="30"/>
      <c r="G603" s="30"/>
      <c r="J603" s="25"/>
      <c r="K603" s="25"/>
      <c r="Y603" s="30"/>
      <c r="Z603" s="30"/>
    </row>
    <row r="604">
      <c r="A604" s="30"/>
      <c r="B604" s="30"/>
      <c r="C604" s="30"/>
      <c r="D604" s="30"/>
      <c r="E604" s="30"/>
      <c r="F604" s="30"/>
      <c r="G604" s="30"/>
      <c r="J604" s="25"/>
      <c r="K604" s="25"/>
      <c r="Y604" s="30"/>
      <c r="Z604" s="30"/>
    </row>
    <row r="605">
      <c r="A605" s="30"/>
      <c r="B605" s="30"/>
      <c r="C605" s="30"/>
      <c r="D605" s="30"/>
      <c r="E605" s="30"/>
      <c r="F605" s="30"/>
      <c r="G605" s="30"/>
      <c r="J605" s="25"/>
      <c r="K605" s="25"/>
      <c r="Y605" s="30"/>
      <c r="Z605" s="30"/>
    </row>
    <row r="606">
      <c r="A606" s="30"/>
      <c r="B606" s="30"/>
      <c r="C606" s="30"/>
      <c r="D606" s="30"/>
      <c r="E606" s="30"/>
      <c r="F606" s="30"/>
      <c r="G606" s="30"/>
      <c r="J606" s="25"/>
      <c r="K606" s="25"/>
      <c r="Y606" s="30"/>
      <c r="Z606" s="30"/>
    </row>
    <row r="607">
      <c r="A607" s="30"/>
      <c r="B607" s="30"/>
      <c r="C607" s="30"/>
      <c r="D607" s="30"/>
      <c r="E607" s="30"/>
      <c r="F607" s="30"/>
      <c r="G607" s="30"/>
      <c r="J607" s="25"/>
      <c r="K607" s="25"/>
      <c r="Y607" s="30"/>
      <c r="Z607" s="30"/>
    </row>
    <row r="608">
      <c r="A608" s="30"/>
      <c r="B608" s="30"/>
      <c r="C608" s="30"/>
      <c r="D608" s="30"/>
      <c r="E608" s="30"/>
      <c r="F608" s="30"/>
      <c r="G608" s="30"/>
      <c r="J608" s="25"/>
      <c r="K608" s="25"/>
      <c r="Y608" s="30"/>
      <c r="Z608" s="30"/>
    </row>
    <row r="609">
      <c r="A609" s="30"/>
      <c r="B609" s="30"/>
      <c r="C609" s="30"/>
      <c r="D609" s="30"/>
      <c r="E609" s="30"/>
      <c r="F609" s="30"/>
      <c r="G609" s="30"/>
      <c r="J609" s="25"/>
      <c r="K609" s="25"/>
      <c r="Y609" s="30"/>
      <c r="Z609" s="30"/>
    </row>
    <row r="610">
      <c r="A610" s="30"/>
      <c r="B610" s="30"/>
      <c r="C610" s="30"/>
      <c r="D610" s="30"/>
      <c r="E610" s="30"/>
      <c r="F610" s="30"/>
      <c r="G610" s="30"/>
      <c r="J610" s="25"/>
      <c r="K610" s="25"/>
      <c r="Y610" s="30"/>
      <c r="Z610" s="30"/>
    </row>
    <row r="611">
      <c r="A611" s="30"/>
      <c r="B611" s="30"/>
      <c r="C611" s="30"/>
      <c r="D611" s="30"/>
      <c r="E611" s="30"/>
      <c r="F611" s="30"/>
      <c r="G611" s="30"/>
      <c r="J611" s="25"/>
      <c r="K611" s="25"/>
      <c r="Y611" s="30"/>
      <c r="Z611" s="30"/>
    </row>
    <row r="612">
      <c r="A612" s="30"/>
      <c r="B612" s="30"/>
      <c r="C612" s="30"/>
      <c r="D612" s="30"/>
      <c r="E612" s="30"/>
      <c r="F612" s="30"/>
      <c r="G612" s="30"/>
      <c r="J612" s="25"/>
      <c r="K612" s="25"/>
      <c r="Y612" s="30"/>
      <c r="Z612" s="30"/>
    </row>
    <row r="613">
      <c r="A613" s="30"/>
      <c r="B613" s="30"/>
      <c r="C613" s="30"/>
      <c r="D613" s="30"/>
      <c r="E613" s="30"/>
      <c r="F613" s="30"/>
      <c r="G613" s="30"/>
      <c r="J613" s="25"/>
      <c r="K613" s="25"/>
      <c r="Y613" s="30"/>
      <c r="Z613" s="30"/>
    </row>
    <row r="614">
      <c r="A614" s="30"/>
      <c r="B614" s="30"/>
      <c r="C614" s="30"/>
      <c r="D614" s="30"/>
      <c r="E614" s="30"/>
      <c r="F614" s="30"/>
      <c r="G614" s="30"/>
      <c r="J614" s="25"/>
      <c r="K614" s="25"/>
      <c r="Y614" s="30"/>
      <c r="Z614" s="30"/>
    </row>
    <row r="615">
      <c r="A615" s="30"/>
      <c r="B615" s="30"/>
      <c r="C615" s="30"/>
      <c r="D615" s="30"/>
      <c r="E615" s="30"/>
      <c r="F615" s="30"/>
      <c r="G615" s="30"/>
      <c r="J615" s="25"/>
      <c r="K615" s="25"/>
      <c r="Y615" s="30"/>
      <c r="Z615" s="30"/>
    </row>
    <row r="616">
      <c r="A616" s="30"/>
      <c r="B616" s="30"/>
      <c r="C616" s="30"/>
      <c r="D616" s="30"/>
      <c r="E616" s="30"/>
      <c r="F616" s="30"/>
      <c r="G616" s="30"/>
      <c r="J616" s="25"/>
      <c r="K616" s="25"/>
      <c r="Y616" s="30"/>
      <c r="Z616" s="30"/>
    </row>
    <row r="617">
      <c r="A617" s="30"/>
      <c r="B617" s="30"/>
      <c r="C617" s="30"/>
      <c r="D617" s="30"/>
      <c r="E617" s="30"/>
      <c r="F617" s="30"/>
      <c r="G617" s="30"/>
      <c r="J617" s="25"/>
      <c r="K617" s="25"/>
      <c r="Y617" s="30"/>
      <c r="Z617" s="30"/>
    </row>
    <row r="618">
      <c r="A618" s="30"/>
      <c r="B618" s="30"/>
      <c r="C618" s="30"/>
      <c r="D618" s="30"/>
      <c r="E618" s="30"/>
      <c r="F618" s="30"/>
      <c r="G618" s="30"/>
      <c r="J618" s="25"/>
      <c r="K618" s="25"/>
      <c r="Y618" s="30"/>
      <c r="Z618" s="30"/>
    </row>
    <row r="619">
      <c r="A619" s="30"/>
      <c r="B619" s="30"/>
      <c r="C619" s="30"/>
      <c r="D619" s="30"/>
      <c r="E619" s="30"/>
      <c r="F619" s="30"/>
      <c r="G619" s="30"/>
      <c r="J619" s="25"/>
      <c r="K619" s="25"/>
      <c r="Y619" s="30"/>
      <c r="Z619" s="30"/>
    </row>
    <row r="620">
      <c r="A620" s="30"/>
      <c r="B620" s="30"/>
      <c r="C620" s="30"/>
      <c r="D620" s="30"/>
      <c r="E620" s="30"/>
      <c r="F620" s="30"/>
      <c r="G620" s="30"/>
      <c r="J620" s="25"/>
      <c r="K620" s="25"/>
      <c r="Y620" s="30"/>
      <c r="Z620" s="30"/>
    </row>
    <row r="621">
      <c r="A621" s="30"/>
      <c r="B621" s="30"/>
      <c r="C621" s="30"/>
      <c r="D621" s="30"/>
      <c r="E621" s="30"/>
      <c r="F621" s="30"/>
      <c r="G621" s="30"/>
      <c r="J621" s="25"/>
      <c r="K621" s="25"/>
      <c r="Y621" s="30"/>
      <c r="Z621" s="30"/>
    </row>
    <row r="622">
      <c r="A622" s="30"/>
      <c r="B622" s="30"/>
      <c r="C622" s="30"/>
      <c r="D622" s="30"/>
      <c r="E622" s="30"/>
      <c r="F622" s="30"/>
      <c r="G622" s="30"/>
      <c r="J622" s="25"/>
      <c r="K622" s="25"/>
      <c r="Y622" s="30"/>
      <c r="Z622" s="30"/>
    </row>
    <row r="623">
      <c r="A623" s="30"/>
      <c r="B623" s="30"/>
      <c r="C623" s="30"/>
      <c r="D623" s="30"/>
      <c r="E623" s="30"/>
      <c r="F623" s="30"/>
      <c r="G623" s="30"/>
      <c r="J623" s="25"/>
      <c r="K623" s="25"/>
      <c r="Y623" s="30"/>
      <c r="Z623" s="30"/>
    </row>
    <row r="624">
      <c r="A624" s="30"/>
      <c r="B624" s="30"/>
      <c r="C624" s="30"/>
      <c r="D624" s="30"/>
      <c r="E624" s="30"/>
      <c r="F624" s="30"/>
      <c r="G624" s="30"/>
      <c r="J624" s="25"/>
      <c r="K624" s="25"/>
      <c r="Y624" s="30"/>
      <c r="Z624" s="30"/>
    </row>
    <row r="625">
      <c r="A625" s="30"/>
      <c r="B625" s="30"/>
      <c r="C625" s="30"/>
      <c r="D625" s="30"/>
      <c r="E625" s="30"/>
      <c r="F625" s="30"/>
      <c r="G625" s="30"/>
      <c r="J625" s="25"/>
      <c r="K625" s="25"/>
      <c r="Y625" s="30"/>
      <c r="Z625" s="30"/>
    </row>
    <row r="626">
      <c r="A626" s="30"/>
      <c r="B626" s="30"/>
      <c r="C626" s="30"/>
      <c r="D626" s="30"/>
      <c r="E626" s="30"/>
      <c r="F626" s="30"/>
      <c r="G626" s="30"/>
      <c r="J626" s="25"/>
      <c r="K626" s="25"/>
      <c r="Y626" s="30"/>
      <c r="Z626" s="30"/>
    </row>
    <row r="627">
      <c r="A627" s="30"/>
      <c r="B627" s="30"/>
      <c r="C627" s="30"/>
      <c r="D627" s="30"/>
      <c r="E627" s="30"/>
      <c r="F627" s="30"/>
      <c r="G627" s="30"/>
      <c r="J627" s="25"/>
      <c r="K627" s="25"/>
      <c r="Y627" s="30"/>
      <c r="Z627" s="30"/>
    </row>
    <row r="628">
      <c r="A628" s="30"/>
      <c r="B628" s="30"/>
      <c r="C628" s="30"/>
      <c r="D628" s="30"/>
      <c r="E628" s="30"/>
      <c r="F628" s="30"/>
      <c r="G628" s="30"/>
      <c r="J628" s="25"/>
      <c r="K628" s="25"/>
      <c r="Y628" s="30"/>
      <c r="Z628" s="30"/>
    </row>
    <row r="629">
      <c r="A629" s="30"/>
      <c r="B629" s="30"/>
      <c r="C629" s="30"/>
      <c r="D629" s="30"/>
      <c r="E629" s="30"/>
      <c r="F629" s="30"/>
      <c r="G629" s="30"/>
      <c r="J629" s="25"/>
      <c r="K629" s="25"/>
      <c r="Y629" s="30"/>
      <c r="Z629" s="30"/>
    </row>
    <row r="630">
      <c r="A630" s="30"/>
      <c r="B630" s="30"/>
      <c r="C630" s="30"/>
      <c r="D630" s="30"/>
      <c r="E630" s="30"/>
      <c r="F630" s="30"/>
      <c r="G630" s="30"/>
      <c r="J630" s="25"/>
      <c r="K630" s="25"/>
      <c r="Y630" s="30"/>
      <c r="Z630" s="30"/>
    </row>
    <row r="631">
      <c r="A631" s="30"/>
      <c r="B631" s="30"/>
      <c r="C631" s="30"/>
      <c r="D631" s="30"/>
      <c r="E631" s="30"/>
      <c r="F631" s="30"/>
      <c r="G631" s="30"/>
      <c r="J631" s="25"/>
      <c r="K631" s="25"/>
      <c r="Y631" s="30"/>
      <c r="Z631" s="30"/>
    </row>
    <row r="632">
      <c r="A632" s="30"/>
      <c r="B632" s="30"/>
      <c r="C632" s="30"/>
      <c r="D632" s="30"/>
      <c r="E632" s="30"/>
      <c r="F632" s="30"/>
      <c r="G632" s="30"/>
      <c r="J632" s="25"/>
      <c r="K632" s="25"/>
      <c r="Y632" s="30"/>
      <c r="Z632" s="30"/>
    </row>
    <row r="633">
      <c r="A633" s="30"/>
      <c r="B633" s="30"/>
      <c r="C633" s="30"/>
      <c r="D633" s="30"/>
      <c r="E633" s="30"/>
      <c r="F633" s="30"/>
      <c r="G633" s="30"/>
      <c r="J633" s="25"/>
      <c r="K633" s="25"/>
      <c r="Y633" s="30"/>
      <c r="Z633" s="30"/>
    </row>
    <row r="634">
      <c r="A634" s="30"/>
      <c r="B634" s="30"/>
      <c r="C634" s="30"/>
      <c r="D634" s="30"/>
      <c r="E634" s="30"/>
      <c r="F634" s="30"/>
      <c r="G634" s="30"/>
      <c r="J634" s="25"/>
      <c r="K634" s="25"/>
      <c r="Y634" s="30"/>
      <c r="Z634" s="30"/>
    </row>
    <row r="635">
      <c r="A635" s="30"/>
      <c r="B635" s="30"/>
      <c r="C635" s="30"/>
      <c r="D635" s="30"/>
      <c r="E635" s="30"/>
      <c r="F635" s="30"/>
      <c r="G635" s="30"/>
      <c r="J635" s="25"/>
      <c r="K635" s="25"/>
      <c r="Y635" s="30"/>
      <c r="Z635" s="30"/>
    </row>
    <row r="636">
      <c r="A636" s="30"/>
      <c r="B636" s="30"/>
      <c r="C636" s="30"/>
      <c r="D636" s="30"/>
      <c r="E636" s="30"/>
      <c r="F636" s="30"/>
      <c r="G636" s="30"/>
      <c r="J636" s="25"/>
      <c r="K636" s="25"/>
      <c r="Y636" s="30"/>
      <c r="Z636" s="30"/>
    </row>
    <row r="637">
      <c r="A637" s="30"/>
      <c r="B637" s="30"/>
      <c r="C637" s="30"/>
      <c r="D637" s="30"/>
      <c r="E637" s="30"/>
      <c r="F637" s="30"/>
      <c r="G637" s="30"/>
      <c r="J637" s="25"/>
      <c r="K637" s="25"/>
      <c r="Y637" s="30"/>
      <c r="Z637" s="30"/>
    </row>
    <row r="638">
      <c r="A638" s="30"/>
      <c r="B638" s="30"/>
      <c r="C638" s="30"/>
      <c r="D638" s="30"/>
      <c r="E638" s="30"/>
      <c r="F638" s="30"/>
      <c r="G638" s="30"/>
      <c r="J638" s="25"/>
      <c r="K638" s="25"/>
      <c r="Y638" s="30"/>
      <c r="Z638" s="30"/>
    </row>
    <row r="639">
      <c r="A639" s="30"/>
      <c r="B639" s="30"/>
      <c r="C639" s="30"/>
      <c r="D639" s="30"/>
      <c r="E639" s="30"/>
      <c r="F639" s="30"/>
      <c r="G639" s="30"/>
      <c r="J639" s="25"/>
      <c r="K639" s="25"/>
      <c r="Y639" s="30"/>
      <c r="Z639" s="30"/>
    </row>
    <row r="640">
      <c r="A640" s="30"/>
      <c r="B640" s="30"/>
      <c r="C640" s="30"/>
      <c r="D640" s="30"/>
      <c r="E640" s="30"/>
      <c r="F640" s="30"/>
      <c r="G640" s="30"/>
      <c r="J640" s="25"/>
      <c r="K640" s="25"/>
      <c r="Y640" s="30"/>
      <c r="Z640" s="30"/>
    </row>
    <row r="641">
      <c r="A641" s="30"/>
      <c r="B641" s="30"/>
      <c r="C641" s="30"/>
      <c r="D641" s="30"/>
      <c r="E641" s="30"/>
      <c r="F641" s="30"/>
      <c r="G641" s="30"/>
      <c r="J641" s="25"/>
      <c r="K641" s="25"/>
      <c r="Y641" s="30"/>
      <c r="Z641" s="30"/>
    </row>
    <row r="642">
      <c r="A642" s="30"/>
      <c r="B642" s="30"/>
      <c r="C642" s="30"/>
      <c r="D642" s="30"/>
      <c r="E642" s="30"/>
      <c r="F642" s="30"/>
      <c r="G642" s="30"/>
      <c r="J642" s="25"/>
      <c r="K642" s="25"/>
      <c r="Y642" s="30"/>
      <c r="Z642" s="30"/>
    </row>
    <row r="643">
      <c r="A643" s="30"/>
      <c r="B643" s="30"/>
      <c r="C643" s="30"/>
      <c r="D643" s="30"/>
      <c r="E643" s="30"/>
      <c r="F643" s="30"/>
      <c r="G643" s="30"/>
      <c r="J643" s="25"/>
      <c r="K643" s="25"/>
      <c r="Y643" s="30"/>
      <c r="Z643" s="30"/>
    </row>
    <row r="644">
      <c r="A644" s="30"/>
      <c r="B644" s="30"/>
      <c r="C644" s="30"/>
      <c r="D644" s="30"/>
      <c r="E644" s="30"/>
      <c r="F644" s="30"/>
      <c r="G644" s="30"/>
      <c r="J644" s="25"/>
      <c r="K644" s="25"/>
      <c r="Y644" s="30"/>
      <c r="Z644" s="30"/>
    </row>
    <row r="645">
      <c r="A645" s="30"/>
      <c r="B645" s="30"/>
      <c r="C645" s="30"/>
      <c r="D645" s="30"/>
      <c r="E645" s="30"/>
      <c r="F645" s="30"/>
      <c r="G645" s="30"/>
      <c r="J645" s="25"/>
      <c r="K645" s="25"/>
      <c r="Y645" s="30"/>
      <c r="Z645" s="30"/>
    </row>
    <row r="646">
      <c r="A646" s="30"/>
      <c r="B646" s="30"/>
      <c r="C646" s="30"/>
      <c r="D646" s="30"/>
      <c r="E646" s="30"/>
      <c r="F646" s="30"/>
      <c r="G646" s="30"/>
      <c r="J646" s="25"/>
      <c r="K646" s="25"/>
      <c r="Y646" s="30"/>
      <c r="Z646" s="30"/>
    </row>
    <row r="647">
      <c r="A647" s="30"/>
      <c r="B647" s="30"/>
      <c r="C647" s="30"/>
      <c r="D647" s="30"/>
      <c r="E647" s="30"/>
      <c r="F647" s="30"/>
      <c r="G647" s="30"/>
      <c r="J647" s="25"/>
      <c r="K647" s="25"/>
      <c r="Y647" s="30"/>
      <c r="Z647" s="30"/>
    </row>
    <row r="648">
      <c r="A648" s="30"/>
      <c r="B648" s="30"/>
      <c r="C648" s="30"/>
      <c r="D648" s="30"/>
      <c r="E648" s="30"/>
      <c r="F648" s="30"/>
      <c r="G648" s="30"/>
      <c r="J648" s="25"/>
      <c r="K648" s="25"/>
      <c r="Y648" s="30"/>
      <c r="Z648" s="30"/>
    </row>
    <row r="649">
      <c r="A649" s="30"/>
      <c r="B649" s="30"/>
      <c r="C649" s="30"/>
      <c r="D649" s="30"/>
      <c r="E649" s="30"/>
      <c r="F649" s="30"/>
      <c r="G649" s="30"/>
      <c r="J649" s="25"/>
      <c r="K649" s="25"/>
      <c r="Y649" s="30"/>
      <c r="Z649" s="30"/>
    </row>
    <row r="650">
      <c r="A650" s="30"/>
      <c r="B650" s="30"/>
      <c r="C650" s="30"/>
      <c r="D650" s="30"/>
      <c r="E650" s="30"/>
      <c r="F650" s="30"/>
      <c r="G650" s="30"/>
      <c r="J650" s="25"/>
      <c r="K650" s="25"/>
      <c r="Y650" s="30"/>
      <c r="Z650" s="30"/>
    </row>
    <row r="651">
      <c r="A651" s="30"/>
      <c r="B651" s="30"/>
      <c r="C651" s="30"/>
      <c r="D651" s="30"/>
      <c r="E651" s="30"/>
      <c r="F651" s="30"/>
      <c r="G651" s="30"/>
      <c r="J651" s="25"/>
      <c r="K651" s="25"/>
      <c r="Y651" s="30"/>
      <c r="Z651" s="30"/>
    </row>
    <row r="652">
      <c r="A652" s="30"/>
      <c r="B652" s="30"/>
      <c r="C652" s="30"/>
      <c r="D652" s="30"/>
      <c r="E652" s="30"/>
      <c r="F652" s="30"/>
      <c r="G652" s="30"/>
      <c r="J652" s="25"/>
      <c r="K652" s="25"/>
      <c r="Y652" s="30"/>
      <c r="Z652" s="30"/>
    </row>
    <row r="653">
      <c r="A653" s="30"/>
      <c r="B653" s="30"/>
      <c r="C653" s="30"/>
      <c r="D653" s="30"/>
      <c r="E653" s="30"/>
      <c r="F653" s="30"/>
      <c r="G653" s="30"/>
      <c r="J653" s="25"/>
      <c r="K653" s="25"/>
      <c r="Y653" s="30"/>
      <c r="Z653" s="30"/>
    </row>
    <row r="654">
      <c r="A654" s="30"/>
      <c r="B654" s="30"/>
      <c r="C654" s="30"/>
      <c r="D654" s="30"/>
      <c r="E654" s="30"/>
      <c r="F654" s="30"/>
      <c r="G654" s="30"/>
      <c r="J654" s="25"/>
      <c r="K654" s="25"/>
      <c r="Y654" s="30"/>
      <c r="Z654" s="30"/>
    </row>
    <row r="655">
      <c r="A655" s="30"/>
      <c r="B655" s="30"/>
      <c r="C655" s="30"/>
      <c r="D655" s="30"/>
      <c r="E655" s="30"/>
      <c r="F655" s="30"/>
      <c r="G655" s="30"/>
      <c r="J655" s="25"/>
      <c r="K655" s="25"/>
      <c r="Y655" s="30"/>
      <c r="Z655" s="30"/>
    </row>
    <row r="656">
      <c r="A656" s="30"/>
      <c r="B656" s="30"/>
      <c r="C656" s="30"/>
      <c r="D656" s="30"/>
      <c r="E656" s="30"/>
      <c r="F656" s="30"/>
      <c r="G656" s="30"/>
      <c r="J656" s="25"/>
      <c r="K656" s="25"/>
      <c r="Y656" s="30"/>
      <c r="Z656" s="30"/>
    </row>
    <row r="657">
      <c r="A657" s="30"/>
      <c r="B657" s="30"/>
      <c r="C657" s="30"/>
      <c r="D657" s="30"/>
      <c r="E657" s="30"/>
      <c r="F657" s="30"/>
      <c r="G657" s="30"/>
      <c r="J657" s="25"/>
      <c r="K657" s="25"/>
      <c r="Y657" s="30"/>
      <c r="Z657" s="30"/>
    </row>
    <row r="658">
      <c r="A658" s="30"/>
      <c r="B658" s="30"/>
      <c r="C658" s="30"/>
      <c r="D658" s="30"/>
      <c r="E658" s="30"/>
      <c r="F658" s="30"/>
      <c r="G658" s="30"/>
      <c r="J658" s="25"/>
      <c r="K658" s="25"/>
      <c r="Y658" s="30"/>
      <c r="Z658" s="30"/>
    </row>
    <row r="659">
      <c r="A659" s="30"/>
      <c r="B659" s="30"/>
      <c r="C659" s="30"/>
      <c r="D659" s="30"/>
      <c r="E659" s="30"/>
      <c r="F659" s="30"/>
      <c r="G659" s="30"/>
      <c r="J659" s="25"/>
      <c r="K659" s="25"/>
      <c r="Y659" s="30"/>
      <c r="Z659" s="30"/>
    </row>
    <row r="660">
      <c r="A660" s="30"/>
      <c r="B660" s="30"/>
      <c r="C660" s="30"/>
      <c r="D660" s="30"/>
      <c r="E660" s="30"/>
      <c r="F660" s="30"/>
      <c r="G660" s="30"/>
      <c r="J660" s="25"/>
      <c r="K660" s="25"/>
      <c r="Y660" s="30"/>
      <c r="Z660" s="30"/>
    </row>
    <row r="661">
      <c r="A661" s="30"/>
      <c r="B661" s="30"/>
      <c r="C661" s="30"/>
      <c r="D661" s="30"/>
      <c r="E661" s="30"/>
      <c r="F661" s="30"/>
      <c r="G661" s="30"/>
      <c r="J661" s="25"/>
      <c r="K661" s="25"/>
      <c r="Y661" s="30"/>
      <c r="Z661" s="30"/>
    </row>
    <row r="662">
      <c r="A662" s="30"/>
      <c r="B662" s="30"/>
      <c r="C662" s="30"/>
      <c r="D662" s="30"/>
      <c r="E662" s="30"/>
      <c r="F662" s="30"/>
      <c r="G662" s="30"/>
      <c r="J662" s="25"/>
      <c r="K662" s="25"/>
      <c r="Y662" s="30"/>
      <c r="Z662" s="30"/>
    </row>
    <row r="663">
      <c r="A663" s="30"/>
      <c r="B663" s="30"/>
      <c r="C663" s="30"/>
      <c r="D663" s="30"/>
      <c r="E663" s="30"/>
      <c r="F663" s="30"/>
      <c r="G663" s="30"/>
      <c r="J663" s="25"/>
      <c r="K663" s="25"/>
      <c r="Y663" s="30"/>
      <c r="Z663" s="30"/>
    </row>
    <row r="664">
      <c r="A664" s="30"/>
      <c r="B664" s="30"/>
      <c r="C664" s="30"/>
      <c r="D664" s="30"/>
      <c r="E664" s="30"/>
      <c r="F664" s="30"/>
      <c r="G664" s="30"/>
      <c r="J664" s="25"/>
      <c r="K664" s="25"/>
      <c r="Y664" s="30"/>
      <c r="Z664" s="30"/>
    </row>
    <row r="665">
      <c r="A665" s="30"/>
      <c r="B665" s="30"/>
      <c r="C665" s="30"/>
      <c r="D665" s="30"/>
      <c r="E665" s="30"/>
      <c r="F665" s="30"/>
      <c r="G665" s="30"/>
      <c r="J665" s="25"/>
      <c r="K665" s="25"/>
      <c r="Y665" s="30"/>
      <c r="Z665" s="30"/>
    </row>
    <row r="666">
      <c r="A666" s="30"/>
      <c r="B666" s="30"/>
      <c r="C666" s="30"/>
      <c r="D666" s="30"/>
      <c r="E666" s="30"/>
      <c r="F666" s="30"/>
      <c r="G666" s="30"/>
      <c r="J666" s="25"/>
      <c r="K666" s="25"/>
      <c r="Y666" s="30"/>
      <c r="Z666" s="30"/>
    </row>
    <row r="667">
      <c r="A667" s="30"/>
      <c r="B667" s="30"/>
      <c r="C667" s="30"/>
      <c r="D667" s="30"/>
      <c r="E667" s="30"/>
      <c r="F667" s="30"/>
      <c r="G667" s="30"/>
      <c r="J667" s="25"/>
      <c r="K667" s="25"/>
      <c r="Y667" s="30"/>
      <c r="Z667" s="30"/>
    </row>
    <row r="668">
      <c r="A668" s="30"/>
      <c r="B668" s="30"/>
      <c r="C668" s="30"/>
      <c r="D668" s="30"/>
      <c r="E668" s="30"/>
      <c r="F668" s="30"/>
      <c r="G668" s="30"/>
      <c r="J668" s="25"/>
      <c r="K668" s="25"/>
      <c r="Y668" s="30"/>
      <c r="Z668" s="30"/>
    </row>
    <row r="669">
      <c r="A669" s="30"/>
      <c r="B669" s="30"/>
      <c r="C669" s="30"/>
      <c r="D669" s="30"/>
      <c r="E669" s="30"/>
      <c r="F669" s="30"/>
      <c r="G669" s="30"/>
      <c r="J669" s="25"/>
      <c r="K669" s="25"/>
      <c r="Y669" s="30"/>
      <c r="Z669" s="30"/>
    </row>
    <row r="670">
      <c r="A670" s="30"/>
      <c r="B670" s="30"/>
      <c r="C670" s="30"/>
      <c r="D670" s="30"/>
      <c r="E670" s="30"/>
      <c r="F670" s="30"/>
      <c r="G670" s="30"/>
      <c r="J670" s="25"/>
      <c r="K670" s="25"/>
      <c r="Y670" s="30"/>
      <c r="Z670" s="30"/>
    </row>
    <row r="671">
      <c r="A671" s="30"/>
      <c r="B671" s="30"/>
      <c r="C671" s="30"/>
      <c r="D671" s="30"/>
      <c r="E671" s="30"/>
      <c r="F671" s="30"/>
      <c r="G671" s="30"/>
      <c r="J671" s="25"/>
      <c r="K671" s="25"/>
      <c r="Y671" s="30"/>
      <c r="Z671" s="30"/>
    </row>
    <row r="672">
      <c r="A672" s="30"/>
      <c r="B672" s="30"/>
      <c r="C672" s="30"/>
      <c r="D672" s="30"/>
      <c r="E672" s="30"/>
      <c r="F672" s="30"/>
      <c r="G672" s="30"/>
      <c r="J672" s="25"/>
      <c r="K672" s="25"/>
      <c r="Y672" s="30"/>
      <c r="Z672" s="30"/>
    </row>
    <row r="673">
      <c r="A673" s="30"/>
      <c r="B673" s="30"/>
      <c r="C673" s="30"/>
      <c r="D673" s="30"/>
      <c r="E673" s="30"/>
      <c r="F673" s="30"/>
      <c r="G673" s="30"/>
      <c r="J673" s="25"/>
      <c r="K673" s="25"/>
      <c r="Y673" s="30"/>
      <c r="Z673" s="30"/>
    </row>
    <row r="674">
      <c r="A674" s="30"/>
      <c r="B674" s="30"/>
      <c r="C674" s="30"/>
      <c r="D674" s="30"/>
      <c r="E674" s="30"/>
      <c r="F674" s="30"/>
      <c r="G674" s="30"/>
      <c r="J674" s="25"/>
      <c r="K674" s="25"/>
      <c r="Y674" s="30"/>
      <c r="Z674" s="30"/>
    </row>
    <row r="675">
      <c r="A675" s="30"/>
      <c r="B675" s="30"/>
      <c r="C675" s="30"/>
      <c r="D675" s="30"/>
      <c r="E675" s="30"/>
      <c r="F675" s="30"/>
      <c r="G675" s="30"/>
      <c r="J675" s="25"/>
      <c r="K675" s="25"/>
      <c r="Y675" s="30"/>
      <c r="Z675" s="30"/>
    </row>
    <row r="676">
      <c r="A676" s="30"/>
      <c r="B676" s="30"/>
      <c r="C676" s="30"/>
      <c r="D676" s="30"/>
      <c r="E676" s="30"/>
      <c r="F676" s="30"/>
      <c r="G676" s="30"/>
      <c r="J676" s="25"/>
      <c r="K676" s="25"/>
      <c r="Y676" s="30"/>
      <c r="Z676" s="30"/>
    </row>
    <row r="677">
      <c r="A677" s="30"/>
      <c r="B677" s="30"/>
      <c r="C677" s="30"/>
      <c r="D677" s="30"/>
      <c r="E677" s="30"/>
      <c r="F677" s="30"/>
      <c r="G677" s="30"/>
      <c r="J677" s="25"/>
      <c r="K677" s="25"/>
      <c r="Y677" s="30"/>
      <c r="Z677" s="30"/>
    </row>
    <row r="678">
      <c r="A678" s="30"/>
      <c r="B678" s="30"/>
      <c r="C678" s="30"/>
      <c r="D678" s="30"/>
      <c r="E678" s="30"/>
      <c r="F678" s="30"/>
      <c r="G678" s="30"/>
      <c r="J678" s="25"/>
      <c r="K678" s="25"/>
      <c r="Y678" s="30"/>
      <c r="Z678" s="30"/>
    </row>
    <row r="679">
      <c r="A679" s="30"/>
      <c r="B679" s="30"/>
      <c r="C679" s="30"/>
      <c r="D679" s="30"/>
      <c r="E679" s="30"/>
      <c r="F679" s="30"/>
      <c r="G679" s="30"/>
      <c r="J679" s="25"/>
      <c r="K679" s="25"/>
      <c r="Y679" s="30"/>
      <c r="Z679" s="30"/>
    </row>
    <row r="680">
      <c r="A680" s="30"/>
      <c r="B680" s="30"/>
      <c r="C680" s="30"/>
      <c r="D680" s="30"/>
      <c r="E680" s="30"/>
      <c r="F680" s="30"/>
      <c r="G680" s="30"/>
      <c r="J680" s="25"/>
      <c r="K680" s="25"/>
      <c r="Y680" s="30"/>
      <c r="Z680" s="30"/>
    </row>
    <row r="681">
      <c r="A681" s="30"/>
      <c r="B681" s="30"/>
      <c r="C681" s="30"/>
      <c r="D681" s="30"/>
      <c r="E681" s="30"/>
      <c r="F681" s="30"/>
      <c r="G681" s="30"/>
      <c r="J681" s="25"/>
      <c r="K681" s="25"/>
      <c r="Y681" s="30"/>
      <c r="Z681" s="30"/>
    </row>
    <row r="682">
      <c r="A682" s="30"/>
      <c r="B682" s="30"/>
      <c r="C682" s="30"/>
      <c r="D682" s="30"/>
      <c r="E682" s="30"/>
      <c r="F682" s="30"/>
      <c r="G682" s="30"/>
      <c r="J682" s="25"/>
      <c r="K682" s="25"/>
      <c r="Y682" s="30"/>
      <c r="Z682" s="30"/>
    </row>
    <row r="683">
      <c r="A683" s="30"/>
      <c r="B683" s="30"/>
      <c r="C683" s="30"/>
      <c r="D683" s="30"/>
      <c r="E683" s="30"/>
      <c r="F683" s="30"/>
      <c r="G683" s="30"/>
      <c r="J683" s="25"/>
      <c r="K683" s="25"/>
      <c r="Y683" s="30"/>
      <c r="Z683" s="30"/>
    </row>
    <row r="684">
      <c r="A684" s="30"/>
      <c r="B684" s="30"/>
      <c r="C684" s="30"/>
      <c r="D684" s="30"/>
      <c r="E684" s="30"/>
      <c r="F684" s="30"/>
      <c r="G684" s="30"/>
      <c r="J684" s="25"/>
      <c r="K684" s="25"/>
      <c r="Y684" s="30"/>
      <c r="Z684" s="30"/>
    </row>
    <row r="685">
      <c r="A685" s="30"/>
      <c r="B685" s="30"/>
      <c r="C685" s="30"/>
      <c r="D685" s="30"/>
      <c r="E685" s="30"/>
      <c r="F685" s="30"/>
      <c r="G685" s="30"/>
      <c r="J685" s="25"/>
      <c r="K685" s="25"/>
      <c r="Y685" s="30"/>
      <c r="Z685" s="30"/>
    </row>
    <row r="686">
      <c r="A686" s="30"/>
      <c r="B686" s="30"/>
      <c r="C686" s="30"/>
      <c r="D686" s="30"/>
      <c r="E686" s="30"/>
      <c r="F686" s="30"/>
      <c r="G686" s="30"/>
      <c r="J686" s="25"/>
      <c r="K686" s="25"/>
      <c r="Y686" s="30"/>
      <c r="Z686" s="30"/>
    </row>
    <row r="687">
      <c r="A687" s="30"/>
      <c r="B687" s="30"/>
      <c r="C687" s="30"/>
      <c r="D687" s="30"/>
      <c r="E687" s="30"/>
      <c r="F687" s="30"/>
      <c r="G687" s="30"/>
      <c r="J687" s="25"/>
      <c r="K687" s="25"/>
      <c r="Y687" s="30"/>
      <c r="Z687" s="30"/>
    </row>
    <row r="688">
      <c r="A688" s="30"/>
      <c r="B688" s="30"/>
      <c r="C688" s="30"/>
      <c r="D688" s="30"/>
      <c r="E688" s="30"/>
      <c r="F688" s="30"/>
      <c r="G688" s="30"/>
      <c r="J688" s="25"/>
      <c r="K688" s="25"/>
      <c r="Y688" s="30"/>
      <c r="Z688" s="30"/>
    </row>
    <row r="689">
      <c r="A689" s="30"/>
      <c r="B689" s="30"/>
      <c r="C689" s="30"/>
      <c r="D689" s="30"/>
      <c r="E689" s="30"/>
      <c r="F689" s="30"/>
      <c r="G689" s="30"/>
      <c r="J689" s="25"/>
      <c r="K689" s="25"/>
      <c r="Y689" s="30"/>
      <c r="Z689" s="30"/>
    </row>
    <row r="690">
      <c r="A690" s="30"/>
      <c r="B690" s="30"/>
      <c r="C690" s="30"/>
      <c r="D690" s="30"/>
      <c r="E690" s="30"/>
      <c r="F690" s="30"/>
      <c r="G690" s="30"/>
      <c r="J690" s="25"/>
      <c r="K690" s="25"/>
      <c r="Y690" s="30"/>
      <c r="Z690" s="30"/>
    </row>
    <row r="691">
      <c r="A691" s="30"/>
      <c r="B691" s="30"/>
      <c r="C691" s="30"/>
      <c r="D691" s="30"/>
      <c r="E691" s="30"/>
      <c r="F691" s="30"/>
      <c r="G691" s="30"/>
      <c r="J691" s="25"/>
      <c r="K691" s="25"/>
      <c r="Y691" s="30"/>
      <c r="Z691" s="30"/>
    </row>
    <row r="692">
      <c r="A692" s="30"/>
      <c r="B692" s="30"/>
      <c r="C692" s="30"/>
      <c r="D692" s="30"/>
      <c r="E692" s="30"/>
      <c r="F692" s="30"/>
      <c r="G692" s="30"/>
      <c r="J692" s="25"/>
      <c r="K692" s="25"/>
      <c r="Y692" s="30"/>
      <c r="Z692" s="30"/>
    </row>
    <row r="693">
      <c r="A693" s="30"/>
      <c r="B693" s="30"/>
      <c r="C693" s="30"/>
      <c r="D693" s="30"/>
      <c r="E693" s="30"/>
      <c r="F693" s="30"/>
      <c r="G693" s="30"/>
      <c r="J693" s="25"/>
      <c r="K693" s="25"/>
      <c r="Y693" s="30"/>
      <c r="Z693" s="30"/>
    </row>
    <row r="694">
      <c r="A694" s="30"/>
      <c r="B694" s="30"/>
      <c r="C694" s="30"/>
      <c r="D694" s="30"/>
      <c r="E694" s="30"/>
      <c r="F694" s="30"/>
      <c r="G694" s="30"/>
      <c r="J694" s="25"/>
      <c r="K694" s="25"/>
      <c r="Y694" s="30"/>
      <c r="Z694" s="30"/>
    </row>
    <row r="695">
      <c r="A695" s="30"/>
      <c r="B695" s="30"/>
      <c r="C695" s="30"/>
      <c r="D695" s="30"/>
      <c r="E695" s="30"/>
      <c r="F695" s="30"/>
      <c r="G695" s="30"/>
      <c r="J695" s="25"/>
      <c r="K695" s="25"/>
      <c r="Y695" s="30"/>
      <c r="Z695" s="30"/>
    </row>
    <row r="696">
      <c r="A696" s="30"/>
      <c r="B696" s="30"/>
      <c r="C696" s="30"/>
      <c r="D696" s="30"/>
      <c r="E696" s="30"/>
      <c r="F696" s="30"/>
      <c r="G696" s="30"/>
      <c r="J696" s="25"/>
      <c r="K696" s="25"/>
      <c r="Y696" s="30"/>
      <c r="Z696" s="30"/>
    </row>
    <row r="697">
      <c r="A697" s="30"/>
      <c r="B697" s="30"/>
      <c r="C697" s="30"/>
      <c r="D697" s="30"/>
      <c r="E697" s="30"/>
      <c r="F697" s="30"/>
      <c r="G697" s="30"/>
      <c r="J697" s="25"/>
      <c r="K697" s="25"/>
      <c r="Y697" s="30"/>
      <c r="Z697" s="30"/>
    </row>
    <row r="698">
      <c r="A698" s="30"/>
      <c r="B698" s="30"/>
      <c r="C698" s="30"/>
      <c r="D698" s="30"/>
      <c r="E698" s="30"/>
      <c r="F698" s="30"/>
      <c r="G698" s="30"/>
      <c r="J698" s="25"/>
      <c r="K698" s="25"/>
      <c r="Y698" s="30"/>
      <c r="Z698" s="30"/>
    </row>
    <row r="699">
      <c r="A699" s="30"/>
      <c r="B699" s="30"/>
      <c r="C699" s="30"/>
      <c r="D699" s="30"/>
      <c r="E699" s="30"/>
      <c r="F699" s="30"/>
      <c r="G699" s="30"/>
      <c r="J699" s="25"/>
      <c r="K699" s="25"/>
      <c r="Y699" s="30"/>
      <c r="Z699" s="30"/>
    </row>
    <row r="700">
      <c r="A700" s="30"/>
      <c r="B700" s="30"/>
      <c r="C700" s="30"/>
      <c r="D700" s="30"/>
      <c r="E700" s="30"/>
      <c r="F700" s="30"/>
      <c r="G700" s="30"/>
      <c r="J700" s="25"/>
      <c r="K700" s="25"/>
      <c r="Y700" s="30"/>
      <c r="Z700" s="30"/>
    </row>
    <row r="701">
      <c r="A701" s="30"/>
      <c r="B701" s="30"/>
      <c r="C701" s="30"/>
      <c r="D701" s="30"/>
      <c r="E701" s="30"/>
      <c r="F701" s="30"/>
      <c r="G701" s="30"/>
      <c r="J701" s="25"/>
      <c r="K701" s="25"/>
      <c r="Y701" s="30"/>
      <c r="Z701" s="30"/>
    </row>
    <row r="702">
      <c r="A702" s="30"/>
      <c r="B702" s="30"/>
      <c r="C702" s="30"/>
      <c r="D702" s="30"/>
      <c r="E702" s="30"/>
      <c r="F702" s="30"/>
      <c r="G702" s="30"/>
      <c r="J702" s="25"/>
      <c r="K702" s="25"/>
      <c r="Y702" s="30"/>
      <c r="Z702" s="30"/>
    </row>
    <row r="703">
      <c r="A703" s="30"/>
      <c r="B703" s="30"/>
      <c r="C703" s="30"/>
      <c r="D703" s="30"/>
      <c r="E703" s="30"/>
      <c r="F703" s="30"/>
      <c r="G703" s="30"/>
      <c r="J703" s="25"/>
      <c r="K703" s="25"/>
      <c r="Y703" s="30"/>
      <c r="Z703" s="30"/>
    </row>
    <row r="704">
      <c r="A704" s="30"/>
      <c r="B704" s="30"/>
      <c r="C704" s="30"/>
      <c r="D704" s="30"/>
      <c r="E704" s="30"/>
      <c r="F704" s="30"/>
      <c r="G704" s="30"/>
      <c r="J704" s="25"/>
      <c r="K704" s="25"/>
      <c r="Y704" s="30"/>
      <c r="Z704" s="30"/>
    </row>
    <row r="705">
      <c r="A705" s="30"/>
      <c r="B705" s="30"/>
      <c r="C705" s="30"/>
      <c r="D705" s="30"/>
      <c r="E705" s="30"/>
      <c r="F705" s="30"/>
      <c r="G705" s="30"/>
      <c r="J705" s="25"/>
      <c r="K705" s="25"/>
      <c r="Y705" s="30"/>
      <c r="Z705" s="30"/>
    </row>
    <row r="706">
      <c r="A706" s="30"/>
      <c r="B706" s="30"/>
      <c r="C706" s="30"/>
      <c r="D706" s="30"/>
      <c r="E706" s="30"/>
      <c r="F706" s="30"/>
      <c r="G706" s="30"/>
      <c r="J706" s="25"/>
      <c r="K706" s="25"/>
      <c r="Y706" s="30"/>
      <c r="Z706" s="30"/>
    </row>
    <row r="707">
      <c r="A707" s="30"/>
      <c r="B707" s="30"/>
      <c r="C707" s="30"/>
      <c r="D707" s="30"/>
      <c r="E707" s="30"/>
      <c r="F707" s="30"/>
      <c r="G707" s="30"/>
      <c r="J707" s="25"/>
      <c r="K707" s="25"/>
      <c r="Y707" s="30"/>
      <c r="Z707" s="30"/>
    </row>
    <row r="708">
      <c r="A708" s="30"/>
      <c r="B708" s="30"/>
      <c r="C708" s="30"/>
      <c r="D708" s="30"/>
      <c r="E708" s="30"/>
      <c r="F708" s="30"/>
      <c r="G708" s="30"/>
      <c r="J708" s="25"/>
      <c r="K708" s="25"/>
      <c r="Y708" s="30"/>
      <c r="Z708" s="30"/>
    </row>
    <row r="709">
      <c r="A709" s="30"/>
      <c r="B709" s="30"/>
      <c r="C709" s="30"/>
      <c r="D709" s="30"/>
      <c r="E709" s="30"/>
      <c r="F709" s="30"/>
      <c r="G709" s="30"/>
      <c r="J709" s="25"/>
      <c r="K709" s="25"/>
      <c r="Y709" s="30"/>
      <c r="Z709" s="30"/>
    </row>
    <row r="710">
      <c r="A710" s="30"/>
      <c r="B710" s="30"/>
      <c r="C710" s="30"/>
      <c r="D710" s="30"/>
      <c r="E710" s="30"/>
      <c r="F710" s="30"/>
      <c r="G710" s="30"/>
      <c r="J710" s="25"/>
      <c r="K710" s="25"/>
      <c r="Y710" s="30"/>
      <c r="Z710" s="30"/>
    </row>
    <row r="711">
      <c r="A711" s="30"/>
      <c r="B711" s="30"/>
      <c r="C711" s="30"/>
      <c r="D711" s="30"/>
      <c r="E711" s="30"/>
      <c r="F711" s="30"/>
      <c r="G711" s="30"/>
      <c r="J711" s="25"/>
      <c r="K711" s="25"/>
      <c r="Y711" s="30"/>
      <c r="Z711" s="30"/>
    </row>
    <row r="712">
      <c r="A712" s="30"/>
      <c r="B712" s="30"/>
      <c r="C712" s="30"/>
      <c r="D712" s="30"/>
      <c r="E712" s="30"/>
      <c r="F712" s="30"/>
      <c r="G712" s="30"/>
      <c r="J712" s="25"/>
      <c r="K712" s="25"/>
      <c r="Y712" s="30"/>
      <c r="Z712" s="30"/>
    </row>
    <row r="713">
      <c r="A713" s="30"/>
      <c r="B713" s="30"/>
      <c r="C713" s="30"/>
      <c r="D713" s="30"/>
      <c r="E713" s="30"/>
      <c r="F713" s="30"/>
      <c r="G713" s="30"/>
      <c r="J713" s="25"/>
      <c r="K713" s="25"/>
      <c r="Y713" s="30"/>
      <c r="Z713" s="30"/>
    </row>
    <row r="714">
      <c r="A714" s="30"/>
      <c r="B714" s="30"/>
      <c r="C714" s="30"/>
      <c r="D714" s="30"/>
      <c r="E714" s="30"/>
      <c r="F714" s="30"/>
      <c r="G714" s="30"/>
      <c r="J714" s="25"/>
      <c r="K714" s="25"/>
      <c r="Y714" s="30"/>
      <c r="Z714" s="30"/>
    </row>
    <row r="715">
      <c r="A715" s="30"/>
      <c r="B715" s="30"/>
      <c r="C715" s="30"/>
      <c r="D715" s="30"/>
      <c r="E715" s="30"/>
      <c r="F715" s="30"/>
      <c r="G715" s="30"/>
      <c r="J715" s="25"/>
      <c r="K715" s="25"/>
      <c r="Y715" s="30"/>
      <c r="Z715" s="30"/>
    </row>
    <row r="716">
      <c r="A716" s="30"/>
      <c r="B716" s="30"/>
      <c r="C716" s="30"/>
      <c r="D716" s="30"/>
      <c r="E716" s="30"/>
      <c r="F716" s="30"/>
      <c r="G716" s="30"/>
      <c r="J716" s="25"/>
      <c r="K716" s="25"/>
      <c r="Y716" s="30"/>
      <c r="Z716" s="30"/>
    </row>
    <row r="717">
      <c r="A717" s="30"/>
      <c r="B717" s="30"/>
      <c r="C717" s="30"/>
      <c r="D717" s="30"/>
      <c r="E717" s="30"/>
      <c r="F717" s="30"/>
      <c r="G717" s="30"/>
      <c r="J717" s="25"/>
      <c r="K717" s="25"/>
      <c r="Y717" s="30"/>
      <c r="Z717" s="30"/>
    </row>
    <row r="718">
      <c r="A718" s="30"/>
      <c r="B718" s="30"/>
      <c r="C718" s="30"/>
      <c r="D718" s="30"/>
      <c r="E718" s="30"/>
      <c r="F718" s="30"/>
      <c r="G718" s="30"/>
      <c r="J718" s="25"/>
      <c r="K718" s="25"/>
      <c r="Y718" s="30"/>
      <c r="Z718" s="30"/>
    </row>
    <row r="719">
      <c r="A719" s="30"/>
      <c r="B719" s="30"/>
      <c r="C719" s="30"/>
      <c r="D719" s="30"/>
      <c r="E719" s="30"/>
      <c r="F719" s="30"/>
      <c r="G719" s="30"/>
      <c r="J719" s="25"/>
      <c r="K719" s="25"/>
      <c r="Y719" s="30"/>
      <c r="Z719" s="30"/>
    </row>
    <row r="720">
      <c r="A720" s="30"/>
      <c r="B720" s="30"/>
      <c r="C720" s="30"/>
      <c r="D720" s="30"/>
      <c r="E720" s="30"/>
      <c r="F720" s="30"/>
      <c r="G720" s="30"/>
      <c r="J720" s="25"/>
      <c r="K720" s="25"/>
      <c r="Y720" s="30"/>
      <c r="Z720" s="30"/>
    </row>
    <row r="721">
      <c r="A721" s="30"/>
      <c r="B721" s="30"/>
      <c r="C721" s="30"/>
      <c r="D721" s="30"/>
      <c r="E721" s="30"/>
      <c r="F721" s="30"/>
      <c r="G721" s="30"/>
      <c r="J721" s="25"/>
      <c r="K721" s="25"/>
      <c r="Y721" s="30"/>
      <c r="Z721" s="30"/>
    </row>
    <row r="722">
      <c r="A722" s="30"/>
      <c r="B722" s="30"/>
      <c r="C722" s="30"/>
      <c r="D722" s="30"/>
      <c r="E722" s="30"/>
      <c r="F722" s="30"/>
      <c r="G722" s="30"/>
      <c r="J722" s="25"/>
      <c r="K722" s="25"/>
      <c r="Y722" s="30"/>
      <c r="Z722" s="30"/>
    </row>
    <row r="723">
      <c r="A723" s="30"/>
      <c r="B723" s="30"/>
      <c r="C723" s="30"/>
      <c r="D723" s="30"/>
      <c r="E723" s="30"/>
      <c r="F723" s="30"/>
      <c r="G723" s="30"/>
      <c r="J723" s="25"/>
      <c r="K723" s="25"/>
      <c r="Y723" s="30"/>
      <c r="Z723" s="30"/>
    </row>
    <row r="724">
      <c r="A724" s="30"/>
      <c r="B724" s="30"/>
      <c r="C724" s="30"/>
      <c r="D724" s="30"/>
      <c r="E724" s="30"/>
      <c r="F724" s="30"/>
      <c r="G724" s="30"/>
      <c r="J724" s="25"/>
      <c r="K724" s="25"/>
      <c r="Y724" s="30"/>
      <c r="Z724" s="30"/>
    </row>
    <row r="725">
      <c r="A725" s="30"/>
      <c r="B725" s="30"/>
      <c r="C725" s="30"/>
      <c r="D725" s="30"/>
      <c r="E725" s="30"/>
      <c r="F725" s="30"/>
      <c r="G725" s="30"/>
      <c r="J725" s="25"/>
      <c r="K725" s="25"/>
      <c r="Y725" s="30"/>
      <c r="Z725" s="30"/>
    </row>
    <row r="726">
      <c r="A726" s="30"/>
      <c r="B726" s="30"/>
      <c r="C726" s="30"/>
      <c r="D726" s="30"/>
      <c r="E726" s="30"/>
      <c r="F726" s="30"/>
      <c r="G726" s="30"/>
      <c r="J726" s="25"/>
      <c r="K726" s="25"/>
      <c r="Y726" s="30"/>
      <c r="Z726" s="30"/>
    </row>
    <row r="727">
      <c r="A727" s="30"/>
      <c r="B727" s="30"/>
      <c r="C727" s="30"/>
      <c r="D727" s="30"/>
      <c r="E727" s="30"/>
      <c r="F727" s="30"/>
      <c r="G727" s="30"/>
      <c r="J727" s="25"/>
      <c r="K727" s="25"/>
      <c r="Y727" s="30"/>
      <c r="Z727" s="30"/>
    </row>
    <row r="728">
      <c r="A728" s="30"/>
      <c r="B728" s="30"/>
      <c r="C728" s="30"/>
      <c r="D728" s="30"/>
      <c r="E728" s="30"/>
      <c r="F728" s="30"/>
      <c r="G728" s="30"/>
      <c r="J728" s="25"/>
      <c r="K728" s="25"/>
      <c r="Y728" s="30"/>
      <c r="Z728" s="30"/>
    </row>
    <row r="729">
      <c r="A729" s="30"/>
      <c r="B729" s="30"/>
      <c r="C729" s="30"/>
      <c r="D729" s="30"/>
      <c r="E729" s="30"/>
      <c r="F729" s="30"/>
      <c r="G729" s="30"/>
      <c r="J729" s="25"/>
      <c r="K729" s="25"/>
      <c r="Y729" s="30"/>
      <c r="Z729" s="30"/>
    </row>
    <row r="730">
      <c r="A730" s="30"/>
      <c r="B730" s="30"/>
      <c r="C730" s="30"/>
      <c r="D730" s="30"/>
      <c r="E730" s="30"/>
      <c r="F730" s="30"/>
      <c r="G730" s="30"/>
      <c r="J730" s="25"/>
      <c r="K730" s="25"/>
      <c r="Y730" s="30"/>
      <c r="Z730" s="30"/>
    </row>
    <row r="731">
      <c r="A731" s="30"/>
      <c r="B731" s="30"/>
      <c r="C731" s="30"/>
      <c r="D731" s="30"/>
      <c r="E731" s="30"/>
      <c r="F731" s="30"/>
      <c r="G731" s="30"/>
      <c r="J731" s="25"/>
      <c r="K731" s="25"/>
      <c r="Y731" s="30"/>
      <c r="Z731" s="30"/>
    </row>
    <row r="732">
      <c r="A732" s="30"/>
      <c r="B732" s="30"/>
      <c r="C732" s="30"/>
      <c r="D732" s="30"/>
      <c r="E732" s="30"/>
      <c r="F732" s="30"/>
      <c r="G732" s="30"/>
      <c r="J732" s="25"/>
      <c r="K732" s="25"/>
      <c r="Y732" s="30"/>
      <c r="Z732" s="30"/>
    </row>
    <row r="733">
      <c r="A733" s="30"/>
      <c r="B733" s="30"/>
      <c r="C733" s="30"/>
      <c r="D733" s="30"/>
      <c r="E733" s="30"/>
      <c r="F733" s="30"/>
      <c r="G733" s="30"/>
      <c r="J733" s="25"/>
      <c r="K733" s="25"/>
      <c r="Y733" s="30"/>
      <c r="Z733" s="30"/>
    </row>
    <row r="734">
      <c r="A734" s="30"/>
      <c r="B734" s="30"/>
      <c r="C734" s="30"/>
      <c r="D734" s="30"/>
      <c r="E734" s="30"/>
      <c r="F734" s="30"/>
      <c r="G734" s="30"/>
      <c r="J734" s="25"/>
      <c r="K734" s="25"/>
      <c r="Y734" s="30"/>
      <c r="Z734" s="30"/>
    </row>
    <row r="735">
      <c r="A735" s="30"/>
      <c r="B735" s="30"/>
      <c r="C735" s="30"/>
      <c r="D735" s="30"/>
      <c r="E735" s="30"/>
      <c r="F735" s="30"/>
      <c r="G735" s="30"/>
      <c r="J735" s="25"/>
      <c r="K735" s="25"/>
      <c r="Y735" s="30"/>
      <c r="Z735" s="30"/>
    </row>
    <row r="736">
      <c r="A736" s="30"/>
      <c r="B736" s="30"/>
      <c r="C736" s="30"/>
      <c r="D736" s="30"/>
      <c r="E736" s="30"/>
      <c r="F736" s="30"/>
      <c r="G736" s="30"/>
      <c r="J736" s="25"/>
      <c r="K736" s="25"/>
      <c r="Y736" s="30"/>
      <c r="Z736" s="30"/>
    </row>
    <row r="737">
      <c r="A737" s="30"/>
      <c r="B737" s="30"/>
      <c r="C737" s="30"/>
      <c r="D737" s="30"/>
      <c r="E737" s="30"/>
      <c r="F737" s="30"/>
      <c r="G737" s="30"/>
      <c r="J737" s="25"/>
      <c r="K737" s="25"/>
      <c r="Y737" s="30"/>
      <c r="Z737" s="30"/>
    </row>
    <row r="738">
      <c r="A738" s="30"/>
      <c r="B738" s="30"/>
      <c r="C738" s="30"/>
      <c r="D738" s="30"/>
      <c r="E738" s="30"/>
      <c r="F738" s="30"/>
      <c r="G738" s="30"/>
      <c r="J738" s="25"/>
      <c r="K738" s="25"/>
      <c r="Y738" s="30"/>
      <c r="Z738" s="30"/>
    </row>
    <row r="739">
      <c r="A739" s="30"/>
      <c r="B739" s="30"/>
      <c r="C739" s="30"/>
      <c r="D739" s="30"/>
      <c r="E739" s="30"/>
      <c r="F739" s="30"/>
      <c r="G739" s="30"/>
      <c r="J739" s="25"/>
      <c r="K739" s="25"/>
      <c r="Y739" s="30"/>
      <c r="Z739" s="30"/>
    </row>
    <row r="740">
      <c r="A740" s="30"/>
      <c r="B740" s="30"/>
      <c r="C740" s="30"/>
      <c r="D740" s="30"/>
      <c r="E740" s="30"/>
      <c r="F740" s="30"/>
      <c r="G740" s="30"/>
      <c r="J740" s="25"/>
      <c r="K740" s="25"/>
      <c r="Y740" s="30"/>
      <c r="Z740" s="30"/>
    </row>
    <row r="741">
      <c r="A741" s="30"/>
      <c r="B741" s="30"/>
      <c r="C741" s="30"/>
      <c r="D741" s="30"/>
      <c r="E741" s="30"/>
      <c r="F741" s="30"/>
      <c r="G741" s="30"/>
      <c r="J741" s="25"/>
      <c r="K741" s="25"/>
      <c r="Y741" s="30"/>
      <c r="Z741" s="30"/>
    </row>
    <row r="742">
      <c r="A742" s="30"/>
      <c r="B742" s="30"/>
      <c r="C742" s="30"/>
      <c r="D742" s="30"/>
      <c r="E742" s="30"/>
      <c r="F742" s="30"/>
      <c r="G742" s="30"/>
      <c r="J742" s="25"/>
      <c r="K742" s="25"/>
      <c r="Y742" s="30"/>
      <c r="Z742" s="30"/>
    </row>
    <row r="743">
      <c r="A743" s="30"/>
      <c r="B743" s="30"/>
      <c r="C743" s="30"/>
      <c r="D743" s="30"/>
      <c r="E743" s="30"/>
      <c r="F743" s="30"/>
      <c r="G743" s="30"/>
      <c r="J743" s="25"/>
      <c r="K743" s="25"/>
      <c r="Y743" s="30"/>
      <c r="Z743" s="30"/>
    </row>
    <row r="744">
      <c r="A744" s="30"/>
      <c r="B744" s="30"/>
      <c r="C744" s="30"/>
      <c r="D744" s="30"/>
      <c r="E744" s="30"/>
      <c r="F744" s="30"/>
      <c r="G744" s="30"/>
      <c r="J744" s="25"/>
      <c r="K744" s="25"/>
      <c r="Y744" s="30"/>
      <c r="Z744" s="30"/>
    </row>
    <row r="745">
      <c r="A745" s="30"/>
      <c r="B745" s="30"/>
      <c r="C745" s="30"/>
      <c r="D745" s="30"/>
      <c r="E745" s="30"/>
      <c r="F745" s="30"/>
      <c r="G745" s="30"/>
      <c r="J745" s="25"/>
      <c r="K745" s="25"/>
      <c r="Y745" s="30"/>
      <c r="Z745" s="30"/>
    </row>
    <row r="746">
      <c r="A746" s="30"/>
      <c r="B746" s="30"/>
      <c r="C746" s="30"/>
      <c r="D746" s="30"/>
      <c r="E746" s="30"/>
      <c r="F746" s="30"/>
      <c r="G746" s="30"/>
      <c r="J746" s="25"/>
      <c r="K746" s="25"/>
      <c r="Y746" s="30"/>
      <c r="Z746" s="30"/>
    </row>
    <row r="747">
      <c r="A747" s="30"/>
      <c r="B747" s="30"/>
      <c r="C747" s="30"/>
      <c r="D747" s="30"/>
      <c r="E747" s="30"/>
      <c r="F747" s="30"/>
      <c r="G747" s="30"/>
      <c r="J747" s="25"/>
      <c r="K747" s="25"/>
      <c r="Y747" s="30"/>
      <c r="Z747" s="30"/>
    </row>
    <row r="748">
      <c r="A748" s="30"/>
      <c r="B748" s="30"/>
      <c r="C748" s="30"/>
      <c r="D748" s="30"/>
      <c r="E748" s="30"/>
      <c r="F748" s="30"/>
      <c r="G748" s="30"/>
      <c r="J748" s="25"/>
      <c r="K748" s="25"/>
      <c r="Y748" s="30"/>
      <c r="Z748" s="30"/>
    </row>
    <row r="749">
      <c r="A749" s="30"/>
      <c r="B749" s="30"/>
      <c r="C749" s="30"/>
      <c r="D749" s="30"/>
      <c r="E749" s="30"/>
      <c r="F749" s="30"/>
      <c r="G749" s="30"/>
      <c r="J749" s="25"/>
      <c r="K749" s="25"/>
      <c r="Y749" s="30"/>
      <c r="Z749" s="30"/>
    </row>
    <row r="750">
      <c r="A750" s="30"/>
      <c r="B750" s="30"/>
      <c r="C750" s="30"/>
      <c r="D750" s="30"/>
      <c r="E750" s="30"/>
      <c r="F750" s="30"/>
      <c r="G750" s="30"/>
      <c r="J750" s="25"/>
      <c r="K750" s="25"/>
      <c r="Y750" s="30"/>
      <c r="Z750" s="30"/>
    </row>
    <row r="751">
      <c r="A751" s="30"/>
      <c r="B751" s="30"/>
      <c r="C751" s="30"/>
      <c r="D751" s="30"/>
      <c r="E751" s="30"/>
      <c r="F751" s="30"/>
      <c r="G751" s="30"/>
      <c r="J751" s="25"/>
      <c r="K751" s="25"/>
      <c r="Y751" s="30"/>
      <c r="Z751" s="30"/>
    </row>
    <row r="752">
      <c r="A752" s="30"/>
      <c r="B752" s="30"/>
      <c r="C752" s="30"/>
      <c r="D752" s="30"/>
      <c r="E752" s="30"/>
      <c r="F752" s="30"/>
      <c r="G752" s="30"/>
      <c r="J752" s="25"/>
      <c r="K752" s="25"/>
      <c r="Y752" s="30"/>
      <c r="Z752" s="30"/>
    </row>
    <row r="753">
      <c r="A753" s="30"/>
      <c r="B753" s="30"/>
      <c r="C753" s="30"/>
      <c r="D753" s="30"/>
      <c r="E753" s="30"/>
      <c r="F753" s="30"/>
      <c r="G753" s="30"/>
      <c r="J753" s="25"/>
      <c r="K753" s="25"/>
      <c r="Y753" s="30"/>
      <c r="Z753" s="30"/>
    </row>
    <row r="754">
      <c r="A754" s="30"/>
      <c r="B754" s="30"/>
      <c r="C754" s="30"/>
      <c r="D754" s="30"/>
      <c r="E754" s="30"/>
      <c r="F754" s="30"/>
      <c r="G754" s="30"/>
      <c r="J754" s="25"/>
      <c r="K754" s="25"/>
      <c r="Y754" s="30"/>
      <c r="Z754" s="30"/>
    </row>
    <row r="755">
      <c r="A755" s="30"/>
      <c r="B755" s="30"/>
      <c r="C755" s="30"/>
      <c r="D755" s="30"/>
      <c r="E755" s="30"/>
      <c r="F755" s="30"/>
      <c r="G755" s="30"/>
      <c r="J755" s="25"/>
      <c r="K755" s="25"/>
      <c r="Y755" s="30"/>
      <c r="Z755" s="30"/>
    </row>
    <row r="756">
      <c r="A756" s="30"/>
      <c r="B756" s="30"/>
      <c r="C756" s="30"/>
      <c r="D756" s="30"/>
      <c r="E756" s="30"/>
      <c r="F756" s="30"/>
      <c r="G756" s="30"/>
      <c r="J756" s="25"/>
      <c r="K756" s="25"/>
      <c r="Y756" s="30"/>
      <c r="Z756" s="30"/>
    </row>
    <row r="757">
      <c r="A757" s="30"/>
      <c r="B757" s="30"/>
      <c r="C757" s="30"/>
      <c r="D757" s="30"/>
      <c r="E757" s="30"/>
      <c r="F757" s="30"/>
      <c r="G757" s="30"/>
      <c r="J757" s="25"/>
      <c r="K757" s="25"/>
      <c r="Y757" s="30"/>
      <c r="Z757" s="30"/>
    </row>
    <row r="758">
      <c r="A758" s="30"/>
      <c r="B758" s="30"/>
      <c r="C758" s="30"/>
      <c r="D758" s="30"/>
      <c r="E758" s="30"/>
      <c r="F758" s="30"/>
      <c r="G758" s="30"/>
      <c r="J758" s="25"/>
      <c r="K758" s="25"/>
      <c r="Y758" s="30"/>
      <c r="Z758" s="30"/>
    </row>
    <row r="759">
      <c r="A759" s="30"/>
      <c r="B759" s="30"/>
      <c r="C759" s="30"/>
      <c r="D759" s="30"/>
      <c r="E759" s="30"/>
      <c r="F759" s="30"/>
      <c r="G759" s="30"/>
      <c r="J759" s="25"/>
      <c r="K759" s="25"/>
      <c r="Y759" s="30"/>
      <c r="Z759" s="30"/>
    </row>
    <row r="760">
      <c r="A760" s="30"/>
      <c r="B760" s="30"/>
      <c r="C760" s="30"/>
      <c r="D760" s="30"/>
      <c r="E760" s="30"/>
      <c r="F760" s="30"/>
      <c r="G760" s="30"/>
      <c r="J760" s="25"/>
      <c r="K760" s="25"/>
      <c r="Y760" s="30"/>
      <c r="Z760" s="30"/>
    </row>
    <row r="761">
      <c r="A761" s="30"/>
      <c r="B761" s="30"/>
      <c r="C761" s="30"/>
      <c r="D761" s="30"/>
      <c r="E761" s="30"/>
      <c r="F761" s="30"/>
      <c r="G761" s="30"/>
      <c r="J761" s="25"/>
      <c r="K761" s="25"/>
      <c r="Y761" s="30"/>
      <c r="Z761" s="30"/>
    </row>
    <row r="762">
      <c r="A762" s="30"/>
      <c r="B762" s="30"/>
      <c r="C762" s="30"/>
      <c r="D762" s="30"/>
      <c r="E762" s="30"/>
      <c r="F762" s="30"/>
      <c r="G762" s="30"/>
      <c r="J762" s="25"/>
      <c r="K762" s="25"/>
      <c r="Y762" s="30"/>
      <c r="Z762" s="30"/>
    </row>
    <row r="763">
      <c r="A763" s="30"/>
      <c r="B763" s="30"/>
      <c r="C763" s="30"/>
      <c r="D763" s="30"/>
      <c r="E763" s="30"/>
      <c r="F763" s="30"/>
      <c r="G763" s="30"/>
      <c r="J763" s="25"/>
      <c r="K763" s="25"/>
      <c r="Y763" s="30"/>
      <c r="Z763" s="30"/>
    </row>
    <row r="764">
      <c r="A764" s="30"/>
      <c r="B764" s="30"/>
      <c r="C764" s="30"/>
      <c r="D764" s="30"/>
      <c r="E764" s="30"/>
      <c r="F764" s="30"/>
      <c r="G764" s="30"/>
      <c r="J764" s="25"/>
      <c r="K764" s="25"/>
      <c r="Y764" s="30"/>
      <c r="Z764" s="30"/>
    </row>
    <row r="765">
      <c r="A765" s="30"/>
      <c r="B765" s="30"/>
      <c r="C765" s="30"/>
      <c r="D765" s="30"/>
      <c r="E765" s="30"/>
      <c r="F765" s="30"/>
      <c r="G765" s="30"/>
      <c r="J765" s="25"/>
      <c r="K765" s="25"/>
      <c r="Y765" s="30"/>
      <c r="Z765" s="30"/>
    </row>
    <row r="766">
      <c r="A766" s="30"/>
      <c r="B766" s="30"/>
      <c r="C766" s="30"/>
      <c r="D766" s="30"/>
      <c r="E766" s="30"/>
      <c r="F766" s="30"/>
      <c r="G766" s="30"/>
      <c r="J766" s="25"/>
      <c r="K766" s="25"/>
      <c r="Y766" s="30"/>
      <c r="Z766" s="30"/>
    </row>
    <row r="767">
      <c r="A767" s="30"/>
      <c r="B767" s="30"/>
      <c r="C767" s="30"/>
      <c r="D767" s="30"/>
      <c r="E767" s="30"/>
      <c r="F767" s="30"/>
      <c r="G767" s="30"/>
      <c r="J767" s="25"/>
      <c r="K767" s="25"/>
      <c r="Y767" s="30"/>
      <c r="Z767" s="30"/>
    </row>
    <row r="768">
      <c r="A768" s="30"/>
      <c r="B768" s="30"/>
      <c r="C768" s="30"/>
      <c r="D768" s="30"/>
      <c r="E768" s="30"/>
      <c r="F768" s="30"/>
      <c r="G768" s="30"/>
      <c r="J768" s="25"/>
      <c r="K768" s="25"/>
      <c r="Y768" s="30"/>
      <c r="Z768" s="30"/>
    </row>
    <row r="769">
      <c r="A769" s="30"/>
      <c r="B769" s="30"/>
      <c r="C769" s="30"/>
      <c r="D769" s="30"/>
      <c r="E769" s="30"/>
      <c r="F769" s="30"/>
      <c r="G769" s="30"/>
      <c r="J769" s="25"/>
      <c r="K769" s="25"/>
      <c r="Y769" s="30"/>
      <c r="Z769" s="30"/>
    </row>
    <row r="770">
      <c r="A770" s="30"/>
      <c r="B770" s="30"/>
      <c r="C770" s="30"/>
      <c r="D770" s="30"/>
      <c r="E770" s="30"/>
      <c r="F770" s="30"/>
      <c r="G770" s="30"/>
      <c r="J770" s="25"/>
      <c r="K770" s="25"/>
      <c r="Y770" s="30"/>
      <c r="Z770" s="30"/>
    </row>
    <row r="771">
      <c r="A771" s="30"/>
      <c r="B771" s="30"/>
      <c r="C771" s="30"/>
      <c r="D771" s="30"/>
      <c r="E771" s="30"/>
      <c r="F771" s="30"/>
      <c r="G771" s="30"/>
      <c r="J771" s="25"/>
      <c r="K771" s="25"/>
      <c r="Y771" s="30"/>
      <c r="Z771" s="30"/>
    </row>
    <row r="772">
      <c r="A772" s="30"/>
      <c r="B772" s="30"/>
      <c r="C772" s="30"/>
      <c r="D772" s="30"/>
      <c r="E772" s="30"/>
      <c r="F772" s="30"/>
      <c r="G772" s="30"/>
      <c r="J772" s="25"/>
      <c r="K772" s="25"/>
      <c r="Y772" s="30"/>
      <c r="Z772" s="30"/>
    </row>
    <row r="773">
      <c r="A773" s="30"/>
      <c r="B773" s="30"/>
      <c r="C773" s="30"/>
      <c r="D773" s="30"/>
      <c r="E773" s="30"/>
      <c r="F773" s="30"/>
      <c r="G773" s="30"/>
      <c r="J773" s="25"/>
      <c r="K773" s="25"/>
      <c r="Y773" s="30"/>
      <c r="Z773" s="30"/>
    </row>
    <row r="774">
      <c r="A774" s="30"/>
      <c r="B774" s="30"/>
      <c r="C774" s="30"/>
      <c r="D774" s="30"/>
      <c r="E774" s="30"/>
      <c r="F774" s="30"/>
      <c r="G774" s="30"/>
      <c r="J774" s="25"/>
      <c r="K774" s="25"/>
      <c r="Y774" s="30"/>
      <c r="Z774" s="30"/>
    </row>
    <row r="775">
      <c r="A775" s="30"/>
      <c r="B775" s="30"/>
      <c r="C775" s="30"/>
      <c r="D775" s="30"/>
      <c r="E775" s="30"/>
      <c r="F775" s="30"/>
      <c r="G775" s="30"/>
      <c r="J775" s="25"/>
      <c r="K775" s="25"/>
      <c r="Y775" s="30"/>
      <c r="Z775" s="30"/>
    </row>
    <row r="776">
      <c r="A776" s="30"/>
      <c r="B776" s="30"/>
      <c r="C776" s="30"/>
      <c r="D776" s="30"/>
      <c r="E776" s="30"/>
      <c r="F776" s="30"/>
      <c r="G776" s="30"/>
      <c r="J776" s="25"/>
      <c r="K776" s="25"/>
      <c r="Y776" s="30"/>
      <c r="Z776" s="30"/>
    </row>
    <row r="777">
      <c r="A777" s="30"/>
      <c r="B777" s="30"/>
      <c r="C777" s="30"/>
      <c r="D777" s="30"/>
      <c r="E777" s="30"/>
      <c r="F777" s="30"/>
      <c r="G777" s="30"/>
      <c r="J777" s="25"/>
      <c r="K777" s="25"/>
      <c r="Y777" s="30"/>
      <c r="Z777" s="30"/>
    </row>
    <row r="778">
      <c r="A778" s="30"/>
      <c r="B778" s="30"/>
      <c r="C778" s="30"/>
      <c r="D778" s="30"/>
      <c r="E778" s="30"/>
      <c r="F778" s="30"/>
      <c r="G778" s="30"/>
      <c r="J778" s="25"/>
      <c r="K778" s="25"/>
      <c r="Y778" s="30"/>
      <c r="Z778" s="30"/>
    </row>
    <row r="779">
      <c r="A779" s="30"/>
      <c r="B779" s="30"/>
      <c r="C779" s="30"/>
      <c r="D779" s="30"/>
      <c r="E779" s="30"/>
      <c r="F779" s="30"/>
      <c r="G779" s="30"/>
      <c r="J779" s="25"/>
      <c r="K779" s="25"/>
      <c r="Y779" s="30"/>
      <c r="Z779" s="30"/>
    </row>
    <row r="780">
      <c r="A780" s="30"/>
      <c r="B780" s="30"/>
      <c r="C780" s="30"/>
      <c r="D780" s="30"/>
      <c r="E780" s="30"/>
      <c r="F780" s="30"/>
      <c r="G780" s="30"/>
      <c r="J780" s="25"/>
      <c r="K780" s="25"/>
      <c r="Y780" s="30"/>
      <c r="Z780" s="30"/>
    </row>
    <row r="781">
      <c r="A781" s="30"/>
      <c r="B781" s="30"/>
      <c r="C781" s="30"/>
      <c r="D781" s="30"/>
      <c r="E781" s="30"/>
      <c r="F781" s="30"/>
      <c r="G781" s="30"/>
      <c r="J781" s="25"/>
      <c r="K781" s="25"/>
      <c r="Y781" s="30"/>
      <c r="Z781" s="30"/>
    </row>
    <row r="782">
      <c r="A782" s="30"/>
      <c r="B782" s="30"/>
      <c r="C782" s="30"/>
      <c r="D782" s="30"/>
      <c r="E782" s="30"/>
      <c r="F782" s="30"/>
      <c r="G782" s="30"/>
      <c r="J782" s="25"/>
      <c r="K782" s="25"/>
      <c r="Y782" s="30"/>
      <c r="Z782" s="30"/>
    </row>
    <row r="783">
      <c r="A783" s="30"/>
      <c r="B783" s="30"/>
      <c r="C783" s="30"/>
      <c r="D783" s="30"/>
      <c r="E783" s="30"/>
      <c r="F783" s="30"/>
      <c r="G783" s="30"/>
      <c r="J783" s="25"/>
      <c r="K783" s="25"/>
      <c r="Y783" s="30"/>
      <c r="Z783" s="30"/>
    </row>
    <row r="784">
      <c r="A784" s="30"/>
      <c r="B784" s="30"/>
      <c r="C784" s="30"/>
      <c r="D784" s="30"/>
      <c r="E784" s="30"/>
      <c r="F784" s="30"/>
      <c r="G784" s="30"/>
      <c r="J784" s="25"/>
      <c r="K784" s="25"/>
      <c r="Y784" s="30"/>
      <c r="Z784" s="30"/>
    </row>
    <row r="785">
      <c r="A785" s="30"/>
      <c r="B785" s="30"/>
      <c r="C785" s="30"/>
      <c r="D785" s="30"/>
      <c r="E785" s="30"/>
      <c r="F785" s="30"/>
      <c r="G785" s="30"/>
      <c r="J785" s="25"/>
      <c r="K785" s="25"/>
      <c r="Y785" s="30"/>
      <c r="Z785" s="30"/>
    </row>
    <row r="786">
      <c r="A786" s="30"/>
      <c r="B786" s="30"/>
      <c r="C786" s="30"/>
      <c r="D786" s="30"/>
      <c r="E786" s="30"/>
      <c r="F786" s="30"/>
      <c r="G786" s="30"/>
      <c r="J786" s="25"/>
      <c r="K786" s="25"/>
      <c r="Y786" s="30"/>
      <c r="Z786" s="30"/>
    </row>
    <row r="787">
      <c r="A787" s="30"/>
      <c r="B787" s="30"/>
      <c r="C787" s="30"/>
      <c r="D787" s="30"/>
      <c r="E787" s="30"/>
      <c r="F787" s="30"/>
      <c r="G787" s="30"/>
      <c r="J787" s="25"/>
      <c r="K787" s="25"/>
      <c r="Y787" s="30"/>
      <c r="Z787" s="30"/>
    </row>
    <row r="788">
      <c r="A788" s="30"/>
      <c r="B788" s="30"/>
      <c r="C788" s="30"/>
      <c r="D788" s="30"/>
      <c r="E788" s="30"/>
      <c r="F788" s="30"/>
      <c r="G788" s="30"/>
      <c r="J788" s="25"/>
      <c r="K788" s="25"/>
      <c r="Y788" s="30"/>
      <c r="Z788" s="30"/>
    </row>
    <row r="789">
      <c r="A789" s="30"/>
      <c r="B789" s="30"/>
      <c r="C789" s="30"/>
      <c r="D789" s="30"/>
      <c r="E789" s="30"/>
      <c r="F789" s="30"/>
      <c r="G789" s="30"/>
      <c r="J789" s="25"/>
      <c r="K789" s="25"/>
      <c r="Y789" s="30"/>
      <c r="Z789" s="30"/>
    </row>
    <row r="790">
      <c r="A790" s="30"/>
      <c r="B790" s="30"/>
      <c r="C790" s="30"/>
      <c r="D790" s="30"/>
      <c r="E790" s="30"/>
      <c r="F790" s="30"/>
      <c r="G790" s="30"/>
      <c r="J790" s="25"/>
      <c r="K790" s="25"/>
      <c r="Y790" s="30"/>
      <c r="Z790" s="30"/>
    </row>
    <row r="791">
      <c r="A791" s="30"/>
      <c r="B791" s="30"/>
      <c r="C791" s="30"/>
      <c r="D791" s="30"/>
      <c r="E791" s="30"/>
      <c r="F791" s="30"/>
      <c r="G791" s="30"/>
      <c r="J791" s="25"/>
      <c r="K791" s="25"/>
      <c r="Y791" s="30"/>
      <c r="Z791" s="30"/>
    </row>
    <row r="792">
      <c r="A792" s="30"/>
      <c r="B792" s="30"/>
      <c r="C792" s="30"/>
      <c r="D792" s="30"/>
      <c r="E792" s="30"/>
      <c r="F792" s="30"/>
      <c r="G792" s="30"/>
      <c r="J792" s="25"/>
      <c r="K792" s="25"/>
      <c r="Y792" s="30"/>
      <c r="Z792" s="30"/>
    </row>
    <row r="793">
      <c r="A793" s="30"/>
      <c r="B793" s="30"/>
      <c r="C793" s="30"/>
      <c r="D793" s="30"/>
      <c r="E793" s="30"/>
      <c r="F793" s="30"/>
      <c r="G793" s="30"/>
      <c r="J793" s="25"/>
      <c r="K793" s="25"/>
      <c r="Y793" s="30"/>
      <c r="Z793" s="30"/>
    </row>
    <row r="794">
      <c r="A794" s="30"/>
      <c r="B794" s="30"/>
      <c r="C794" s="30"/>
      <c r="D794" s="30"/>
      <c r="E794" s="30"/>
      <c r="F794" s="30"/>
      <c r="G794" s="30"/>
      <c r="J794" s="25"/>
      <c r="K794" s="25"/>
      <c r="Y794" s="30"/>
      <c r="Z794" s="30"/>
    </row>
    <row r="795">
      <c r="A795" s="30"/>
      <c r="B795" s="30"/>
      <c r="C795" s="30"/>
      <c r="D795" s="30"/>
      <c r="E795" s="30"/>
      <c r="F795" s="30"/>
      <c r="G795" s="30"/>
      <c r="J795" s="25"/>
      <c r="K795" s="25"/>
      <c r="Y795" s="30"/>
      <c r="Z795" s="30"/>
    </row>
    <row r="796">
      <c r="A796" s="30"/>
      <c r="B796" s="30"/>
      <c r="C796" s="30"/>
      <c r="D796" s="30"/>
      <c r="E796" s="30"/>
      <c r="F796" s="30"/>
      <c r="G796" s="30"/>
      <c r="J796" s="25"/>
      <c r="K796" s="25"/>
      <c r="Y796" s="30"/>
      <c r="Z796" s="30"/>
    </row>
    <row r="797">
      <c r="A797" s="30"/>
      <c r="B797" s="30"/>
      <c r="C797" s="30"/>
      <c r="D797" s="30"/>
      <c r="E797" s="30"/>
      <c r="F797" s="30"/>
      <c r="G797" s="30"/>
      <c r="J797" s="25"/>
      <c r="K797" s="25"/>
      <c r="Y797" s="30"/>
      <c r="Z797" s="30"/>
    </row>
    <row r="798">
      <c r="A798" s="30"/>
      <c r="B798" s="30"/>
      <c r="C798" s="30"/>
      <c r="D798" s="30"/>
      <c r="E798" s="30"/>
      <c r="F798" s="30"/>
      <c r="G798" s="30"/>
      <c r="J798" s="25"/>
      <c r="K798" s="25"/>
      <c r="Y798" s="30"/>
      <c r="Z798" s="30"/>
    </row>
    <row r="799">
      <c r="A799" s="30"/>
      <c r="B799" s="30"/>
      <c r="C799" s="30"/>
      <c r="D799" s="30"/>
      <c r="E799" s="30"/>
      <c r="F799" s="30"/>
      <c r="G799" s="30"/>
      <c r="J799" s="25"/>
      <c r="K799" s="25"/>
      <c r="Y799" s="30"/>
      <c r="Z799" s="30"/>
    </row>
    <row r="800">
      <c r="A800" s="30"/>
      <c r="B800" s="30"/>
      <c r="C800" s="30"/>
      <c r="D800" s="30"/>
      <c r="E800" s="30"/>
      <c r="F800" s="30"/>
      <c r="G800" s="30"/>
      <c r="J800" s="25"/>
      <c r="K800" s="25"/>
      <c r="Y800" s="30"/>
      <c r="Z800" s="30"/>
    </row>
    <row r="801">
      <c r="A801" s="30"/>
      <c r="B801" s="30"/>
      <c r="C801" s="30"/>
      <c r="D801" s="30"/>
      <c r="E801" s="30"/>
      <c r="F801" s="30"/>
      <c r="G801" s="30"/>
      <c r="J801" s="25"/>
      <c r="K801" s="25"/>
      <c r="Y801" s="30"/>
      <c r="Z801" s="30"/>
    </row>
    <row r="802">
      <c r="A802" s="30"/>
      <c r="B802" s="30"/>
      <c r="C802" s="30"/>
      <c r="D802" s="30"/>
      <c r="E802" s="30"/>
      <c r="F802" s="30"/>
      <c r="G802" s="30"/>
      <c r="J802" s="25"/>
      <c r="K802" s="25"/>
      <c r="Y802" s="30"/>
      <c r="Z802" s="30"/>
    </row>
    <row r="803">
      <c r="A803" s="30"/>
      <c r="B803" s="30"/>
      <c r="C803" s="30"/>
      <c r="D803" s="30"/>
      <c r="E803" s="30"/>
      <c r="F803" s="30"/>
      <c r="G803" s="30"/>
      <c r="J803" s="25"/>
      <c r="K803" s="25"/>
      <c r="Y803" s="30"/>
      <c r="Z803" s="30"/>
    </row>
    <row r="804">
      <c r="A804" s="30"/>
      <c r="B804" s="30"/>
      <c r="C804" s="30"/>
      <c r="D804" s="30"/>
      <c r="E804" s="30"/>
      <c r="F804" s="30"/>
      <c r="G804" s="30"/>
      <c r="J804" s="25"/>
      <c r="K804" s="25"/>
      <c r="Y804" s="30"/>
      <c r="Z804" s="30"/>
    </row>
    <row r="805">
      <c r="A805" s="30"/>
      <c r="B805" s="30"/>
      <c r="C805" s="30"/>
      <c r="D805" s="30"/>
      <c r="E805" s="30"/>
      <c r="F805" s="30"/>
      <c r="G805" s="30"/>
      <c r="J805" s="25"/>
      <c r="K805" s="25"/>
      <c r="Y805" s="30"/>
      <c r="Z805" s="30"/>
    </row>
    <row r="806">
      <c r="A806" s="30"/>
      <c r="B806" s="30"/>
      <c r="C806" s="30"/>
      <c r="D806" s="30"/>
      <c r="E806" s="30"/>
      <c r="F806" s="30"/>
      <c r="G806" s="30"/>
      <c r="J806" s="25"/>
      <c r="K806" s="25"/>
      <c r="Y806" s="30"/>
      <c r="Z806" s="30"/>
    </row>
    <row r="807">
      <c r="A807" s="30"/>
      <c r="B807" s="30"/>
      <c r="C807" s="30"/>
      <c r="D807" s="30"/>
      <c r="E807" s="30"/>
      <c r="F807" s="30"/>
      <c r="G807" s="30"/>
      <c r="J807" s="25"/>
      <c r="K807" s="25"/>
      <c r="Y807" s="30"/>
      <c r="Z807" s="30"/>
    </row>
    <row r="808">
      <c r="A808" s="30"/>
      <c r="B808" s="30"/>
      <c r="C808" s="30"/>
      <c r="D808" s="30"/>
      <c r="E808" s="30"/>
      <c r="F808" s="30"/>
      <c r="G808" s="30"/>
      <c r="J808" s="25"/>
      <c r="K808" s="25"/>
      <c r="Y808" s="30"/>
      <c r="Z808" s="30"/>
    </row>
    <row r="809">
      <c r="A809" s="30"/>
      <c r="B809" s="30"/>
      <c r="C809" s="30"/>
      <c r="D809" s="30"/>
      <c r="E809" s="30"/>
      <c r="F809" s="30"/>
      <c r="G809" s="30"/>
      <c r="J809" s="25"/>
      <c r="K809" s="25"/>
      <c r="Y809" s="30"/>
      <c r="Z809" s="30"/>
    </row>
    <row r="810">
      <c r="A810" s="30"/>
      <c r="B810" s="30"/>
      <c r="C810" s="30"/>
      <c r="D810" s="30"/>
      <c r="E810" s="30"/>
      <c r="F810" s="30"/>
      <c r="G810" s="30"/>
      <c r="J810" s="25"/>
      <c r="K810" s="25"/>
      <c r="Y810" s="30"/>
      <c r="Z810" s="30"/>
    </row>
    <row r="811">
      <c r="A811" s="30"/>
      <c r="B811" s="30"/>
      <c r="C811" s="30"/>
      <c r="D811" s="30"/>
      <c r="E811" s="30"/>
      <c r="F811" s="30"/>
      <c r="G811" s="30"/>
      <c r="J811" s="25"/>
      <c r="K811" s="25"/>
      <c r="Y811" s="30"/>
      <c r="Z811" s="30"/>
    </row>
    <row r="812">
      <c r="A812" s="30"/>
      <c r="B812" s="30"/>
      <c r="C812" s="30"/>
      <c r="D812" s="30"/>
      <c r="E812" s="30"/>
      <c r="F812" s="30"/>
      <c r="G812" s="30"/>
      <c r="J812" s="25"/>
      <c r="K812" s="25"/>
      <c r="Y812" s="30"/>
      <c r="Z812" s="30"/>
    </row>
    <row r="813">
      <c r="A813" s="30"/>
      <c r="B813" s="30"/>
      <c r="C813" s="30"/>
      <c r="D813" s="30"/>
      <c r="E813" s="30"/>
      <c r="F813" s="30"/>
      <c r="G813" s="30"/>
      <c r="J813" s="25"/>
      <c r="K813" s="25"/>
      <c r="Y813" s="30"/>
      <c r="Z813" s="30"/>
    </row>
    <row r="814">
      <c r="A814" s="30"/>
      <c r="B814" s="30"/>
      <c r="C814" s="30"/>
      <c r="D814" s="30"/>
      <c r="E814" s="30"/>
      <c r="F814" s="30"/>
      <c r="G814" s="30"/>
      <c r="J814" s="25"/>
      <c r="K814" s="25"/>
      <c r="Y814" s="30"/>
      <c r="Z814" s="30"/>
    </row>
    <row r="815">
      <c r="A815" s="30"/>
      <c r="B815" s="30"/>
      <c r="C815" s="30"/>
      <c r="D815" s="30"/>
      <c r="E815" s="30"/>
      <c r="F815" s="30"/>
      <c r="G815" s="30"/>
      <c r="J815" s="25"/>
      <c r="K815" s="25"/>
      <c r="Y815" s="30"/>
      <c r="Z815" s="30"/>
    </row>
    <row r="816">
      <c r="A816" s="30"/>
      <c r="B816" s="30"/>
      <c r="C816" s="30"/>
      <c r="D816" s="30"/>
      <c r="E816" s="30"/>
      <c r="F816" s="30"/>
      <c r="G816" s="30"/>
      <c r="J816" s="25"/>
      <c r="K816" s="25"/>
      <c r="Y816" s="30"/>
      <c r="Z816" s="30"/>
    </row>
    <row r="817">
      <c r="A817" s="30"/>
      <c r="B817" s="30"/>
      <c r="C817" s="30"/>
      <c r="D817" s="30"/>
      <c r="E817" s="30"/>
      <c r="F817" s="30"/>
      <c r="G817" s="30"/>
      <c r="J817" s="25"/>
      <c r="K817" s="25"/>
      <c r="Y817" s="30"/>
      <c r="Z817" s="30"/>
    </row>
    <row r="818">
      <c r="A818" s="30"/>
      <c r="B818" s="30"/>
      <c r="C818" s="30"/>
      <c r="D818" s="30"/>
      <c r="E818" s="30"/>
      <c r="F818" s="30"/>
      <c r="G818" s="30"/>
      <c r="J818" s="25"/>
      <c r="K818" s="25"/>
      <c r="Y818" s="30"/>
      <c r="Z818" s="30"/>
    </row>
    <row r="819">
      <c r="A819" s="30"/>
      <c r="B819" s="30"/>
      <c r="C819" s="30"/>
      <c r="D819" s="30"/>
      <c r="E819" s="30"/>
      <c r="F819" s="30"/>
      <c r="G819" s="30"/>
      <c r="J819" s="25"/>
      <c r="K819" s="25"/>
      <c r="Y819" s="30"/>
      <c r="Z819" s="30"/>
    </row>
    <row r="820">
      <c r="A820" s="30"/>
      <c r="B820" s="30"/>
      <c r="C820" s="30"/>
      <c r="D820" s="30"/>
      <c r="E820" s="30"/>
      <c r="F820" s="30"/>
      <c r="G820" s="30"/>
      <c r="J820" s="25"/>
      <c r="K820" s="25"/>
      <c r="Y820" s="30"/>
      <c r="Z820" s="30"/>
    </row>
    <row r="821">
      <c r="A821" s="30"/>
      <c r="B821" s="30"/>
      <c r="C821" s="30"/>
      <c r="D821" s="30"/>
      <c r="E821" s="30"/>
      <c r="F821" s="30"/>
      <c r="G821" s="30"/>
      <c r="J821" s="25"/>
      <c r="K821" s="25"/>
      <c r="Y821" s="30"/>
      <c r="Z821" s="30"/>
    </row>
    <row r="822">
      <c r="A822" s="30"/>
      <c r="B822" s="30"/>
      <c r="C822" s="30"/>
      <c r="D822" s="30"/>
      <c r="E822" s="30"/>
      <c r="F822" s="30"/>
      <c r="G822" s="30"/>
      <c r="J822" s="25"/>
      <c r="K822" s="25"/>
      <c r="Y822" s="30"/>
      <c r="Z822" s="30"/>
    </row>
    <row r="823">
      <c r="A823" s="30"/>
      <c r="B823" s="30"/>
      <c r="C823" s="30"/>
      <c r="D823" s="30"/>
      <c r="E823" s="30"/>
      <c r="F823" s="30"/>
      <c r="G823" s="30"/>
      <c r="J823" s="25"/>
      <c r="K823" s="25"/>
      <c r="Y823" s="30"/>
      <c r="Z823" s="30"/>
    </row>
    <row r="824">
      <c r="A824" s="30"/>
      <c r="B824" s="30"/>
      <c r="C824" s="30"/>
      <c r="D824" s="30"/>
      <c r="E824" s="30"/>
      <c r="F824" s="30"/>
      <c r="G824" s="30"/>
      <c r="J824" s="25"/>
      <c r="K824" s="25"/>
      <c r="Y824" s="30"/>
      <c r="Z824" s="30"/>
    </row>
    <row r="825">
      <c r="A825" s="30"/>
      <c r="B825" s="30"/>
      <c r="C825" s="30"/>
      <c r="D825" s="30"/>
      <c r="E825" s="30"/>
      <c r="F825" s="30"/>
      <c r="G825" s="30"/>
      <c r="J825" s="25"/>
      <c r="K825" s="25"/>
      <c r="Y825" s="30"/>
      <c r="Z825" s="30"/>
    </row>
    <row r="826">
      <c r="A826" s="30"/>
      <c r="B826" s="30"/>
      <c r="C826" s="30"/>
      <c r="D826" s="30"/>
      <c r="E826" s="30"/>
      <c r="F826" s="30"/>
      <c r="G826" s="30"/>
      <c r="J826" s="25"/>
      <c r="K826" s="25"/>
      <c r="Y826" s="30"/>
      <c r="Z826" s="30"/>
    </row>
    <row r="827">
      <c r="A827" s="30"/>
      <c r="B827" s="30"/>
      <c r="C827" s="30"/>
      <c r="D827" s="30"/>
      <c r="E827" s="30"/>
      <c r="F827" s="30"/>
      <c r="G827" s="30"/>
      <c r="J827" s="25"/>
      <c r="K827" s="25"/>
      <c r="Y827" s="30"/>
      <c r="Z827" s="30"/>
    </row>
    <row r="828">
      <c r="A828" s="30"/>
      <c r="B828" s="30"/>
      <c r="C828" s="30"/>
      <c r="D828" s="30"/>
      <c r="E828" s="30"/>
      <c r="F828" s="30"/>
      <c r="G828" s="30"/>
      <c r="J828" s="25"/>
      <c r="K828" s="25"/>
      <c r="Y828" s="30"/>
      <c r="Z828" s="30"/>
    </row>
    <row r="829">
      <c r="A829" s="30"/>
      <c r="B829" s="30"/>
      <c r="C829" s="30"/>
      <c r="D829" s="30"/>
      <c r="E829" s="30"/>
      <c r="F829" s="30"/>
      <c r="G829" s="30"/>
      <c r="J829" s="25"/>
      <c r="K829" s="25"/>
      <c r="Y829" s="30"/>
      <c r="Z829" s="30"/>
    </row>
    <row r="830">
      <c r="A830" s="30"/>
      <c r="B830" s="30"/>
      <c r="C830" s="30"/>
      <c r="D830" s="30"/>
      <c r="E830" s="30"/>
      <c r="F830" s="30"/>
      <c r="G830" s="30"/>
      <c r="J830" s="25"/>
      <c r="K830" s="25"/>
      <c r="Y830" s="30"/>
      <c r="Z830" s="30"/>
    </row>
    <row r="831">
      <c r="A831" s="30"/>
      <c r="B831" s="30"/>
      <c r="C831" s="30"/>
      <c r="D831" s="30"/>
      <c r="E831" s="30"/>
      <c r="F831" s="30"/>
      <c r="G831" s="30"/>
      <c r="J831" s="25"/>
      <c r="K831" s="25"/>
      <c r="Y831" s="30"/>
      <c r="Z831" s="30"/>
    </row>
    <row r="832">
      <c r="A832" s="30"/>
      <c r="B832" s="30"/>
      <c r="C832" s="30"/>
      <c r="D832" s="30"/>
      <c r="E832" s="30"/>
      <c r="F832" s="30"/>
      <c r="G832" s="30"/>
      <c r="J832" s="25"/>
      <c r="K832" s="25"/>
      <c r="Y832" s="30"/>
      <c r="Z832" s="30"/>
    </row>
    <row r="833">
      <c r="A833" s="30"/>
      <c r="B833" s="30"/>
      <c r="C833" s="30"/>
      <c r="D833" s="30"/>
      <c r="E833" s="30"/>
      <c r="F833" s="30"/>
      <c r="G833" s="30"/>
      <c r="J833" s="25"/>
      <c r="K833" s="25"/>
      <c r="Y833" s="30"/>
      <c r="Z833" s="30"/>
    </row>
    <row r="834">
      <c r="A834" s="30"/>
      <c r="B834" s="30"/>
      <c r="C834" s="30"/>
      <c r="D834" s="30"/>
      <c r="E834" s="30"/>
      <c r="F834" s="30"/>
      <c r="G834" s="30"/>
      <c r="J834" s="25"/>
      <c r="K834" s="25"/>
      <c r="Y834" s="30"/>
      <c r="Z834" s="30"/>
    </row>
    <row r="835">
      <c r="A835" s="30"/>
      <c r="B835" s="30"/>
      <c r="C835" s="30"/>
      <c r="D835" s="30"/>
      <c r="E835" s="30"/>
      <c r="F835" s="30"/>
      <c r="G835" s="30"/>
      <c r="J835" s="25"/>
      <c r="K835" s="25"/>
      <c r="Y835" s="30"/>
      <c r="Z835" s="30"/>
    </row>
    <row r="836">
      <c r="A836" s="30"/>
      <c r="B836" s="30"/>
      <c r="C836" s="30"/>
      <c r="D836" s="30"/>
      <c r="E836" s="30"/>
      <c r="F836" s="30"/>
      <c r="G836" s="30"/>
      <c r="J836" s="25"/>
      <c r="K836" s="25"/>
      <c r="Y836" s="30"/>
      <c r="Z836" s="30"/>
    </row>
    <row r="837">
      <c r="A837" s="30"/>
      <c r="B837" s="30"/>
      <c r="C837" s="30"/>
      <c r="D837" s="30"/>
      <c r="E837" s="30"/>
      <c r="F837" s="30"/>
      <c r="G837" s="30"/>
      <c r="J837" s="25"/>
      <c r="K837" s="25"/>
      <c r="Y837" s="30"/>
      <c r="Z837" s="30"/>
    </row>
    <row r="838">
      <c r="A838" s="30"/>
      <c r="B838" s="30"/>
      <c r="C838" s="30"/>
      <c r="D838" s="30"/>
      <c r="E838" s="30"/>
      <c r="F838" s="30"/>
      <c r="G838" s="30"/>
      <c r="J838" s="25"/>
      <c r="K838" s="25"/>
      <c r="Y838" s="30"/>
      <c r="Z838" s="30"/>
    </row>
    <row r="839">
      <c r="A839" s="30"/>
      <c r="B839" s="30"/>
      <c r="C839" s="30"/>
      <c r="D839" s="30"/>
      <c r="E839" s="30"/>
      <c r="F839" s="30"/>
      <c r="G839" s="30"/>
      <c r="J839" s="25"/>
      <c r="K839" s="25"/>
      <c r="Y839" s="30"/>
      <c r="Z839" s="30"/>
    </row>
    <row r="840">
      <c r="A840" s="30"/>
      <c r="B840" s="30"/>
      <c r="C840" s="30"/>
      <c r="D840" s="30"/>
      <c r="E840" s="30"/>
      <c r="F840" s="30"/>
      <c r="G840" s="30"/>
      <c r="J840" s="25"/>
      <c r="K840" s="25"/>
      <c r="Y840" s="30"/>
      <c r="Z840" s="30"/>
    </row>
    <row r="841">
      <c r="A841" s="30"/>
      <c r="B841" s="30"/>
      <c r="C841" s="30"/>
      <c r="D841" s="30"/>
      <c r="E841" s="30"/>
      <c r="F841" s="30"/>
      <c r="G841" s="30"/>
      <c r="J841" s="25"/>
      <c r="K841" s="25"/>
      <c r="Y841" s="30"/>
      <c r="Z841" s="30"/>
    </row>
    <row r="842">
      <c r="A842" s="30"/>
      <c r="B842" s="30"/>
      <c r="C842" s="30"/>
      <c r="D842" s="30"/>
      <c r="E842" s="30"/>
      <c r="F842" s="30"/>
      <c r="G842" s="30"/>
      <c r="J842" s="25"/>
      <c r="K842" s="25"/>
      <c r="Y842" s="30"/>
      <c r="Z842" s="30"/>
    </row>
    <row r="843">
      <c r="A843" s="30"/>
      <c r="B843" s="30"/>
      <c r="C843" s="30"/>
      <c r="D843" s="30"/>
      <c r="E843" s="30"/>
      <c r="F843" s="30"/>
      <c r="G843" s="30"/>
      <c r="J843" s="25"/>
      <c r="K843" s="25"/>
      <c r="Y843" s="30"/>
      <c r="Z843" s="30"/>
    </row>
    <row r="844">
      <c r="A844" s="30"/>
      <c r="B844" s="30"/>
      <c r="C844" s="30"/>
      <c r="D844" s="30"/>
      <c r="E844" s="30"/>
      <c r="F844" s="30"/>
      <c r="G844" s="30"/>
      <c r="J844" s="25"/>
      <c r="K844" s="25"/>
      <c r="Y844" s="30"/>
      <c r="Z844" s="30"/>
    </row>
    <row r="845">
      <c r="A845" s="30"/>
      <c r="B845" s="30"/>
      <c r="C845" s="30"/>
      <c r="D845" s="30"/>
      <c r="E845" s="30"/>
      <c r="F845" s="30"/>
      <c r="G845" s="30"/>
      <c r="J845" s="25"/>
      <c r="K845" s="25"/>
      <c r="Y845" s="30"/>
      <c r="Z845" s="30"/>
    </row>
    <row r="846">
      <c r="A846" s="30"/>
      <c r="B846" s="30"/>
      <c r="C846" s="30"/>
      <c r="D846" s="30"/>
      <c r="E846" s="30"/>
      <c r="F846" s="30"/>
      <c r="G846" s="30"/>
      <c r="J846" s="25"/>
      <c r="K846" s="25"/>
      <c r="Y846" s="30"/>
      <c r="Z846" s="30"/>
    </row>
    <row r="847">
      <c r="A847" s="30"/>
      <c r="B847" s="30"/>
      <c r="C847" s="30"/>
      <c r="D847" s="30"/>
      <c r="E847" s="30"/>
      <c r="F847" s="30"/>
      <c r="G847" s="30"/>
      <c r="J847" s="25"/>
      <c r="K847" s="25"/>
      <c r="Y847" s="30"/>
      <c r="Z847" s="30"/>
    </row>
    <row r="848">
      <c r="A848" s="30"/>
      <c r="B848" s="30"/>
      <c r="C848" s="30"/>
      <c r="D848" s="30"/>
      <c r="E848" s="30"/>
      <c r="F848" s="30"/>
      <c r="G848" s="30"/>
      <c r="J848" s="25"/>
      <c r="K848" s="25"/>
      <c r="Y848" s="30"/>
      <c r="Z848" s="30"/>
    </row>
    <row r="849">
      <c r="A849" s="30"/>
      <c r="B849" s="30"/>
      <c r="C849" s="30"/>
      <c r="D849" s="30"/>
      <c r="E849" s="30"/>
      <c r="F849" s="30"/>
      <c r="G849" s="30"/>
      <c r="J849" s="25"/>
      <c r="K849" s="25"/>
      <c r="Y849" s="30"/>
      <c r="Z849" s="30"/>
    </row>
    <row r="850">
      <c r="A850" s="30"/>
      <c r="B850" s="30"/>
      <c r="C850" s="30"/>
      <c r="D850" s="30"/>
      <c r="E850" s="30"/>
      <c r="F850" s="30"/>
      <c r="G850" s="30"/>
      <c r="J850" s="25"/>
      <c r="K850" s="25"/>
      <c r="Y850" s="30"/>
      <c r="Z850" s="30"/>
    </row>
    <row r="851">
      <c r="A851" s="30"/>
      <c r="B851" s="30"/>
      <c r="C851" s="30"/>
      <c r="D851" s="30"/>
      <c r="E851" s="30"/>
      <c r="F851" s="30"/>
      <c r="G851" s="30"/>
      <c r="J851" s="25"/>
      <c r="K851" s="25"/>
      <c r="Y851" s="30"/>
      <c r="Z851" s="30"/>
    </row>
    <row r="852">
      <c r="A852" s="30"/>
      <c r="B852" s="30"/>
      <c r="C852" s="30"/>
      <c r="D852" s="30"/>
      <c r="E852" s="30"/>
      <c r="F852" s="30"/>
      <c r="G852" s="30"/>
      <c r="J852" s="25"/>
      <c r="K852" s="25"/>
      <c r="Y852" s="30"/>
      <c r="Z852" s="30"/>
    </row>
    <row r="853">
      <c r="A853" s="30"/>
      <c r="B853" s="30"/>
      <c r="C853" s="30"/>
      <c r="D853" s="30"/>
      <c r="E853" s="30"/>
      <c r="F853" s="30"/>
      <c r="G853" s="30"/>
      <c r="J853" s="25"/>
      <c r="K853" s="25"/>
      <c r="Y853" s="30"/>
      <c r="Z853" s="30"/>
    </row>
    <row r="854">
      <c r="A854" s="30"/>
      <c r="B854" s="30"/>
      <c r="C854" s="30"/>
      <c r="D854" s="30"/>
      <c r="E854" s="30"/>
      <c r="F854" s="30"/>
      <c r="G854" s="30"/>
      <c r="J854" s="25"/>
      <c r="K854" s="25"/>
      <c r="Y854" s="30"/>
      <c r="Z854" s="30"/>
    </row>
    <row r="855">
      <c r="A855" s="30"/>
      <c r="B855" s="30"/>
      <c r="C855" s="30"/>
      <c r="D855" s="30"/>
      <c r="E855" s="30"/>
      <c r="F855" s="30"/>
      <c r="G855" s="30"/>
      <c r="J855" s="25"/>
      <c r="K855" s="25"/>
      <c r="Y855" s="30"/>
      <c r="Z855" s="30"/>
    </row>
    <row r="856">
      <c r="A856" s="30"/>
      <c r="B856" s="30"/>
      <c r="C856" s="30"/>
      <c r="D856" s="30"/>
      <c r="E856" s="30"/>
      <c r="F856" s="30"/>
      <c r="G856" s="30"/>
      <c r="J856" s="25"/>
      <c r="K856" s="25"/>
      <c r="Y856" s="30"/>
      <c r="Z856" s="30"/>
    </row>
    <row r="857">
      <c r="A857" s="30"/>
      <c r="B857" s="30"/>
      <c r="C857" s="30"/>
      <c r="D857" s="30"/>
      <c r="E857" s="30"/>
      <c r="F857" s="30"/>
      <c r="G857" s="30"/>
      <c r="J857" s="25"/>
      <c r="K857" s="25"/>
      <c r="Y857" s="30"/>
      <c r="Z857" s="30"/>
    </row>
    <row r="858">
      <c r="A858" s="30"/>
      <c r="B858" s="30"/>
      <c r="C858" s="30"/>
      <c r="D858" s="30"/>
      <c r="E858" s="30"/>
      <c r="F858" s="30"/>
      <c r="G858" s="30"/>
      <c r="J858" s="25"/>
      <c r="K858" s="25"/>
      <c r="Y858" s="30"/>
      <c r="Z858" s="30"/>
    </row>
    <row r="859">
      <c r="A859" s="30"/>
      <c r="B859" s="30"/>
      <c r="C859" s="30"/>
      <c r="D859" s="30"/>
      <c r="E859" s="30"/>
      <c r="F859" s="30"/>
      <c r="G859" s="30"/>
      <c r="J859" s="25"/>
      <c r="K859" s="25"/>
      <c r="Y859" s="30"/>
      <c r="Z859" s="30"/>
    </row>
    <row r="860">
      <c r="A860" s="30"/>
      <c r="B860" s="30"/>
      <c r="C860" s="30"/>
      <c r="D860" s="30"/>
      <c r="E860" s="30"/>
      <c r="F860" s="30"/>
      <c r="G860" s="30"/>
      <c r="J860" s="25"/>
      <c r="K860" s="25"/>
      <c r="Y860" s="30"/>
      <c r="Z860" s="30"/>
    </row>
    <row r="861">
      <c r="A861" s="30"/>
      <c r="B861" s="30"/>
      <c r="C861" s="30"/>
      <c r="D861" s="30"/>
      <c r="E861" s="30"/>
      <c r="F861" s="30"/>
      <c r="G861" s="30"/>
      <c r="J861" s="25"/>
      <c r="K861" s="25"/>
      <c r="Y861" s="30"/>
      <c r="Z861" s="30"/>
    </row>
    <row r="862">
      <c r="A862" s="30"/>
      <c r="B862" s="30"/>
      <c r="C862" s="30"/>
      <c r="D862" s="30"/>
      <c r="E862" s="30"/>
      <c r="F862" s="30"/>
      <c r="G862" s="30"/>
      <c r="J862" s="25"/>
      <c r="K862" s="25"/>
      <c r="Y862" s="30"/>
      <c r="Z862" s="30"/>
    </row>
    <row r="863">
      <c r="A863" s="30"/>
      <c r="B863" s="30"/>
      <c r="C863" s="30"/>
      <c r="D863" s="30"/>
      <c r="E863" s="30"/>
      <c r="F863" s="30"/>
      <c r="G863" s="30"/>
      <c r="J863" s="25"/>
      <c r="K863" s="25"/>
      <c r="Y863" s="30"/>
      <c r="Z863" s="30"/>
    </row>
    <row r="864">
      <c r="A864" s="30"/>
      <c r="B864" s="30"/>
      <c r="C864" s="30"/>
      <c r="D864" s="30"/>
      <c r="E864" s="30"/>
      <c r="F864" s="30"/>
      <c r="G864" s="30"/>
      <c r="J864" s="25"/>
      <c r="K864" s="25"/>
      <c r="Y864" s="30"/>
      <c r="Z864" s="30"/>
    </row>
    <row r="865">
      <c r="A865" s="30"/>
      <c r="B865" s="30"/>
      <c r="C865" s="30"/>
      <c r="D865" s="30"/>
      <c r="E865" s="30"/>
      <c r="F865" s="30"/>
      <c r="G865" s="30"/>
      <c r="J865" s="25"/>
      <c r="K865" s="25"/>
      <c r="Y865" s="30"/>
      <c r="Z865" s="30"/>
    </row>
    <row r="866">
      <c r="A866" s="30"/>
      <c r="B866" s="30"/>
      <c r="C866" s="30"/>
      <c r="D866" s="30"/>
      <c r="E866" s="30"/>
      <c r="F866" s="30"/>
      <c r="G866" s="30"/>
      <c r="J866" s="25"/>
      <c r="K866" s="25"/>
      <c r="Y866" s="30"/>
      <c r="Z866" s="30"/>
    </row>
    <row r="867">
      <c r="A867" s="30"/>
      <c r="B867" s="30"/>
      <c r="C867" s="30"/>
      <c r="D867" s="30"/>
      <c r="E867" s="30"/>
      <c r="F867" s="30"/>
      <c r="G867" s="30"/>
      <c r="J867" s="25"/>
      <c r="K867" s="25"/>
      <c r="Y867" s="30"/>
      <c r="Z867" s="30"/>
    </row>
    <row r="868">
      <c r="A868" s="30"/>
      <c r="B868" s="30"/>
      <c r="C868" s="30"/>
      <c r="D868" s="30"/>
      <c r="E868" s="30"/>
      <c r="F868" s="30"/>
      <c r="G868" s="30"/>
      <c r="J868" s="25"/>
      <c r="K868" s="25"/>
      <c r="Y868" s="30"/>
      <c r="Z868" s="30"/>
    </row>
    <row r="869">
      <c r="A869" s="30"/>
      <c r="B869" s="30"/>
      <c r="C869" s="30"/>
      <c r="D869" s="30"/>
      <c r="E869" s="30"/>
      <c r="F869" s="30"/>
      <c r="G869" s="30"/>
      <c r="J869" s="25"/>
      <c r="K869" s="25"/>
      <c r="Y869" s="30"/>
      <c r="Z869" s="30"/>
    </row>
    <row r="870">
      <c r="A870" s="30"/>
      <c r="B870" s="30"/>
      <c r="C870" s="30"/>
      <c r="D870" s="30"/>
      <c r="E870" s="30"/>
      <c r="F870" s="30"/>
      <c r="G870" s="30"/>
      <c r="J870" s="25"/>
      <c r="K870" s="25"/>
      <c r="Y870" s="30"/>
      <c r="Z870" s="30"/>
    </row>
    <row r="871">
      <c r="A871" s="30"/>
      <c r="B871" s="30"/>
      <c r="C871" s="30"/>
      <c r="D871" s="30"/>
      <c r="E871" s="30"/>
      <c r="F871" s="30"/>
      <c r="G871" s="30"/>
      <c r="J871" s="25"/>
      <c r="K871" s="25"/>
      <c r="Y871" s="30"/>
      <c r="Z871" s="30"/>
    </row>
    <row r="872">
      <c r="A872" s="30"/>
      <c r="B872" s="30"/>
      <c r="C872" s="30"/>
      <c r="D872" s="30"/>
      <c r="E872" s="30"/>
      <c r="F872" s="30"/>
      <c r="G872" s="30"/>
      <c r="J872" s="25"/>
      <c r="K872" s="25"/>
      <c r="Y872" s="30"/>
      <c r="Z872" s="30"/>
    </row>
    <row r="873">
      <c r="A873" s="30"/>
      <c r="B873" s="30"/>
      <c r="C873" s="30"/>
      <c r="D873" s="30"/>
      <c r="E873" s="30"/>
      <c r="F873" s="30"/>
      <c r="G873" s="30"/>
      <c r="J873" s="25"/>
      <c r="K873" s="25"/>
      <c r="Y873" s="30"/>
      <c r="Z873" s="30"/>
    </row>
    <row r="874">
      <c r="A874" s="30"/>
      <c r="B874" s="30"/>
      <c r="C874" s="30"/>
      <c r="D874" s="30"/>
      <c r="E874" s="30"/>
      <c r="F874" s="30"/>
      <c r="G874" s="30"/>
      <c r="J874" s="25"/>
      <c r="K874" s="25"/>
      <c r="Y874" s="30"/>
      <c r="Z874" s="30"/>
    </row>
    <row r="875">
      <c r="A875" s="30"/>
      <c r="B875" s="30"/>
      <c r="C875" s="30"/>
      <c r="D875" s="30"/>
      <c r="E875" s="30"/>
      <c r="F875" s="30"/>
      <c r="G875" s="30"/>
      <c r="J875" s="25"/>
      <c r="K875" s="25"/>
      <c r="Y875" s="30"/>
      <c r="Z875" s="30"/>
    </row>
    <row r="876">
      <c r="A876" s="30"/>
      <c r="B876" s="30"/>
      <c r="C876" s="30"/>
      <c r="D876" s="30"/>
      <c r="E876" s="30"/>
      <c r="F876" s="30"/>
      <c r="G876" s="30"/>
      <c r="J876" s="25"/>
      <c r="K876" s="25"/>
      <c r="Y876" s="30"/>
      <c r="Z876" s="30"/>
    </row>
    <row r="877">
      <c r="A877" s="30"/>
      <c r="B877" s="30"/>
      <c r="C877" s="30"/>
      <c r="D877" s="30"/>
      <c r="E877" s="30"/>
      <c r="F877" s="30"/>
      <c r="G877" s="30"/>
      <c r="J877" s="25"/>
      <c r="K877" s="25"/>
      <c r="Y877" s="30"/>
      <c r="Z877" s="30"/>
    </row>
    <row r="878">
      <c r="A878" s="30"/>
      <c r="B878" s="30"/>
      <c r="C878" s="30"/>
      <c r="D878" s="30"/>
      <c r="E878" s="30"/>
      <c r="F878" s="30"/>
      <c r="G878" s="30"/>
      <c r="J878" s="25"/>
      <c r="K878" s="25"/>
      <c r="Y878" s="30"/>
      <c r="Z878" s="30"/>
    </row>
    <row r="879">
      <c r="A879" s="30"/>
      <c r="B879" s="30"/>
      <c r="C879" s="30"/>
      <c r="D879" s="30"/>
      <c r="E879" s="30"/>
      <c r="F879" s="30"/>
      <c r="G879" s="30"/>
      <c r="J879" s="25"/>
      <c r="K879" s="25"/>
      <c r="Y879" s="30"/>
      <c r="Z879" s="30"/>
    </row>
    <row r="880">
      <c r="A880" s="30"/>
      <c r="B880" s="30"/>
      <c r="C880" s="30"/>
      <c r="D880" s="30"/>
      <c r="E880" s="30"/>
      <c r="F880" s="30"/>
      <c r="G880" s="30"/>
      <c r="J880" s="25"/>
      <c r="K880" s="25"/>
      <c r="Y880" s="30"/>
      <c r="Z880" s="30"/>
    </row>
    <row r="881">
      <c r="A881" s="30"/>
      <c r="B881" s="30"/>
      <c r="C881" s="30"/>
      <c r="D881" s="30"/>
      <c r="E881" s="30"/>
      <c r="F881" s="30"/>
      <c r="G881" s="30"/>
      <c r="J881" s="25"/>
      <c r="K881" s="25"/>
      <c r="Y881" s="30"/>
      <c r="Z881" s="30"/>
    </row>
    <row r="882">
      <c r="A882" s="30"/>
      <c r="B882" s="30"/>
      <c r="C882" s="30"/>
      <c r="D882" s="30"/>
      <c r="E882" s="30"/>
      <c r="F882" s="30"/>
      <c r="G882" s="30"/>
      <c r="J882" s="25"/>
      <c r="K882" s="25"/>
      <c r="Y882" s="30"/>
      <c r="Z882" s="30"/>
    </row>
    <row r="883">
      <c r="A883" s="30"/>
      <c r="B883" s="30"/>
      <c r="C883" s="30"/>
      <c r="D883" s="30"/>
      <c r="E883" s="30"/>
      <c r="F883" s="30"/>
      <c r="G883" s="30"/>
      <c r="J883" s="25"/>
      <c r="K883" s="25"/>
      <c r="Y883" s="30"/>
      <c r="Z883" s="30"/>
    </row>
    <row r="884">
      <c r="A884" s="30"/>
      <c r="B884" s="30"/>
      <c r="C884" s="30"/>
      <c r="D884" s="30"/>
      <c r="E884" s="30"/>
      <c r="F884" s="30"/>
      <c r="G884" s="30"/>
      <c r="J884" s="25"/>
      <c r="K884" s="25"/>
      <c r="Y884" s="30"/>
      <c r="Z884" s="30"/>
    </row>
    <row r="885">
      <c r="A885" s="30"/>
      <c r="B885" s="30"/>
      <c r="C885" s="30"/>
      <c r="D885" s="30"/>
      <c r="E885" s="30"/>
      <c r="F885" s="30"/>
      <c r="G885" s="30"/>
      <c r="J885" s="25"/>
      <c r="K885" s="25"/>
      <c r="Y885" s="30"/>
      <c r="Z885" s="30"/>
    </row>
    <row r="886">
      <c r="A886" s="30"/>
      <c r="B886" s="30"/>
      <c r="C886" s="30"/>
      <c r="D886" s="30"/>
      <c r="E886" s="30"/>
      <c r="F886" s="30"/>
      <c r="G886" s="30"/>
      <c r="J886" s="25"/>
      <c r="K886" s="25"/>
      <c r="Y886" s="30"/>
      <c r="Z886" s="30"/>
    </row>
    <row r="887">
      <c r="A887" s="30"/>
      <c r="B887" s="30"/>
      <c r="C887" s="30"/>
      <c r="D887" s="30"/>
      <c r="E887" s="30"/>
      <c r="F887" s="30"/>
      <c r="G887" s="30"/>
      <c r="J887" s="25"/>
      <c r="K887" s="25"/>
      <c r="Y887" s="30"/>
      <c r="Z887" s="30"/>
    </row>
    <row r="888">
      <c r="A888" s="30"/>
      <c r="B888" s="30"/>
      <c r="C888" s="30"/>
      <c r="D888" s="30"/>
      <c r="E888" s="30"/>
      <c r="F888" s="30"/>
      <c r="G888" s="30"/>
      <c r="J888" s="25"/>
      <c r="K888" s="25"/>
      <c r="Y888" s="30"/>
      <c r="Z888" s="30"/>
    </row>
    <row r="889">
      <c r="A889" s="30"/>
      <c r="B889" s="30"/>
      <c r="C889" s="30"/>
      <c r="D889" s="30"/>
      <c r="E889" s="30"/>
      <c r="F889" s="30"/>
      <c r="G889" s="30"/>
      <c r="J889" s="25"/>
      <c r="K889" s="25"/>
      <c r="Y889" s="30"/>
      <c r="Z889" s="30"/>
    </row>
    <row r="890">
      <c r="A890" s="30"/>
      <c r="B890" s="30"/>
      <c r="C890" s="30"/>
      <c r="D890" s="30"/>
      <c r="E890" s="30"/>
      <c r="F890" s="30"/>
      <c r="G890" s="30"/>
      <c r="J890" s="25"/>
      <c r="K890" s="25"/>
      <c r="Y890" s="30"/>
      <c r="Z890" s="30"/>
    </row>
    <row r="891">
      <c r="A891" s="30"/>
      <c r="B891" s="30"/>
      <c r="C891" s="30"/>
      <c r="D891" s="30"/>
      <c r="E891" s="30"/>
      <c r="F891" s="30"/>
      <c r="G891" s="30"/>
      <c r="J891" s="25"/>
      <c r="K891" s="25"/>
      <c r="Y891" s="30"/>
      <c r="Z891" s="30"/>
    </row>
    <row r="892">
      <c r="A892" s="30"/>
      <c r="B892" s="30"/>
      <c r="C892" s="30"/>
      <c r="D892" s="30"/>
      <c r="E892" s="30"/>
      <c r="F892" s="30"/>
      <c r="G892" s="30"/>
      <c r="J892" s="25"/>
      <c r="K892" s="25"/>
      <c r="Y892" s="30"/>
      <c r="Z892" s="30"/>
    </row>
    <row r="893">
      <c r="A893" s="30"/>
      <c r="B893" s="30"/>
      <c r="C893" s="30"/>
      <c r="D893" s="30"/>
      <c r="E893" s="30"/>
      <c r="F893" s="30"/>
      <c r="G893" s="30"/>
      <c r="J893" s="25"/>
      <c r="K893" s="25"/>
      <c r="Y893" s="30"/>
      <c r="Z893" s="30"/>
    </row>
    <row r="894">
      <c r="A894" s="30"/>
      <c r="B894" s="30"/>
      <c r="C894" s="30"/>
      <c r="D894" s="30"/>
      <c r="E894" s="30"/>
      <c r="F894" s="30"/>
      <c r="G894" s="30"/>
      <c r="J894" s="25"/>
      <c r="K894" s="25"/>
      <c r="Y894" s="30"/>
      <c r="Z894" s="30"/>
    </row>
    <row r="895">
      <c r="A895" s="30"/>
      <c r="B895" s="30"/>
      <c r="C895" s="30"/>
      <c r="D895" s="30"/>
      <c r="E895" s="30"/>
      <c r="F895" s="30"/>
      <c r="G895" s="30"/>
      <c r="J895" s="25"/>
      <c r="K895" s="25"/>
      <c r="Y895" s="30"/>
      <c r="Z895" s="30"/>
    </row>
    <row r="896">
      <c r="A896" s="30"/>
      <c r="B896" s="30"/>
      <c r="C896" s="30"/>
      <c r="D896" s="30"/>
      <c r="E896" s="30"/>
      <c r="F896" s="30"/>
      <c r="G896" s="30"/>
      <c r="J896" s="25"/>
      <c r="K896" s="25"/>
      <c r="Y896" s="30"/>
      <c r="Z896" s="30"/>
    </row>
    <row r="897">
      <c r="A897" s="30"/>
      <c r="B897" s="30"/>
      <c r="C897" s="30"/>
      <c r="D897" s="30"/>
      <c r="E897" s="30"/>
      <c r="F897" s="30"/>
      <c r="G897" s="30"/>
      <c r="J897" s="25"/>
      <c r="K897" s="25"/>
      <c r="Y897" s="30"/>
      <c r="Z897" s="30"/>
    </row>
    <row r="898">
      <c r="A898" s="30"/>
      <c r="B898" s="30"/>
      <c r="C898" s="30"/>
      <c r="D898" s="30"/>
      <c r="E898" s="30"/>
      <c r="F898" s="30"/>
      <c r="G898" s="30"/>
      <c r="J898" s="25"/>
      <c r="K898" s="25"/>
      <c r="Y898" s="30"/>
      <c r="Z898" s="30"/>
    </row>
    <row r="899">
      <c r="A899" s="30"/>
      <c r="B899" s="30"/>
      <c r="C899" s="30"/>
      <c r="D899" s="30"/>
      <c r="E899" s="30"/>
      <c r="F899" s="30"/>
      <c r="G899" s="30"/>
      <c r="J899" s="25"/>
      <c r="K899" s="25"/>
      <c r="Y899" s="30"/>
      <c r="Z899" s="30"/>
    </row>
    <row r="900">
      <c r="A900" s="30"/>
      <c r="B900" s="30"/>
      <c r="C900" s="30"/>
      <c r="D900" s="30"/>
      <c r="E900" s="30"/>
      <c r="F900" s="30"/>
      <c r="G900" s="30"/>
      <c r="J900" s="25"/>
      <c r="K900" s="25"/>
      <c r="Y900" s="30"/>
      <c r="Z900" s="30"/>
    </row>
    <row r="901">
      <c r="A901" s="30"/>
      <c r="B901" s="30"/>
      <c r="C901" s="30"/>
      <c r="D901" s="30"/>
      <c r="E901" s="30"/>
      <c r="F901" s="30"/>
      <c r="G901" s="30"/>
      <c r="J901" s="25"/>
      <c r="K901" s="25"/>
      <c r="Y901" s="30"/>
      <c r="Z901" s="30"/>
    </row>
    <row r="902">
      <c r="A902" s="30"/>
      <c r="B902" s="30"/>
      <c r="C902" s="30"/>
      <c r="D902" s="30"/>
      <c r="E902" s="30"/>
      <c r="F902" s="30"/>
      <c r="G902" s="30"/>
      <c r="J902" s="25"/>
      <c r="K902" s="25"/>
      <c r="Y902" s="30"/>
      <c r="Z902" s="30"/>
    </row>
    <row r="903">
      <c r="A903" s="30"/>
      <c r="B903" s="30"/>
      <c r="C903" s="30"/>
      <c r="D903" s="30"/>
      <c r="E903" s="30"/>
      <c r="F903" s="30"/>
      <c r="G903" s="30"/>
      <c r="J903" s="25"/>
      <c r="K903" s="25"/>
      <c r="Y903" s="30"/>
      <c r="Z903" s="30"/>
    </row>
    <row r="904">
      <c r="A904" s="30"/>
      <c r="B904" s="30"/>
      <c r="C904" s="30"/>
      <c r="D904" s="30"/>
      <c r="E904" s="30"/>
      <c r="F904" s="30"/>
      <c r="G904" s="30"/>
      <c r="J904" s="25"/>
      <c r="K904" s="25"/>
      <c r="Y904" s="30"/>
      <c r="Z904" s="30"/>
    </row>
    <row r="905">
      <c r="A905" s="30"/>
      <c r="B905" s="30"/>
      <c r="C905" s="30"/>
      <c r="D905" s="30"/>
      <c r="E905" s="30"/>
      <c r="F905" s="30"/>
      <c r="G905" s="30"/>
      <c r="J905" s="25"/>
      <c r="K905" s="25"/>
      <c r="Y905" s="30"/>
      <c r="Z905" s="30"/>
    </row>
    <row r="906">
      <c r="A906" s="30"/>
      <c r="B906" s="30"/>
      <c r="C906" s="30"/>
      <c r="D906" s="30"/>
      <c r="E906" s="30"/>
      <c r="F906" s="30"/>
      <c r="G906" s="30"/>
      <c r="J906" s="25"/>
      <c r="K906" s="25"/>
      <c r="Y906" s="30"/>
      <c r="Z906" s="30"/>
    </row>
    <row r="907">
      <c r="A907" s="30"/>
      <c r="B907" s="30"/>
      <c r="C907" s="30"/>
      <c r="D907" s="30"/>
      <c r="E907" s="30"/>
      <c r="F907" s="30"/>
      <c r="G907" s="30"/>
      <c r="J907" s="25"/>
      <c r="K907" s="25"/>
      <c r="Y907" s="30"/>
      <c r="Z907" s="30"/>
    </row>
    <row r="908">
      <c r="A908" s="30"/>
      <c r="B908" s="30"/>
      <c r="C908" s="30"/>
      <c r="D908" s="30"/>
      <c r="E908" s="30"/>
      <c r="F908" s="30"/>
      <c r="G908" s="30"/>
      <c r="J908" s="25"/>
      <c r="K908" s="25"/>
      <c r="Y908" s="30"/>
      <c r="Z908" s="30"/>
    </row>
    <row r="909">
      <c r="A909" s="30"/>
      <c r="B909" s="30"/>
      <c r="C909" s="30"/>
      <c r="D909" s="30"/>
      <c r="E909" s="30"/>
      <c r="F909" s="30"/>
      <c r="G909" s="30"/>
      <c r="J909" s="25"/>
      <c r="K909" s="25"/>
      <c r="Y909" s="30"/>
      <c r="Z909" s="30"/>
    </row>
    <row r="910">
      <c r="A910" s="30"/>
      <c r="B910" s="30"/>
      <c r="C910" s="30"/>
      <c r="D910" s="30"/>
      <c r="E910" s="30"/>
      <c r="F910" s="30"/>
      <c r="G910" s="30"/>
      <c r="J910" s="25"/>
      <c r="K910" s="25"/>
      <c r="Y910" s="30"/>
      <c r="Z910" s="30"/>
    </row>
    <row r="911">
      <c r="A911" s="30"/>
      <c r="B911" s="30"/>
      <c r="C911" s="30"/>
      <c r="D911" s="30"/>
      <c r="E911" s="30"/>
      <c r="F911" s="30"/>
      <c r="G911" s="30"/>
      <c r="J911" s="25"/>
      <c r="K911" s="25"/>
      <c r="Y911" s="30"/>
      <c r="Z911" s="30"/>
    </row>
    <row r="912">
      <c r="A912" s="30"/>
      <c r="B912" s="30"/>
      <c r="C912" s="30"/>
      <c r="D912" s="30"/>
      <c r="E912" s="30"/>
      <c r="F912" s="30"/>
      <c r="G912" s="30"/>
      <c r="J912" s="25"/>
      <c r="K912" s="25"/>
      <c r="Y912" s="30"/>
      <c r="Z912" s="30"/>
    </row>
    <row r="913">
      <c r="A913" s="30"/>
      <c r="B913" s="30"/>
      <c r="C913" s="30"/>
      <c r="D913" s="30"/>
      <c r="E913" s="30"/>
      <c r="F913" s="30"/>
      <c r="G913" s="30"/>
      <c r="J913" s="25"/>
      <c r="K913" s="25"/>
      <c r="Y913" s="30"/>
      <c r="Z913" s="30"/>
    </row>
    <row r="914">
      <c r="A914" s="30"/>
      <c r="B914" s="30"/>
      <c r="C914" s="30"/>
      <c r="D914" s="30"/>
      <c r="E914" s="30"/>
      <c r="F914" s="30"/>
      <c r="G914" s="30"/>
      <c r="J914" s="25"/>
      <c r="K914" s="25"/>
      <c r="Y914" s="30"/>
      <c r="Z914" s="30"/>
    </row>
    <row r="915">
      <c r="A915" s="30"/>
      <c r="B915" s="30"/>
      <c r="C915" s="30"/>
      <c r="D915" s="30"/>
      <c r="E915" s="30"/>
      <c r="F915" s="30"/>
      <c r="G915" s="30"/>
      <c r="J915" s="25"/>
      <c r="K915" s="25"/>
      <c r="Y915" s="30"/>
      <c r="Z915" s="30"/>
    </row>
    <row r="916">
      <c r="A916" s="30"/>
      <c r="B916" s="30"/>
      <c r="C916" s="30"/>
      <c r="D916" s="30"/>
      <c r="E916" s="30"/>
      <c r="F916" s="30"/>
      <c r="G916" s="30"/>
      <c r="J916" s="25"/>
      <c r="K916" s="25"/>
      <c r="Y916" s="30"/>
      <c r="Z916" s="30"/>
    </row>
    <row r="917">
      <c r="A917" s="30"/>
      <c r="B917" s="30"/>
      <c r="C917" s="30"/>
      <c r="D917" s="30"/>
      <c r="E917" s="30"/>
      <c r="F917" s="30"/>
      <c r="G917" s="30"/>
      <c r="J917" s="25"/>
      <c r="K917" s="25"/>
      <c r="Y917" s="30"/>
      <c r="Z917" s="30"/>
    </row>
    <row r="918">
      <c r="A918" s="30"/>
      <c r="B918" s="30"/>
      <c r="C918" s="30"/>
      <c r="D918" s="30"/>
      <c r="E918" s="30"/>
      <c r="F918" s="30"/>
      <c r="G918" s="30"/>
      <c r="J918" s="25"/>
      <c r="K918" s="25"/>
      <c r="Y918" s="30"/>
      <c r="Z918" s="30"/>
    </row>
    <row r="919">
      <c r="A919" s="30"/>
      <c r="B919" s="30"/>
      <c r="C919" s="30"/>
      <c r="D919" s="30"/>
      <c r="E919" s="30"/>
      <c r="F919" s="30"/>
      <c r="G919" s="30"/>
      <c r="J919" s="25"/>
      <c r="K919" s="25"/>
      <c r="Y919" s="30"/>
      <c r="Z919" s="30"/>
    </row>
    <row r="920">
      <c r="A920" s="30"/>
      <c r="B920" s="30"/>
      <c r="C920" s="30"/>
      <c r="D920" s="30"/>
      <c r="E920" s="30"/>
      <c r="F920" s="30"/>
      <c r="G920" s="30"/>
      <c r="J920" s="25"/>
      <c r="K920" s="25"/>
      <c r="Y920" s="30"/>
      <c r="Z920" s="30"/>
    </row>
    <row r="921">
      <c r="A921" s="30"/>
      <c r="B921" s="30"/>
      <c r="C921" s="30"/>
      <c r="D921" s="30"/>
      <c r="E921" s="30"/>
      <c r="F921" s="30"/>
      <c r="G921" s="30"/>
      <c r="J921" s="25"/>
      <c r="K921" s="25"/>
      <c r="Y921" s="30"/>
      <c r="Z921" s="30"/>
    </row>
    <row r="922">
      <c r="A922" s="30"/>
      <c r="B922" s="30"/>
      <c r="C922" s="30"/>
      <c r="D922" s="30"/>
      <c r="E922" s="30"/>
      <c r="F922" s="30"/>
      <c r="G922" s="30"/>
      <c r="J922" s="25"/>
      <c r="K922" s="25"/>
      <c r="Y922" s="30"/>
      <c r="Z922" s="30"/>
    </row>
    <row r="923">
      <c r="A923" s="30"/>
      <c r="B923" s="30"/>
      <c r="C923" s="30"/>
      <c r="D923" s="30"/>
      <c r="E923" s="30"/>
      <c r="F923" s="30"/>
      <c r="G923" s="30"/>
      <c r="J923" s="25"/>
      <c r="K923" s="25"/>
      <c r="Y923" s="30"/>
      <c r="Z923" s="30"/>
    </row>
    <row r="924">
      <c r="A924" s="30"/>
      <c r="B924" s="30"/>
      <c r="C924" s="30"/>
      <c r="D924" s="30"/>
      <c r="E924" s="30"/>
      <c r="F924" s="30"/>
      <c r="G924" s="30"/>
      <c r="J924" s="25"/>
      <c r="K924" s="25"/>
      <c r="Y924" s="30"/>
      <c r="Z924" s="30"/>
    </row>
    <row r="925">
      <c r="A925" s="30"/>
      <c r="B925" s="30"/>
      <c r="C925" s="30"/>
      <c r="D925" s="30"/>
      <c r="E925" s="30"/>
      <c r="F925" s="30"/>
      <c r="G925" s="30"/>
      <c r="J925" s="25"/>
      <c r="K925" s="25"/>
      <c r="Y925" s="30"/>
      <c r="Z925" s="30"/>
    </row>
    <row r="926">
      <c r="A926" s="30"/>
      <c r="B926" s="30"/>
      <c r="C926" s="30"/>
      <c r="D926" s="30"/>
      <c r="E926" s="30"/>
      <c r="F926" s="30"/>
      <c r="G926" s="30"/>
      <c r="J926" s="25"/>
      <c r="K926" s="25"/>
      <c r="Y926" s="30"/>
      <c r="Z926" s="30"/>
    </row>
    <row r="927">
      <c r="A927" s="30"/>
      <c r="B927" s="30"/>
      <c r="C927" s="30"/>
      <c r="D927" s="30"/>
      <c r="E927" s="30"/>
      <c r="F927" s="30"/>
      <c r="G927" s="30"/>
      <c r="J927" s="25"/>
      <c r="K927" s="25"/>
      <c r="Y927" s="30"/>
      <c r="Z927" s="30"/>
    </row>
    <row r="928">
      <c r="A928" s="30"/>
      <c r="B928" s="30"/>
      <c r="C928" s="30"/>
      <c r="D928" s="30"/>
      <c r="E928" s="30"/>
      <c r="F928" s="30"/>
      <c r="G928" s="30"/>
      <c r="J928" s="25"/>
      <c r="K928" s="25"/>
      <c r="Y928" s="30"/>
      <c r="Z928" s="30"/>
    </row>
    <row r="929">
      <c r="A929" s="30"/>
      <c r="B929" s="30"/>
      <c r="C929" s="30"/>
      <c r="D929" s="30"/>
      <c r="E929" s="30"/>
      <c r="F929" s="30"/>
      <c r="G929" s="30"/>
      <c r="J929" s="25"/>
      <c r="K929" s="25"/>
      <c r="Y929" s="30"/>
      <c r="Z929" s="30"/>
    </row>
    <row r="930">
      <c r="A930" s="30"/>
      <c r="B930" s="30"/>
      <c r="C930" s="30"/>
      <c r="D930" s="30"/>
      <c r="E930" s="30"/>
      <c r="F930" s="30"/>
      <c r="G930" s="30"/>
      <c r="J930" s="25"/>
      <c r="K930" s="25"/>
      <c r="Y930" s="30"/>
      <c r="Z930" s="30"/>
    </row>
    <row r="931">
      <c r="A931" s="30"/>
      <c r="B931" s="30"/>
      <c r="C931" s="30"/>
      <c r="D931" s="30"/>
      <c r="E931" s="30"/>
      <c r="F931" s="30"/>
      <c r="G931" s="30"/>
      <c r="J931" s="25"/>
      <c r="K931" s="25"/>
      <c r="Y931" s="30"/>
      <c r="Z931" s="30"/>
    </row>
    <row r="932">
      <c r="A932" s="30"/>
      <c r="B932" s="30"/>
      <c r="C932" s="30"/>
      <c r="D932" s="30"/>
      <c r="E932" s="30"/>
      <c r="F932" s="30"/>
      <c r="G932" s="30"/>
      <c r="J932" s="25"/>
      <c r="K932" s="25"/>
      <c r="Y932" s="30"/>
      <c r="Z932" s="30"/>
    </row>
    <row r="933">
      <c r="A933" s="30"/>
      <c r="B933" s="30"/>
      <c r="C933" s="30"/>
      <c r="D933" s="30"/>
      <c r="E933" s="30"/>
      <c r="F933" s="30"/>
      <c r="G933" s="30"/>
      <c r="J933" s="25"/>
      <c r="K933" s="25"/>
      <c r="Y933" s="30"/>
      <c r="Z933" s="30"/>
    </row>
    <row r="934">
      <c r="A934" s="30"/>
      <c r="B934" s="30"/>
      <c r="C934" s="30"/>
      <c r="D934" s="30"/>
      <c r="E934" s="30"/>
      <c r="F934" s="30"/>
      <c r="G934" s="30"/>
      <c r="J934" s="25"/>
      <c r="K934" s="25"/>
      <c r="Y934" s="30"/>
      <c r="Z934" s="30"/>
    </row>
    <row r="935">
      <c r="A935" s="30"/>
      <c r="B935" s="30"/>
      <c r="C935" s="30"/>
      <c r="D935" s="30"/>
      <c r="E935" s="30"/>
      <c r="F935" s="30"/>
      <c r="G935" s="30"/>
      <c r="J935" s="25"/>
      <c r="K935" s="25"/>
      <c r="Y935" s="30"/>
      <c r="Z935" s="30"/>
    </row>
    <row r="936">
      <c r="A936" s="30"/>
      <c r="B936" s="30"/>
      <c r="C936" s="30"/>
      <c r="D936" s="30"/>
      <c r="E936" s="30"/>
      <c r="F936" s="30"/>
      <c r="G936" s="30"/>
      <c r="J936" s="25"/>
      <c r="K936" s="25"/>
      <c r="Y936" s="30"/>
      <c r="Z936" s="30"/>
    </row>
    <row r="937">
      <c r="A937" s="30"/>
      <c r="B937" s="30"/>
      <c r="C937" s="30"/>
      <c r="D937" s="30"/>
      <c r="E937" s="30"/>
      <c r="F937" s="30"/>
      <c r="G937" s="30"/>
      <c r="J937" s="25"/>
      <c r="K937" s="25"/>
      <c r="Y937" s="30"/>
      <c r="Z937" s="30"/>
    </row>
    <row r="938">
      <c r="A938" s="30"/>
      <c r="B938" s="30"/>
      <c r="C938" s="30"/>
      <c r="D938" s="30"/>
      <c r="E938" s="30"/>
      <c r="F938" s="30"/>
      <c r="G938" s="30"/>
      <c r="J938" s="25"/>
      <c r="K938" s="25"/>
      <c r="Y938" s="30"/>
      <c r="Z938" s="30"/>
    </row>
    <row r="939">
      <c r="A939" s="30"/>
      <c r="B939" s="30"/>
      <c r="C939" s="30"/>
      <c r="D939" s="30"/>
      <c r="E939" s="30"/>
      <c r="F939" s="30"/>
      <c r="G939" s="30"/>
      <c r="J939" s="25"/>
      <c r="K939" s="25"/>
      <c r="Y939" s="30"/>
      <c r="Z939" s="30"/>
    </row>
    <row r="940">
      <c r="A940" s="30"/>
      <c r="B940" s="30"/>
      <c r="C940" s="30"/>
      <c r="D940" s="30"/>
      <c r="E940" s="30"/>
      <c r="F940" s="30"/>
      <c r="G940" s="30"/>
      <c r="J940" s="25"/>
      <c r="K940" s="25"/>
      <c r="Y940" s="30"/>
      <c r="Z940" s="30"/>
    </row>
    <row r="941">
      <c r="A941" s="30"/>
      <c r="B941" s="30"/>
      <c r="C941" s="30"/>
      <c r="D941" s="30"/>
      <c r="E941" s="30"/>
      <c r="F941" s="30"/>
      <c r="G941" s="30"/>
      <c r="J941" s="25"/>
      <c r="K941" s="25"/>
      <c r="Y941" s="30"/>
      <c r="Z941" s="30"/>
    </row>
    <row r="942">
      <c r="A942" s="30"/>
      <c r="B942" s="30"/>
      <c r="C942" s="30"/>
      <c r="D942" s="30"/>
      <c r="E942" s="30"/>
      <c r="F942" s="30"/>
      <c r="G942" s="30"/>
      <c r="J942" s="25"/>
      <c r="K942" s="25"/>
      <c r="Y942" s="30"/>
      <c r="Z942" s="30"/>
    </row>
    <row r="943">
      <c r="A943" s="30"/>
      <c r="B943" s="30"/>
      <c r="C943" s="30"/>
      <c r="D943" s="30"/>
      <c r="E943" s="30"/>
      <c r="F943" s="30"/>
      <c r="G943" s="30"/>
      <c r="J943" s="25"/>
      <c r="K943" s="25"/>
      <c r="Y943" s="30"/>
      <c r="Z943" s="30"/>
    </row>
    <row r="944">
      <c r="A944" s="30"/>
      <c r="B944" s="30"/>
      <c r="C944" s="30"/>
      <c r="D944" s="30"/>
      <c r="E944" s="30"/>
      <c r="F944" s="30"/>
      <c r="G944" s="30"/>
      <c r="J944" s="25"/>
      <c r="K944" s="25"/>
      <c r="Y944" s="30"/>
      <c r="Z944" s="30"/>
    </row>
    <row r="945">
      <c r="A945" s="30"/>
      <c r="B945" s="30"/>
      <c r="C945" s="30"/>
      <c r="D945" s="30"/>
      <c r="E945" s="30"/>
      <c r="F945" s="30"/>
      <c r="G945" s="30"/>
      <c r="J945" s="25"/>
      <c r="K945" s="25"/>
      <c r="Y945" s="30"/>
      <c r="Z945" s="30"/>
    </row>
    <row r="946">
      <c r="A946" s="30"/>
      <c r="B946" s="30"/>
      <c r="C946" s="30"/>
      <c r="D946" s="30"/>
      <c r="E946" s="30"/>
      <c r="F946" s="30"/>
      <c r="G946" s="30"/>
      <c r="J946" s="25"/>
      <c r="K946" s="25"/>
      <c r="Y946" s="30"/>
      <c r="Z946" s="30"/>
    </row>
    <row r="947">
      <c r="A947" s="30"/>
      <c r="B947" s="30"/>
      <c r="C947" s="30"/>
      <c r="D947" s="30"/>
      <c r="E947" s="30"/>
      <c r="F947" s="30"/>
      <c r="G947" s="30"/>
      <c r="J947" s="25"/>
      <c r="K947" s="25"/>
      <c r="Y947" s="30"/>
      <c r="Z947" s="30"/>
    </row>
    <row r="948">
      <c r="A948" s="30"/>
      <c r="B948" s="30"/>
      <c r="C948" s="30"/>
      <c r="D948" s="30"/>
      <c r="E948" s="30"/>
      <c r="F948" s="30"/>
      <c r="G948" s="30"/>
      <c r="J948" s="25"/>
      <c r="K948" s="25"/>
      <c r="Y948" s="30"/>
      <c r="Z948" s="30"/>
    </row>
    <row r="949">
      <c r="A949" s="30"/>
      <c r="B949" s="30"/>
      <c r="C949" s="30"/>
      <c r="D949" s="30"/>
      <c r="E949" s="30"/>
      <c r="F949" s="30"/>
      <c r="G949" s="30"/>
      <c r="J949" s="25"/>
      <c r="K949" s="25"/>
      <c r="Y949" s="30"/>
      <c r="Z949" s="30"/>
    </row>
    <row r="950">
      <c r="A950" s="30"/>
      <c r="B950" s="30"/>
      <c r="C950" s="30"/>
      <c r="D950" s="30"/>
      <c r="E950" s="30"/>
      <c r="F950" s="30"/>
      <c r="G950" s="30"/>
      <c r="J950" s="25"/>
      <c r="K950" s="25"/>
      <c r="Y950" s="30"/>
      <c r="Z950" s="30"/>
    </row>
    <row r="951">
      <c r="A951" s="30"/>
      <c r="B951" s="30"/>
      <c r="C951" s="30"/>
      <c r="D951" s="30"/>
      <c r="E951" s="30"/>
      <c r="F951" s="30"/>
      <c r="G951" s="30"/>
      <c r="J951" s="25"/>
      <c r="K951" s="25"/>
      <c r="Y951" s="30"/>
      <c r="Z951" s="30"/>
    </row>
    <row r="952">
      <c r="A952" s="30"/>
      <c r="B952" s="30"/>
      <c r="C952" s="30"/>
      <c r="D952" s="30"/>
      <c r="E952" s="30"/>
      <c r="F952" s="30"/>
      <c r="G952" s="30"/>
      <c r="J952" s="25"/>
      <c r="K952" s="25"/>
      <c r="Y952" s="30"/>
      <c r="Z952" s="30"/>
    </row>
    <row r="953">
      <c r="A953" s="30"/>
      <c r="B953" s="30"/>
      <c r="C953" s="30"/>
      <c r="D953" s="30"/>
      <c r="E953" s="30"/>
      <c r="F953" s="30"/>
      <c r="G953" s="30"/>
      <c r="J953" s="25"/>
      <c r="K953" s="25"/>
      <c r="Y953" s="30"/>
      <c r="Z953" s="30"/>
    </row>
    <row r="954">
      <c r="A954" s="30"/>
      <c r="B954" s="30"/>
      <c r="C954" s="30"/>
      <c r="D954" s="30"/>
      <c r="E954" s="30"/>
      <c r="F954" s="30"/>
      <c r="G954" s="30"/>
      <c r="J954" s="25"/>
      <c r="K954" s="25"/>
      <c r="Y954" s="30"/>
      <c r="Z954" s="30"/>
    </row>
    <row r="955">
      <c r="A955" s="30"/>
      <c r="B955" s="30"/>
      <c r="C955" s="30"/>
      <c r="D955" s="30"/>
      <c r="E955" s="30"/>
      <c r="F955" s="30"/>
      <c r="G955" s="30"/>
      <c r="J955" s="25"/>
      <c r="K955" s="25"/>
      <c r="Y955" s="30"/>
      <c r="Z955" s="30"/>
    </row>
    <row r="956">
      <c r="A956" s="30"/>
      <c r="B956" s="30"/>
      <c r="C956" s="30"/>
      <c r="D956" s="30"/>
      <c r="E956" s="30"/>
      <c r="F956" s="30"/>
      <c r="G956" s="30"/>
      <c r="J956" s="25"/>
      <c r="K956" s="25"/>
      <c r="Y956" s="30"/>
      <c r="Z956" s="30"/>
    </row>
    <row r="957">
      <c r="A957" s="30"/>
      <c r="B957" s="30"/>
      <c r="C957" s="30"/>
      <c r="D957" s="30"/>
      <c r="E957" s="30"/>
      <c r="F957" s="30"/>
      <c r="G957" s="30"/>
      <c r="J957" s="25"/>
      <c r="K957" s="25"/>
      <c r="Y957" s="30"/>
      <c r="Z957" s="30"/>
    </row>
    <row r="958">
      <c r="A958" s="30"/>
      <c r="B958" s="30"/>
      <c r="C958" s="30"/>
      <c r="D958" s="30"/>
      <c r="E958" s="30"/>
      <c r="F958" s="30"/>
      <c r="G958" s="30"/>
      <c r="J958" s="25"/>
      <c r="K958" s="25"/>
      <c r="Y958" s="30"/>
      <c r="Z958" s="30"/>
    </row>
    <row r="959">
      <c r="A959" s="30"/>
      <c r="B959" s="30"/>
      <c r="C959" s="30"/>
      <c r="D959" s="30"/>
      <c r="E959" s="30"/>
      <c r="F959" s="30"/>
      <c r="G959" s="30"/>
      <c r="J959" s="25"/>
      <c r="K959" s="25"/>
      <c r="Y959" s="30"/>
      <c r="Z959" s="30"/>
    </row>
    <row r="960">
      <c r="A960" s="30"/>
      <c r="B960" s="30"/>
      <c r="C960" s="30"/>
      <c r="D960" s="30"/>
      <c r="E960" s="30"/>
      <c r="F960" s="30"/>
      <c r="G960" s="30"/>
      <c r="J960" s="25"/>
      <c r="K960" s="25"/>
      <c r="Y960" s="30"/>
      <c r="Z960" s="30"/>
    </row>
    <row r="961">
      <c r="A961" s="30"/>
      <c r="B961" s="30"/>
      <c r="C961" s="30"/>
      <c r="D961" s="30"/>
      <c r="E961" s="30"/>
      <c r="F961" s="30"/>
      <c r="G961" s="30"/>
      <c r="J961" s="25"/>
      <c r="K961" s="25"/>
      <c r="Y961" s="30"/>
      <c r="Z961" s="30"/>
    </row>
    <row r="962">
      <c r="A962" s="30"/>
      <c r="B962" s="30"/>
      <c r="C962" s="30"/>
      <c r="D962" s="30"/>
      <c r="E962" s="30"/>
      <c r="F962" s="30"/>
      <c r="G962" s="30"/>
      <c r="J962" s="25"/>
      <c r="K962" s="25"/>
      <c r="Y962" s="30"/>
      <c r="Z962" s="30"/>
    </row>
    <row r="963">
      <c r="A963" s="30"/>
      <c r="B963" s="30"/>
      <c r="C963" s="30"/>
      <c r="D963" s="30"/>
      <c r="E963" s="30"/>
      <c r="F963" s="30"/>
      <c r="G963" s="30"/>
      <c r="J963" s="25"/>
      <c r="K963" s="25"/>
      <c r="Y963" s="30"/>
      <c r="Z963" s="30"/>
    </row>
    <row r="964">
      <c r="A964" s="30"/>
      <c r="B964" s="30"/>
      <c r="C964" s="30"/>
      <c r="D964" s="30"/>
      <c r="E964" s="30"/>
      <c r="F964" s="30"/>
      <c r="G964" s="30"/>
      <c r="J964" s="25"/>
      <c r="K964" s="25"/>
      <c r="Y964" s="30"/>
      <c r="Z964" s="30"/>
    </row>
    <row r="965">
      <c r="A965" s="30"/>
      <c r="B965" s="30"/>
      <c r="C965" s="30"/>
      <c r="D965" s="30"/>
      <c r="E965" s="30"/>
      <c r="F965" s="30"/>
      <c r="G965" s="30"/>
      <c r="J965" s="25"/>
      <c r="K965" s="25"/>
      <c r="Y965" s="30"/>
      <c r="Z965" s="30"/>
    </row>
    <row r="966">
      <c r="A966" s="30"/>
      <c r="B966" s="30"/>
      <c r="C966" s="30"/>
      <c r="D966" s="30"/>
      <c r="E966" s="30"/>
      <c r="F966" s="30"/>
      <c r="G966" s="30"/>
      <c r="J966" s="25"/>
      <c r="K966" s="25"/>
      <c r="Y966" s="30"/>
      <c r="Z966" s="30"/>
    </row>
    <row r="967">
      <c r="A967" s="30"/>
      <c r="B967" s="30"/>
      <c r="C967" s="30"/>
      <c r="D967" s="30"/>
      <c r="E967" s="30"/>
      <c r="F967" s="30"/>
      <c r="G967" s="30"/>
      <c r="J967" s="25"/>
      <c r="K967" s="25"/>
      <c r="Y967" s="30"/>
      <c r="Z967" s="30"/>
    </row>
    <row r="968">
      <c r="A968" s="30"/>
      <c r="B968" s="30"/>
      <c r="C968" s="30"/>
      <c r="D968" s="30"/>
      <c r="E968" s="30"/>
      <c r="F968" s="30"/>
      <c r="G968" s="30"/>
      <c r="J968" s="25"/>
      <c r="K968" s="25"/>
      <c r="Y968" s="30"/>
      <c r="Z968" s="30"/>
    </row>
    <row r="969">
      <c r="A969" s="30"/>
      <c r="B969" s="30"/>
      <c r="C969" s="30"/>
      <c r="D969" s="30"/>
      <c r="E969" s="30"/>
      <c r="F969" s="30"/>
      <c r="G969" s="30"/>
      <c r="J969" s="25"/>
      <c r="K969" s="25"/>
      <c r="Y969" s="30"/>
      <c r="Z969" s="30"/>
    </row>
    <row r="970">
      <c r="A970" s="30"/>
      <c r="B970" s="30"/>
      <c r="C970" s="30"/>
      <c r="D970" s="30"/>
      <c r="E970" s="30"/>
      <c r="F970" s="30"/>
      <c r="G970" s="30"/>
      <c r="J970" s="25"/>
      <c r="K970" s="25"/>
      <c r="Y970" s="30"/>
      <c r="Z970" s="30"/>
    </row>
    <row r="971">
      <c r="A971" s="30"/>
      <c r="B971" s="30"/>
      <c r="C971" s="30"/>
      <c r="D971" s="30"/>
      <c r="E971" s="30"/>
      <c r="F971" s="30"/>
      <c r="G971" s="30"/>
      <c r="J971" s="25"/>
      <c r="K971" s="25"/>
      <c r="Y971" s="30"/>
      <c r="Z971" s="30"/>
    </row>
    <row r="972">
      <c r="A972" s="30"/>
      <c r="B972" s="30"/>
      <c r="C972" s="30"/>
      <c r="D972" s="30"/>
      <c r="E972" s="30"/>
      <c r="F972" s="30"/>
      <c r="G972" s="30"/>
      <c r="J972" s="25"/>
      <c r="K972" s="25"/>
      <c r="Y972" s="30"/>
      <c r="Z972" s="30"/>
    </row>
    <row r="973">
      <c r="A973" s="30"/>
      <c r="B973" s="30"/>
      <c r="C973" s="30"/>
      <c r="D973" s="30"/>
      <c r="E973" s="30"/>
      <c r="F973" s="30"/>
      <c r="G973" s="30"/>
      <c r="J973" s="25"/>
      <c r="K973" s="25"/>
      <c r="Y973" s="30"/>
      <c r="Z973" s="30"/>
    </row>
    <row r="974">
      <c r="A974" s="30"/>
      <c r="B974" s="30"/>
      <c r="C974" s="30"/>
      <c r="D974" s="30"/>
      <c r="E974" s="30"/>
      <c r="F974" s="30"/>
      <c r="G974" s="30"/>
      <c r="J974" s="25"/>
      <c r="K974" s="25"/>
      <c r="Y974" s="30"/>
      <c r="Z974" s="30"/>
    </row>
    <row r="975">
      <c r="A975" s="30"/>
      <c r="B975" s="30"/>
      <c r="C975" s="30"/>
      <c r="D975" s="30"/>
      <c r="E975" s="30"/>
      <c r="F975" s="30"/>
      <c r="G975" s="30"/>
      <c r="J975" s="25"/>
      <c r="K975" s="25"/>
      <c r="Y975" s="30"/>
      <c r="Z975" s="30"/>
    </row>
    <row r="976">
      <c r="A976" s="30"/>
      <c r="B976" s="30"/>
      <c r="C976" s="30"/>
      <c r="D976" s="30"/>
      <c r="E976" s="30"/>
      <c r="F976" s="30"/>
      <c r="G976" s="30"/>
      <c r="J976" s="25"/>
      <c r="K976" s="25"/>
      <c r="Y976" s="30"/>
      <c r="Z976" s="30"/>
    </row>
    <row r="977">
      <c r="A977" s="30"/>
      <c r="B977" s="30"/>
      <c r="C977" s="30"/>
      <c r="D977" s="30"/>
      <c r="E977" s="30"/>
      <c r="F977" s="30"/>
      <c r="G977" s="30"/>
      <c r="J977" s="25"/>
      <c r="K977" s="25"/>
      <c r="Y977" s="30"/>
      <c r="Z977" s="30"/>
    </row>
    <row r="978">
      <c r="A978" s="30"/>
      <c r="B978" s="30"/>
      <c r="C978" s="30"/>
      <c r="D978" s="30"/>
      <c r="E978" s="30"/>
      <c r="F978" s="30"/>
      <c r="G978" s="30"/>
      <c r="J978" s="25"/>
      <c r="K978" s="25"/>
      <c r="Y978" s="30"/>
      <c r="Z978" s="30"/>
    </row>
    <row r="979">
      <c r="A979" s="30"/>
      <c r="B979" s="30"/>
      <c r="C979" s="30"/>
      <c r="D979" s="30"/>
      <c r="E979" s="30"/>
      <c r="F979" s="30"/>
      <c r="G979" s="30"/>
      <c r="J979" s="25"/>
      <c r="K979" s="25"/>
      <c r="Y979" s="30"/>
      <c r="Z979" s="30"/>
    </row>
    <row r="980">
      <c r="A980" s="30"/>
      <c r="B980" s="30"/>
      <c r="C980" s="30"/>
      <c r="D980" s="30"/>
      <c r="E980" s="30"/>
      <c r="F980" s="30"/>
      <c r="G980" s="30"/>
      <c r="J980" s="25"/>
      <c r="K980" s="25"/>
      <c r="Y980" s="30"/>
      <c r="Z980" s="30"/>
    </row>
    <row r="981">
      <c r="A981" s="30"/>
      <c r="B981" s="30"/>
      <c r="C981" s="30"/>
      <c r="D981" s="30"/>
      <c r="E981" s="30"/>
      <c r="F981" s="30"/>
      <c r="G981" s="30"/>
      <c r="J981" s="25"/>
      <c r="K981" s="25"/>
      <c r="Y981" s="30"/>
      <c r="Z981" s="30"/>
    </row>
    <row r="982">
      <c r="A982" s="30"/>
      <c r="B982" s="30"/>
      <c r="C982" s="30"/>
      <c r="D982" s="30"/>
      <c r="E982" s="30"/>
      <c r="F982" s="30"/>
      <c r="G982" s="30"/>
      <c r="J982" s="25"/>
      <c r="K982" s="25"/>
      <c r="Y982" s="30"/>
      <c r="Z982" s="30"/>
    </row>
    <row r="983">
      <c r="A983" s="30"/>
      <c r="B983" s="30"/>
      <c r="C983" s="30"/>
      <c r="D983" s="30"/>
      <c r="E983" s="30"/>
      <c r="F983" s="30"/>
      <c r="G983" s="30"/>
      <c r="J983" s="25"/>
      <c r="K983" s="25"/>
      <c r="Y983" s="30"/>
      <c r="Z983" s="30"/>
    </row>
    <row r="984">
      <c r="A984" s="30"/>
      <c r="B984" s="30"/>
      <c r="C984" s="30"/>
      <c r="D984" s="30"/>
      <c r="E984" s="30"/>
      <c r="F984" s="30"/>
      <c r="G984" s="30"/>
      <c r="J984" s="25"/>
      <c r="K984" s="25"/>
      <c r="Y984" s="30"/>
      <c r="Z984" s="30"/>
    </row>
    <row r="985">
      <c r="A985" s="30"/>
      <c r="B985" s="30"/>
      <c r="C985" s="30"/>
      <c r="D985" s="30"/>
      <c r="E985" s="30"/>
      <c r="F985" s="30"/>
      <c r="G985" s="30"/>
      <c r="J985" s="25"/>
      <c r="K985" s="25"/>
      <c r="Y985" s="30"/>
      <c r="Z985" s="30"/>
    </row>
    <row r="986">
      <c r="A986" s="30"/>
      <c r="B986" s="30"/>
      <c r="C986" s="30"/>
      <c r="D986" s="30"/>
      <c r="E986" s="30"/>
      <c r="F986" s="30"/>
      <c r="G986" s="30"/>
      <c r="J986" s="25"/>
      <c r="K986" s="25"/>
      <c r="Y986" s="30"/>
      <c r="Z986" s="30"/>
    </row>
    <row r="987">
      <c r="A987" s="30"/>
      <c r="B987" s="30"/>
      <c r="C987" s="30"/>
      <c r="D987" s="30"/>
      <c r="E987" s="30"/>
      <c r="F987" s="30"/>
      <c r="G987" s="30"/>
      <c r="J987" s="25"/>
      <c r="K987" s="25"/>
      <c r="Y987" s="30"/>
      <c r="Z987" s="30"/>
    </row>
    <row r="988">
      <c r="A988" s="30"/>
      <c r="B988" s="30"/>
      <c r="C988" s="30"/>
      <c r="D988" s="30"/>
      <c r="E988" s="30"/>
      <c r="F988" s="30"/>
      <c r="G988" s="30"/>
      <c r="J988" s="25"/>
      <c r="K988" s="25"/>
      <c r="Y988" s="30"/>
      <c r="Z988" s="30"/>
    </row>
    <row r="989">
      <c r="A989" s="30"/>
      <c r="B989" s="30"/>
      <c r="C989" s="30"/>
      <c r="D989" s="30"/>
      <c r="E989" s="30"/>
      <c r="F989" s="30"/>
      <c r="G989" s="30"/>
      <c r="J989" s="25"/>
      <c r="K989" s="25"/>
      <c r="Y989" s="30"/>
      <c r="Z989" s="30"/>
    </row>
    <row r="990">
      <c r="A990" s="30"/>
      <c r="B990" s="30"/>
      <c r="C990" s="30"/>
      <c r="D990" s="30"/>
      <c r="E990" s="30"/>
      <c r="F990" s="30"/>
      <c r="G990" s="30"/>
      <c r="J990" s="25"/>
      <c r="K990" s="25"/>
      <c r="Y990" s="30"/>
      <c r="Z990" s="30"/>
    </row>
    <row r="991">
      <c r="A991" s="30"/>
      <c r="B991" s="30"/>
      <c r="C991" s="30"/>
      <c r="D991" s="30"/>
      <c r="E991" s="30"/>
      <c r="F991" s="30"/>
      <c r="G991" s="30"/>
      <c r="J991" s="25"/>
      <c r="K991" s="25"/>
      <c r="Y991" s="30"/>
      <c r="Z991" s="30"/>
    </row>
    <row r="992">
      <c r="A992" s="30"/>
      <c r="B992" s="30"/>
      <c r="C992" s="30"/>
      <c r="D992" s="30"/>
      <c r="E992" s="30"/>
      <c r="F992" s="30"/>
      <c r="G992" s="30"/>
      <c r="J992" s="25"/>
      <c r="K992" s="25"/>
      <c r="Y992" s="30"/>
      <c r="Z992" s="30"/>
    </row>
    <row r="993">
      <c r="A993" s="30"/>
      <c r="B993" s="30"/>
      <c r="C993" s="30"/>
      <c r="D993" s="30"/>
      <c r="E993" s="30"/>
      <c r="F993" s="30"/>
      <c r="G993" s="30"/>
      <c r="J993" s="25"/>
      <c r="K993" s="25"/>
      <c r="Y993" s="30"/>
      <c r="Z993" s="30"/>
    </row>
    <row r="994">
      <c r="A994" s="30"/>
      <c r="B994" s="30"/>
      <c r="C994" s="30"/>
      <c r="D994" s="30"/>
      <c r="E994" s="30"/>
      <c r="F994" s="30"/>
      <c r="G994" s="30"/>
      <c r="J994" s="25"/>
      <c r="K994" s="25"/>
      <c r="Y994" s="30"/>
      <c r="Z994" s="30"/>
    </row>
    <row r="995">
      <c r="A995" s="30"/>
      <c r="B995" s="30"/>
      <c r="C995" s="30"/>
      <c r="D995" s="30"/>
      <c r="E995" s="30"/>
      <c r="F995" s="30"/>
      <c r="G995" s="30"/>
      <c r="J995" s="25"/>
      <c r="K995" s="25"/>
      <c r="Y995" s="30"/>
      <c r="Z995" s="30"/>
    </row>
    <row r="996">
      <c r="A996" s="30"/>
      <c r="B996" s="30"/>
      <c r="C996" s="30"/>
      <c r="D996" s="30"/>
      <c r="E996" s="30"/>
      <c r="F996" s="30"/>
      <c r="G996" s="30"/>
      <c r="J996" s="25"/>
      <c r="K996" s="25"/>
      <c r="Y996" s="30"/>
      <c r="Z996" s="30"/>
    </row>
    <row r="997">
      <c r="A997" s="30"/>
      <c r="B997" s="30"/>
      <c r="C997" s="30"/>
      <c r="D997" s="30"/>
      <c r="E997" s="30"/>
      <c r="F997" s="30"/>
      <c r="G997" s="30"/>
      <c r="J997" s="25"/>
      <c r="K997" s="25"/>
      <c r="Y997" s="30"/>
      <c r="Z997" s="30"/>
    </row>
    <row r="998">
      <c r="A998" s="30"/>
      <c r="B998" s="30"/>
      <c r="C998" s="30"/>
      <c r="D998" s="30"/>
      <c r="E998" s="30"/>
      <c r="F998" s="30"/>
      <c r="G998" s="30"/>
      <c r="J998" s="25"/>
      <c r="K998" s="25"/>
      <c r="Y998" s="30"/>
      <c r="Z998" s="30"/>
    </row>
    <row r="999">
      <c r="A999" s="30"/>
      <c r="B999" s="30"/>
      <c r="C999" s="30"/>
      <c r="D999" s="30"/>
      <c r="E999" s="30"/>
      <c r="F999" s="30"/>
      <c r="G999" s="30"/>
      <c r="J999" s="25"/>
      <c r="K999" s="25"/>
      <c r="Y999" s="30"/>
      <c r="Z999" s="30"/>
    </row>
    <row r="1000">
      <c r="A1000" s="30"/>
      <c r="B1000" s="30"/>
      <c r="C1000" s="30"/>
      <c r="D1000" s="30"/>
      <c r="E1000" s="30"/>
      <c r="F1000" s="30"/>
      <c r="G1000" s="30"/>
      <c r="J1000" s="25"/>
      <c r="K1000" s="25"/>
      <c r="Y1000" s="30"/>
      <c r="Z1000" s="30"/>
    </row>
    <row r="1001">
      <c r="A1001" s="30"/>
      <c r="B1001" s="30"/>
      <c r="C1001" s="30"/>
      <c r="D1001" s="30"/>
      <c r="E1001" s="30"/>
      <c r="F1001" s="30"/>
      <c r="G1001" s="30"/>
      <c r="J1001" s="25"/>
      <c r="K1001" s="25"/>
      <c r="Y1001" s="30"/>
      <c r="Z1001" s="30"/>
    </row>
  </sheetData>
  <mergeCells count="3">
    <mergeCell ref="A1:B1"/>
    <mergeCell ref="L1:P1"/>
    <mergeCell ref="Q1:R1"/>
  </mergeCells>
  <dataValidations>
    <dataValidation type="list" allowBlank="1" showErrorMessage="1" sqref="T3:T502">
      <formula1>"Yes,No"</formula1>
    </dataValidation>
    <dataValidation type="list" allowBlank="1" showErrorMessage="1" sqref="B3:B502">
      <formula1>"01,02,03,04,05,06"</formula1>
    </dataValidation>
    <dataValidation type="list" allowBlank="1" showErrorMessage="1" sqref="J3:J502 J503:K1001">
      <formula1>"Operational,Construction,Blocked,Archived"</formula1>
    </dataValidation>
    <dataValidation type="list" allowBlank="1" showErrorMessage="1" sqref="A3:A502">
      <formula1>"NBI,UGS,MSA"</formula1>
    </dataValidation>
    <dataValidation type="list" allowBlank="1" showErrorMessage="1" sqref="C3:C305">
      <formula1>'List of Chargers'!$A$2:$A$5</formula1>
    </dataValidation>
  </dataValidations>
  <hyperlinks>
    <hyperlink r:id="rId1" ref="P8"/>
    <hyperlink r:id="rId2" ref="P9"/>
    <hyperlink r:id="rId3" ref="P10"/>
    <hyperlink r:id="rId4" ref="P11"/>
    <hyperlink r:id="rId5" ref="P12"/>
    <hyperlink r:id="rId6" ref="P13"/>
    <hyperlink r:id="rId7" ref="P14"/>
    <hyperlink r:id="rId8" ref="P15"/>
    <hyperlink r:id="rId9" ref="P16"/>
    <hyperlink r:id="rId10" ref="P17"/>
    <hyperlink r:id="rId11" ref="P18"/>
    <hyperlink r:id="rId12" ref="P19"/>
    <hyperlink r:id="rId13" ref="P20"/>
    <hyperlink r:id="rId14" ref="P21"/>
    <hyperlink r:id="rId15" ref="P22"/>
    <hyperlink r:id="rId16" ref="P23"/>
    <hyperlink r:id="rId17" ref="P24"/>
    <hyperlink r:id="rId18" ref="P25"/>
    <hyperlink r:id="rId19" ref="P26"/>
    <hyperlink r:id="rId20" ref="P27"/>
    <hyperlink r:id="rId21" ref="P28"/>
    <hyperlink r:id="rId22" ref="P29"/>
    <hyperlink r:id="rId23" ref="P30"/>
    <hyperlink r:id="rId24" ref="P31"/>
    <hyperlink r:id="rId25" ref="P32"/>
    <hyperlink r:id="rId26" ref="P33"/>
    <hyperlink r:id="rId27" ref="P35"/>
    <hyperlink r:id="rId28" ref="P36"/>
    <hyperlink r:id="rId29" ref="P37"/>
    <hyperlink r:id="rId30" ref="P38"/>
    <hyperlink r:id="rId31" ref="P40"/>
    <hyperlink r:id="rId32" ref="P42"/>
    <hyperlink r:id="rId33" ref="P43"/>
    <hyperlink r:id="rId34" ref="P44"/>
    <hyperlink r:id="rId35" ref="P45"/>
    <hyperlink r:id="rId36" ref="P46"/>
    <hyperlink r:id="rId37" ref="P47"/>
    <hyperlink r:id="rId38" ref="P48"/>
    <hyperlink r:id="rId39" ref="P49"/>
  </hyperlinks>
  <drawing r:id="rId4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63"/>
    <col customWidth="1" min="3" max="6" width="7.38"/>
    <col customWidth="1" min="7" max="7" width="16.75"/>
    <col customWidth="1" min="8" max="8" width="22.5"/>
    <col customWidth="1" min="9" max="9" width="16.63"/>
    <col customWidth="1" min="11" max="11" width="29.88"/>
    <col customWidth="1" min="12" max="12" width="28.25"/>
    <col customWidth="1" min="13" max="13" width="49.38"/>
    <col customWidth="1" min="14" max="14" width="17.38"/>
    <col customWidth="1" min="15" max="17" width="24.13"/>
    <col customWidth="1" min="18" max="18" width="19.25"/>
    <col customWidth="1" min="19" max="19" width="20.5"/>
    <col customWidth="1" min="20" max="20" width="13.88"/>
    <col customWidth="1" min="21" max="21" width="13.25"/>
    <col customWidth="1" min="22" max="22" width="12.75"/>
  </cols>
  <sheetData>
    <row r="1">
      <c r="A1" s="12"/>
      <c r="B1" s="12"/>
      <c r="C1" s="12"/>
      <c r="D1" s="12"/>
      <c r="E1" s="12"/>
      <c r="F1" s="12"/>
      <c r="G1" s="13"/>
      <c r="H1" s="14"/>
      <c r="I1" s="14">
        <f>countif(I3:I1001,"Operational")</f>
        <v>0</v>
      </c>
      <c r="J1" s="15" t="s">
        <v>41</v>
      </c>
      <c r="O1" s="84" t="s">
        <v>831</v>
      </c>
      <c r="R1" s="13"/>
      <c r="S1" s="13"/>
      <c r="T1" s="60" t="s">
        <v>271</v>
      </c>
      <c r="U1" s="12" t="s">
        <v>832</v>
      </c>
      <c r="V1" s="61" t="s">
        <v>296</v>
      </c>
    </row>
    <row r="2">
      <c r="A2" s="19" t="s">
        <v>47</v>
      </c>
      <c r="B2" s="19" t="s">
        <v>48</v>
      </c>
      <c r="C2" s="19" t="s">
        <v>49</v>
      </c>
      <c r="D2" s="19" t="s">
        <v>50</v>
      </c>
      <c r="E2" s="19" t="s">
        <v>51</v>
      </c>
      <c r="F2" s="19" t="s">
        <v>52</v>
      </c>
      <c r="G2" s="20" t="s">
        <v>53</v>
      </c>
      <c r="H2" s="20" t="s">
        <v>54</v>
      </c>
      <c r="I2" s="20" t="s">
        <v>55</v>
      </c>
      <c r="J2" s="20" t="s">
        <v>56</v>
      </c>
      <c r="K2" s="20" t="s">
        <v>57</v>
      </c>
      <c r="L2" s="20" t="s">
        <v>58</v>
      </c>
      <c r="M2" s="20" t="s">
        <v>59</v>
      </c>
      <c r="N2" s="20" t="s">
        <v>60</v>
      </c>
      <c r="O2" s="20" t="s">
        <v>61</v>
      </c>
      <c r="P2" s="20" t="s">
        <v>62</v>
      </c>
      <c r="Q2" s="20" t="s">
        <v>833</v>
      </c>
      <c r="R2" s="20" t="s">
        <v>63</v>
      </c>
      <c r="S2" s="20" t="s">
        <v>64</v>
      </c>
      <c r="T2" s="87" t="s">
        <v>834</v>
      </c>
      <c r="U2" s="19" t="s">
        <v>835</v>
      </c>
      <c r="V2" s="19" t="s">
        <v>378</v>
      </c>
      <c r="W2" s="22"/>
      <c r="X2" s="22"/>
      <c r="Y2" s="22"/>
      <c r="Z2" s="22"/>
      <c r="AA2" s="22"/>
      <c r="AB2" s="22"/>
      <c r="AC2" s="22"/>
      <c r="AD2" s="22"/>
      <c r="AE2" s="22"/>
    </row>
    <row r="3">
      <c r="A3" s="23" t="s">
        <v>836</v>
      </c>
      <c r="B3" s="12" t="str">
        <f>vlookup(A3,'List of Chargers'!$A$2:$B$6,2,FALSE)</f>
        <v>Roam Node</v>
      </c>
      <c r="C3" s="23" t="s">
        <v>73</v>
      </c>
      <c r="D3" s="23" t="s">
        <v>74</v>
      </c>
      <c r="E3" s="23" t="s">
        <v>75</v>
      </c>
      <c r="F3" s="24" t="s">
        <v>76</v>
      </c>
      <c r="G3" s="13" t="str">
        <f t="shared" ref="G3:G62" si="1">CONCATENATE("#",A3,"-",C3,"-",D3,"-",E3,"-",F3,)</f>
        <v>#RN-KE-NBI-A-01</v>
      </c>
      <c r="H3" s="13" t="s">
        <v>837</v>
      </c>
      <c r="I3" s="25" t="s">
        <v>92</v>
      </c>
      <c r="J3" s="25" t="s">
        <v>838</v>
      </c>
      <c r="K3" s="25" t="s">
        <v>839</v>
      </c>
      <c r="L3" s="26" t="str">
        <f t="shared" ref="L3:L35" si="2">B3&amp;" - "&amp;K3</f>
        <v>Roam Node - School Bus Depot</v>
      </c>
      <c r="M3" s="26" t="str">
        <f t="shared" ref="M3:M35" si="3">CONCATENATE(G3," - ",B3," - ",J3," - ",K3)</f>
        <v>#RN-KE-NBI-A-01 - Roam Node - ISK - School Bus Depot</v>
      </c>
      <c r="N3" s="27"/>
      <c r="R3" s="13" t="s">
        <v>80</v>
      </c>
      <c r="S3" s="13" t="s">
        <v>80</v>
      </c>
      <c r="T3" s="49"/>
      <c r="U3" s="12">
        <v>30.0</v>
      </c>
      <c r="V3" s="12"/>
    </row>
    <row r="4">
      <c r="A4" s="23" t="s">
        <v>836</v>
      </c>
      <c r="B4" s="12" t="str">
        <f>vlookup(A4,'List of Chargers'!$A$2:$B$6,2,FALSE)</f>
        <v>Roam Node</v>
      </c>
      <c r="C4" s="23" t="s">
        <v>73</v>
      </c>
      <c r="D4" s="23" t="s">
        <v>74</v>
      </c>
      <c r="E4" s="23" t="s">
        <v>75</v>
      </c>
      <c r="F4" s="23" t="s">
        <v>83</v>
      </c>
      <c r="G4" s="13" t="str">
        <f t="shared" si="1"/>
        <v>#RN-KE-NBI-A-02</v>
      </c>
      <c r="I4" s="25"/>
      <c r="J4" s="25"/>
      <c r="K4" s="25"/>
      <c r="L4" s="26" t="str">
        <f t="shared" si="2"/>
        <v>Roam Node - </v>
      </c>
      <c r="M4" s="26" t="str">
        <f t="shared" si="3"/>
        <v>#RN-KE-NBI-A-02 - Roam Node -  - </v>
      </c>
      <c r="N4" s="27"/>
      <c r="T4" s="49"/>
      <c r="U4" s="12"/>
      <c r="V4" s="12"/>
    </row>
    <row r="5">
      <c r="A5" s="23" t="s">
        <v>836</v>
      </c>
      <c r="B5" s="12" t="str">
        <f>vlookup(A5,'List of Chargers'!$A$2:$B$6,2,FALSE)</f>
        <v>Roam Node</v>
      </c>
      <c r="C5" s="23" t="s">
        <v>73</v>
      </c>
      <c r="D5" s="23" t="s">
        <v>74</v>
      </c>
      <c r="E5" s="23" t="s">
        <v>75</v>
      </c>
      <c r="F5" s="23" t="s">
        <v>85</v>
      </c>
      <c r="G5" s="13" t="str">
        <f t="shared" si="1"/>
        <v>#RN-KE-NBI-A-03</v>
      </c>
      <c r="I5" s="25"/>
      <c r="J5" s="25"/>
      <c r="K5" s="25"/>
      <c r="L5" s="26" t="str">
        <f t="shared" si="2"/>
        <v>Roam Node - </v>
      </c>
      <c r="M5" s="26" t="str">
        <f t="shared" si="3"/>
        <v>#RN-KE-NBI-A-03 - Roam Node -  - </v>
      </c>
      <c r="N5" s="29"/>
      <c r="T5" s="49"/>
      <c r="U5" s="12"/>
      <c r="V5" s="12"/>
    </row>
    <row r="6">
      <c r="A6" s="23" t="s">
        <v>836</v>
      </c>
      <c r="B6" s="12" t="str">
        <f>vlookup(A6,'List of Chargers'!$A$2:$B$6,2,FALSE)</f>
        <v>Roam Node</v>
      </c>
      <c r="C6" s="23" t="s">
        <v>73</v>
      </c>
      <c r="D6" s="23" t="s">
        <v>74</v>
      </c>
      <c r="E6" s="23" t="s">
        <v>75</v>
      </c>
      <c r="F6" s="23" t="s">
        <v>87</v>
      </c>
      <c r="G6" s="13" t="str">
        <f t="shared" si="1"/>
        <v>#RN-KE-NBI-A-04</v>
      </c>
      <c r="I6" s="25"/>
      <c r="J6" s="25"/>
      <c r="K6" s="25"/>
      <c r="L6" s="26" t="str">
        <f t="shared" si="2"/>
        <v>Roam Node - </v>
      </c>
      <c r="M6" s="26" t="str">
        <f t="shared" si="3"/>
        <v>#RN-KE-NBI-A-04 - Roam Node -  - </v>
      </c>
      <c r="N6" s="27"/>
      <c r="T6" s="49"/>
      <c r="U6" s="12"/>
      <c r="V6" s="12"/>
    </row>
    <row r="7">
      <c r="A7" s="23" t="s">
        <v>836</v>
      </c>
      <c r="B7" s="12" t="str">
        <f>vlookup(A7,'List of Chargers'!$A$2:$B$6,2,FALSE)</f>
        <v>Roam Node</v>
      </c>
      <c r="C7" s="23" t="s">
        <v>73</v>
      </c>
      <c r="D7" s="23" t="s">
        <v>74</v>
      </c>
      <c r="E7" s="23" t="s">
        <v>75</v>
      </c>
      <c r="F7" s="23" t="s">
        <v>91</v>
      </c>
      <c r="G7" s="13" t="str">
        <f t="shared" si="1"/>
        <v>#RN-KE-NBI-A-05</v>
      </c>
      <c r="I7" s="25"/>
      <c r="J7" s="25"/>
      <c r="K7" s="25"/>
      <c r="L7" s="26" t="str">
        <f t="shared" si="2"/>
        <v>Roam Node - </v>
      </c>
      <c r="M7" s="26" t="str">
        <f t="shared" si="3"/>
        <v>#RN-KE-NBI-A-05 - Roam Node -  - </v>
      </c>
      <c r="N7" s="27"/>
      <c r="T7" s="49"/>
      <c r="U7" s="12"/>
      <c r="V7" s="12"/>
    </row>
    <row r="8">
      <c r="A8" s="23" t="s">
        <v>836</v>
      </c>
      <c r="B8" s="12" t="str">
        <f>vlookup(A8,'List of Chargers'!$A$2:$B$6,2,FALSE)</f>
        <v>Roam Node</v>
      </c>
      <c r="C8" s="23" t="s">
        <v>73</v>
      </c>
      <c r="D8" s="23" t="s">
        <v>74</v>
      </c>
      <c r="E8" s="23" t="s">
        <v>75</v>
      </c>
      <c r="F8" s="23" t="s">
        <v>95</v>
      </c>
      <c r="G8" s="13" t="str">
        <f t="shared" si="1"/>
        <v>#RN-KE-NBI-A-06</v>
      </c>
      <c r="I8" s="25"/>
      <c r="J8" s="25"/>
      <c r="K8" s="25"/>
      <c r="L8" s="26" t="str">
        <f t="shared" si="2"/>
        <v>Roam Node - </v>
      </c>
      <c r="M8" s="26" t="str">
        <f t="shared" si="3"/>
        <v>#RN-KE-NBI-A-06 - Roam Node -  - </v>
      </c>
      <c r="N8" s="27"/>
      <c r="T8" s="50"/>
      <c r="U8" s="30"/>
      <c r="V8" s="30"/>
    </row>
    <row r="9">
      <c r="A9" s="23" t="s">
        <v>836</v>
      </c>
      <c r="B9" s="12" t="str">
        <f>vlookup(A9,'List of Chargers'!$A$2:$B$6,2,FALSE)</f>
        <v>Roam Node</v>
      </c>
      <c r="C9" s="23" t="s">
        <v>73</v>
      </c>
      <c r="D9" s="23" t="s">
        <v>74</v>
      </c>
      <c r="E9" s="23" t="s">
        <v>75</v>
      </c>
      <c r="F9" s="23" t="s">
        <v>96</v>
      </c>
      <c r="G9" s="13" t="str">
        <f t="shared" si="1"/>
        <v>#RN-KE-NBI-A-07</v>
      </c>
      <c r="I9" s="25"/>
      <c r="J9" s="25"/>
      <c r="K9" s="25"/>
      <c r="L9" s="26" t="str">
        <f t="shared" si="2"/>
        <v>Roam Node - </v>
      </c>
      <c r="M9" s="26" t="str">
        <f t="shared" si="3"/>
        <v>#RN-KE-NBI-A-07 - Roam Node -  - </v>
      </c>
      <c r="T9" s="50"/>
      <c r="U9" s="30"/>
      <c r="V9" s="30"/>
    </row>
    <row r="10">
      <c r="A10" s="23" t="s">
        <v>836</v>
      </c>
      <c r="B10" s="12" t="str">
        <f>vlookup(A10,'List of Chargers'!$A$2:$B$6,2,FALSE)</f>
        <v>Roam Node</v>
      </c>
      <c r="C10" s="23" t="s">
        <v>73</v>
      </c>
      <c r="D10" s="23" t="s">
        <v>74</v>
      </c>
      <c r="E10" s="23" t="s">
        <v>75</v>
      </c>
      <c r="F10" s="23" t="s">
        <v>97</v>
      </c>
      <c r="G10" s="13" t="str">
        <f t="shared" si="1"/>
        <v>#RN-KE-NBI-A-08</v>
      </c>
      <c r="I10" s="25"/>
      <c r="J10" s="25"/>
      <c r="K10" s="25"/>
      <c r="L10" s="26" t="str">
        <f t="shared" si="2"/>
        <v>Roam Node - </v>
      </c>
      <c r="M10" s="26" t="str">
        <f t="shared" si="3"/>
        <v>#RN-KE-NBI-A-08 - Roam Node -  - </v>
      </c>
      <c r="T10" s="50"/>
      <c r="U10" s="30"/>
      <c r="V10" s="30"/>
    </row>
    <row r="11">
      <c r="A11" s="23" t="s">
        <v>836</v>
      </c>
      <c r="B11" s="12" t="str">
        <f>vlookup(A11,'List of Chargers'!$A$2:$B$6,2,FALSE)</f>
        <v>Roam Node</v>
      </c>
      <c r="C11" s="23" t="s">
        <v>73</v>
      </c>
      <c r="D11" s="23" t="s">
        <v>74</v>
      </c>
      <c r="E11" s="23" t="s">
        <v>75</v>
      </c>
      <c r="F11" s="23" t="s">
        <v>98</v>
      </c>
      <c r="G11" s="13" t="str">
        <f t="shared" si="1"/>
        <v>#RN-KE-NBI-A-09</v>
      </c>
      <c r="I11" s="25"/>
      <c r="J11" s="25"/>
      <c r="K11" s="25"/>
      <c r="L11" s="26" t="str">
        <f t="shared" si="2"/>
        <v>Roam Node - </v>
      </c>
      <c r="M11" s="26" t="str">
        <f t="shared" si="3"/>
        <v>#RN-KE-NBI-A-09 - Roam Node -  - </v>
      </c>
      <c r="N11" s="27"/>
      <c r="T11" s="50"/>
      <c r="U11" s="30"/>
      <c r="V11" s="30"/>
    </row>
    <row r="12">
      <c r="A12" s="23" t="s">
        <v>836</v>
      </c>
      <c r="B12" s="12" t="str">
        <f>vlookup(A12,'List of Chargers'!$A$2:$B$6,2,FALSE)</f>
        <v>Roam Node</v>
      </c>
      <c r="C12" s="23" t="s">
        <v>73</v>
      </c>
      <c r="D12" s="23" t="s">
        <v>74</v>
      </c>
      <c r="E12" s="23" t="s">
        <v>75</v>
      </c>
      <c r="F12" s="23" t="s">
        <v>99</v>
      </c>
      <c r="G12" s="13" t="str">
        <f t="shared" si="1"/>
        <v>#RN-KE-NBI-A-10</v>
      </c>
      <c r="I12" s="25"/>
      <c r="J12" s="25"/>
      <c r="K12" s="25"/>
      <c r="L12" s="26" t="str">
        <f t="shared" si="2"/>
        <v>Roam Node - </v>
      </c>
      <c r="M12" s="26" t="str">
        <f t="shared" si="3"/>
        <v>#RN-KE-NBI-A-10 - Roam Node -  - </v>
      </c>
      <c r="T12" s="50"/>
      <c r="U12" s="30"/>
      <c r="V12" s="30"/>
    </row>
    <row r="13">
      <c r="A13" s="23" t="s">
        <v>836</v>
      </c>
      <c r="B13" s="12" t="str">
        <f>vlookup(A13,'List of Chargers'!$A$2:$B$6,2,FALSE)</f>
        <v>Roam Node</v>
      </c>
      <c r="C13" s="23" t="s">
        <v>73</v>
      </c>
      <c r="D13" s="23" t="s">
        <v>74</v>
      </c>
      <c r="E13" s="23" t="s">
        <v>75</v>
      </c>
      <c r="F13" s="23" t="s">
        <v>100</v>
      </c>
      <c r="G13" s="13" t="str">
        <f t="shared" si="1"/>
        <v>#RN-KE-NBI-A-11</v>
      </c>
      <c r="I13" s="25"/>
      <c r="J13" s="25"/>
      <c r="K13" s="25"/>
      <c r="L13" s="26" t="str">
        <f t="shared" si="2"/>
        <v>Roam Node - </v>
      </c>
      <c r="M13" s="26" t="str">
        <f t="shared" si="3"/>
        <v>#RN-KE-NBI-A-11 - Roam Node -  - </v>
      </c>
      <c r="T13" s="50"/>
      <c r="U13" s="30"/>
      <c r="V13" s="30"/>
    </row>
    <row r="14">
      <c r="A14" s="23" t="s">
        <v>836</v>
      </c>
      <c r="B14" s="12" t="str">
        <f>vlookup(A14,'List of Chargers'!$A$2:$B$6,2,FALSE)</f>
        <v>Roam Node</v>
      </c>
      <c r="C14" s="23" t="s">
        <v>73</v>
      </c>
      <c r="D14" s="23" t="s">
        <v>74</v>
      </c>
      <c r="E14" s="23" t="s">
        <v>75</v>
      </c>
      <c r="F14" s="23" t="s">
        <v>101</v>
      </c>
      <c r="G14" s="13" t="str">
        <f t="shared" si="1"/>
        <v>#RN-KE-NBI-A-12</v>
      </c>
      <c r="I14" s="25"/>
      <c r="J14" s="25"/>
      <c r="K14" s="25"/>
      <c r="L14" s="26" t="str">
        <f t="shared" si="2"/>
        <v>Roam Node - </v>
      </c>
      <c r="M14" s="26" t="str">
        <f t="shared" si="3"/>
        <v>#RN-KE-NBI-A-12 - Roam Node -  - </v>
      </c>
      <c r="T14" s="50"/>
      <c r="U14" s="30"/>
      <c r="V14" s="30"/>
    </row>
    <row r="15">
      <c r="A15" s="23" t="s">
        <v>836</v>
      </c>
      <c r="B15" s="12" t="str">
        <f>vlookup(A15,'List of Chargers'!$A$2:$B$6,2,FALSE)</f>
        <v>Roam Node</v>
      </c>
      <c r="C15" s="23" t="s">
        <v>73</v>
      </c>
      <c r="D15" s="23" t="s">
        <v>74</v>
      </c>
      <c r="E15" s="23" t="s">
        <v>75</v>
      </c>
      <c r="F15" s="23" t="s">
        <v>102</v>
      </c>
      <c r="G15" s="13" t="str">
        <f t="shared" si="1"/>
        <v>#RN-KE-NBI-A-13</v>
      </c>
      <c r="I15" s="25"/>
      <c r="J15" s="25"/>
      <c r="K15" s="25"/>
      <c r="L15" s="26" t="str">
        <f t="shared" si="2"/>
        <v>Roam Node - </v>
      </c>
      <c r="M15" s="26" t="str">
        <f t="shared" si="3"/>
        <v>#RN-KE-NBI-A-13 - Roam Node -  - </v>
      </c>
      <c r="T15" s="50"/>
      <c r="U15" s="30"/>
      <c r="V15" s="30"/>
    </row>
    <row r="16">
      <c r="A16" s="23" t="s">
        <v>836</v>
      </c>
      <c r="B16" s="12" t="str">
        <f>vlookup(A16,'List of Chargers'!$A$2:$B$6,2,FALSE)</f>
        <v>Roam Node</v>
      </c>
      <c r="C16" s="23" t="s">
        <v>73</v>
      </c>
      <c r="D16" s="23" t="s">
        <v>74</v>
      </c>
      <c r="E16" s="23" t="s">
        <v>75</v>
      </c>
      <c r="F16" s="23" t="s">
        <v>103</v>
      </c>
      <c r="G16" s="13" t="str">
        <f t="shared" si="1"/>
        <v>#RN-KE-NBI-A-14</v>
      </c>
      <c r="I16" s="25"/>
      <c r="J16" s="25"/>
      <c r="K16" s="25"/>
      <c r="L16" s="26" t="str">
        <f t="shared" si="2"/>
        <v>Roam Node - </v>
      </c>
      <c r="M16" s="26" t="str">
        <f t="shared" si="3"/>
        <v>#RN-KE-NBI-A-14 - Roam Node -  - </v>
      </c>
      <c r="T16" s="50"/>
      <c r="U16" s="30"/>
      <c r="V16" s="30"/>
    </row>
    <row r="17">
      <c r="A17" s="23" t="s">
        <v>836</v>
      </c>
      <c r="B17" s="12" t="str">
        <f>vlookup(A17,'List of Chargers'!$A$2:$B$6,2,FALSE)</f>
        <v>Roam Node</v>
      </c>
      <c r="C17" s="23" t="s">
        <v>73</v>
      </c>
      <c r="D17" s="23" t="s">
        <v>74</v>
      </c>
      <c r="E17" s="23" t="s">
        <v>75</v>
      </c>
      <c r="F17" s="23" t="s">
        <v>104</v>
      </c>
      <c r="G17" s="13" t="str">
        <f t="shared" si="1"/>
        <v>#RN-KE-NBI-A-15</v>
      </c>
      <c r="I17" s="25"/>
      <c r="J17" s="31"/>
      <c r="K17" s="31"/>
      <c r="L17" s="26" t="str">
        <f t="shared" si="2"/>
        <v>Roam Node - </v>
      </c>
      <c r="M17" s="26" t="str">
        <f t="shared" si="3"/>
        <v>#RN-KE-NBI-A-15 - Roam Node -  - </v>
      </c>
      <c r="T17" s="50"/>
      <c r="U17" s="30"/>
      <c r="V17" s="30"/>
    </row>
    <row r="18">
      <c r="A18" s="23" t="s">
        <v>836</v>
      </c>
      <c r="B18" s="12" t="str">
        <f>vlookup(A18,'List of Chargers'!$A$2:$B$6,2,FALSE)</f>
        <v>Roam Node</v>
      </c>
      <c r="C18" s="23" t="s">
        <v>73</v>
      </c>
      <c r="D18" s="23" t="s">
        <v>74</v>
      </c>
      <c r="E18" s="23" t="s">
        <v>75</v>
      </c>
      <c r="F18" s="23" t="s">
        <v>105</v>
      </c>
      <c r="G18" s="13" t="str">
        <f t="shared" si="1"/>
        <v>#RN-KE-NBI-A-16</v>
      </c>
      <c r="I18" s="25"/>
      <c r="J18" s="31"/>
      <c r="K18" s="31"/>
      <c r="L18" s="26" t="str">
        <f t="shared" si="2"/>
        <v>Roam Node - </v>
      </c>
      <c r="M18" s="26" t="str">
        <f t="shared" si="3"/>
        <v>#RN-KE-NBI-A-16 - Roam Node -  - </v>
      </c>
      <c r="T18" s="50"/>
      <c r="U18" s="30"/>
      <c r="V18" s="30"/>
    </row>
    <row r="19">
      <c r="A19" s="23" t="s">
        <v>836</v>
      </c>
      <c r="B19" s="12" t="str">
        <f>vlookup(A19,'List of Chargers'!$A$2:$B$6,2,FALSE)</f>
        <v>Roam Node</v>
      </c>
      <c r="C19" s="23" t="s">
        <v>73</v>
      </c>
      <c r="D19" s="23" t="s">
        <v>74</v>
      </c>
      <c r="E19" s="23" t="s">
        <v>75</v>
      </c>
      <c r="F19" s="23" t="s">
        <v>106</v>
      </c>
      <c r="G19" s="13" t="str">
        <f t="shared" si="1"/>
        <v>#RN-KE-NBI-A-17</v>
      </c>
      <c r="I19" s="25"/>
      <c r="J19" s="31"/>
      <c r="K19" s="31"/>
      <c r="L19" s="26" t="str">
        <f t="shared" si="2"/>
        <v>Roam Node - </v>
      </c>
      <c r="M19" s="26" t="str">
        <f t="shared" si="3"/>
        <v>#RN-KE-NBI-A-17 - Roam Node -  - </v>
      </c>
      <c r="T19" s="50"/>
      <c r="U19" s="30"/>
      <c r="V19" s="30"/>
    </row>
    <row r="20">
      <c r="A20" s="23" t="s">
        <v>836</v>
      </c>
      <c r="B20" s="12" t="str">
        <f>vlookup(A20,'List of Chargers'!$A$2:$B$6,2,FALSE)</f>
        <v>Roam Node</v>
      </c>
      <c r="C20" s="23" t="s">
        <v>73</v>
      </c>
      <c r="D20" s="23" t="s">
        <v>74</v>
      </c>
      <c r="E20" s="23" t="s">
        <v>75</v>
      </c>
      <c r="F20" s="23" t="s">
        <v>107</v>
      </c>
      <c r="G20" s="13" t="str">
        <f t="shared" si="1"/>
        <v>#RN-KE-NBI-A-18</v>
      </c>
      <c r="I20" s="25"/>
      <c r="J20" s="31"/>
      <c r="K20" s="31"/>
      <c r="L20" s="26" t="str">
        <f t="shared" si="2"/>
        <v>Roam Node - </v>
      </c>
      <c r="M20" s="26" t="str">
        <f t="shared" si="3"/>
        <v>#RN-KE-NBI-A-18 - Roam Node -  - </v>
      </c>
      <c r="T20" s="50"/>
      <c r="U20" s="30"/>
      <c r="V20" s="30"/>
    </row>
    <row r="21">
      <c r="A21" s="23" t="s">
        <v>836</v>
      </c>
      <c r="B21" s="12" t="str">
        <f>vlookup(A21,'List of Chargers'!$A$2:$B$6,2,FALSE)</f>
        <v>Roam Node</v>
      </c>
      <c r="C21" s="23" t="s">
        <v>73</v>
      </c>
      <c r="D21" s="23" t="s">
        <v>74</v>
      </c>
      <c r="E21" s="23" t="s">
        <v>75</v>
      </c>
      <c r="F21" s="23" t="s">
        <v>108</v>
      </c>
      <c r="G21" s="13" t="str">
        <f t="shared" si="1"/>
        <v>#RN-KE-NBI-A-19</v>
      </c>
      <c r="I21" s="25"/>
      <c r="J21" s="31"/>
      <c r="K21" s="31"/>
      <c r="L21" s="26" t="str">
        <f t="shared" si="2"/>
        <v>Roam Node - </v>
      </c>
      <c r="M21" s="26" t="str">
        <f t="shared" si="3"/>
        <v>#RN-KE-NBI-A-19 - Roam Node -  - </v>
      </c>
      <c r="T21" s="50"/>
      <c r="U21" s="30"/>
      <c r="V21" s="30"/>
    </row>
    <row r="22">
      <c r="A22" s="23" t="s">
        <v>836</v>
      </c>
      <c r="B22" s="12" t="str">
        <f>vlookup(A22,'List of Chargers'!$A$2:$B$6,2,FALSE)</f>
        <v>Roam Node</v>
      </c>
      <c r="C22" s="23" t="s">
        <v>73</v>
      </c>
      <c r="D22" s="23" t="s">
        <v>74</v>
      </c>
      <c r="E22" s="23" t="s">
        <v>75</v>
      </c>
      <c r="F22" s="23" t="s">
        <v>109</v>
      </c>
      <c r="G22" s="13" t="str">
        <f t="shared" si="1"/>
        <v>#RN-KE-NBI-A-20</v>
      </c>
      <c r="I22" s="25"/>
      <c r="J22" s="31"/>
      <c r="K22" s="31"/>
      <c r="L22" s="26" t="str">
        <f t="shared" si="2"/>
        <v>Roam Node - </v>
      </c>
      <c r="M22" s="26" t="str">
        <f t="shared" si="3"/>
        <v>#RN-KE-NBI-A-20 - Roam Node -  - </v>
      </c>
      <c r="T22" s="50"/>
      <c r="U22" s="30"/>
      <c r="V22" s="30"/>
    </row>
    <row r="23">
      <c r="A23" s="23" t="s">
        <v>836</v>
      </c>
      <c r="B23" s="12" t="str">
        <f>vlookup(A23,'List of Chargers'!$A$2:$B$6,2,FALSE)</f>
        <v>Roam Node</v>
      </c>
      <c r="C23" s="23" t="s">
        <v>73</v>
      </c>
      <c r="D23" s="23" t="s">
        <v>74</v>
      </c>
      <c r="E23" s="23" t="s">
        <v>75</v>
      </c>
      <c r="F23" s="23" t="s">
        <v>110</v>
      </c>
      <c r="G23" s="13" t="str">
        <f t="shared" si="1"/>
        <v>#RN-KE-NBI-A-21</v>
      </c>
      <c r="I23" s="25"/>
      <c r="J23" s="31"/>
      <c r="K23" s="31"/>
      <c r="L23" s="26" t="str">
        <f t="shared" si="2"/>
        <v>Roam Node - </v>
      </c>
      <c r="M23" s="26" t="str">
        <f t="shared" si="3"/>
        <v>#RN-KE-NBI-A-21 - Roam Node -  - </v>
      </c>
      <c r="T23" s="50"/>
      <c r="U23" s="30"/>
      <c r="V23" s="30"/>
    </row>
    <row r="24">
      <c r="A24" s="23" t="s">
        <v>836</v>
      </c>
      <c r="B24" s="12" t="str">
        <f>vlookup(A24,'List of Chargers'!$A$2:$B$6,2,FALSE)</f>
        <v>Roam Node</v>
      </c>
      <c r="C24" s="23" t="s">
        <v>73</v>
      </c>
      <c r="D24" s="23" t="s">
        <v>74</v>
      </c>
      <c r="E24" s="23" t="s">
        <v>75</v>
      </c>
      <c r="F24" s="23" t="s">
        <v>111</v>
      </c>
      <c r="G24" s="13" t="str">
        <f t="shared" si="1"/>
        <v>#RN-KE-NBI-A-22</v>
      </c>
      <c r="I24" s="25"/>
      <c r="J24" s="31"/>
      <c r="K24" s="31"/>
      <c r="L24" s="26" t="str">
        <f t="shared" si="2"/>
        <v>Roam Node - </v>
      </c>
      <c r="M24" s="26" t="str">
        <f t="shared" si="3"/>
        <v>#RN-KE-NBI-A-22 - Roam Node -  - </v>
      </c>
      <c r="T24" s="50"/>
      <c r="U24" s="30"/>
      <c r="V24" s="30"/>
    </row>
    <row r="25">
      <c r="A25" s="23" t="s">
        <v>836</v>
      </c>
      <c r="B25" s="12" t="str">
        <f>vlookup(A25,'List of Chargers'!$A$2:$B$6,2,FALSE)</f>
        <v>Roam Node</v>
      </c>
      <c r="C25" s="23" t="s">
        <v>73</v>
      </c>
      <c r="D25" s="23" t="s">
        <v>74</v>
      </c>
      <c r="E25" s="23" t="s">
        <v>75</v>
      </c>
      <c r="F25" s="23" t="s">
        <v>112</v>
      </c>
      <c r="G25" s="13" t="str">
        <f t="shared" si="1"/>
        <v>#RN-KE-NBI-A-23</v>
      </c>
      <c r="I25" s="25"/>
      <c r="J25" s="31"/>
      <c r="K25" s="31"/>
      <c r="L25" s="26" t="str">
        <f t="shared" si="2"/>
        <v>Roam Node - </v>
      </c>
      <c r="M25" s="26" t="str">
        <f t="shared" si="3"/>
        <v>#RN-KE-NBI-A-23 - Roam Node -  - </v>
      </c>
      <c r="T25" s="50"/>
      <c r="U25" s="30"/>
      <c r="V25" s="30"/>
    </row>
    <row r="26">
      <c r="A26" s="23" t="s">
        <v>836</v>
      </c>
      <c r="B26" s="12" t="str">
        <f>vlookup(A26,'List of Chargers'!$A$2:$B$6,2,FALSE)</f>
        <v>Roam Node</v>
      </c>
      <c r="C26" s="23" t="s">
        <v>73</v>
      </c>
      <c r="D26" s="23" t="s">
        <v>74</v>
      </c>
      <c r="E26" s="23" t="s">
        <v>75</v>
      </c>
      <c r="F26" s="23" t="s">
        <v>113</v>
      </c>
      <c r="G26" s="13" t="str">
        <f t="shared" si="1"/>
        <v>#RN-KE-NBI-A-24</v>
      </c>
      <c r="I26" s="25"/>
      <c r="J26" s="31"/>
      <c r="K26" s="31"/>
      <c r="L26" s="26" t="str">
        <f t="shared" si="2"/>
        <v>Roam Node - </v>
      </c>
      <c r="M26" s="26" t="str">
        <f t="shared" si="3"/>
        <v>#RN-KE-NBI-A-24 - Roam Node -  - </v>
      </c>
      <c r="T26" s="50"/>
      <c r="U26" s="30"/>
      <c r="V26" s="30"/>
    </row>
    <row r="27">
      <c r="A27" s="23" t="s">
        <v>836</v>
      </c>
      <c r="B27" s="12" t="str">
        <f>vlookup(A27,'List of Chargers'!$A$2:$B$6,2,FALSE)</f>
        <v>Roam Node</v>
      </c>
      <c r="C27" s="23" t="s">
        <v>73</v>
      </c>
      <c r="D27" s="23" t="s">
        <v>74</v>
      </c>
      <c r="E27" s="23" t="s">
        <v>75</v>
      </c>
      <c r="F27" s="23" t="s">
        <v>114</v>
      </c>
      <c r="G27" s="13" t="str">
        <f t="shared" si="1"/>
        <v>#RN-KE-NBI-A-25</v>
      </c>
      <c r="I27" s="25"/>
      <c r="J27" s="31"/>
      <c r="K27" s="31"/>
      <c r="L27" s="26" t="str">
        <f t="shared" si="2"/>
        <v>Roam Node - </v>
      </c>
      <c r="M27" s="26" t="str">
        <f t="shared" si="3"/>
        <v>#RN-KE-NBI-A-25 - Roam Node -  - </v>
      </c>
      <c r="T27" s="50"/>
      <c r="U27" s="30"/>
      <c r="V27" s="30"/>
    </row>
    <row r="28">
      <c r="A28" s="23" t="s">
        <v>836</v>
      </c>
      <c r="B28" s="12" t="str">
        <f>vlookup(A28,'List of Chargers'!$A$2:$B$6,2,FALSE)</f>
        <v>Roam Node</v>
      </c>
      <c r="C28" s="23" t="s">
        <v>73</v>
      </c>
      <c r="D28" s="23" t="s">
        <v>74</v>
      </c>
      <c r="E28" s="23" t="s">
        <v>75</v>
      </c>
      <c r="F28" s="23" t="s">
        <v>115</v>
      </c>
      <c r="G28" s="13" t="str">
        <f t="shared" si="1"/>
        <v>#RN-KE-NBI-A-26</v>
      </c>
      <c r="I28" s="25"/>
      <c r="J28" s="31"/>
      <c r="K28" s="31"/>
      <c r="L28" s="26" t="str">
        <f t="shared" si="2"/>
        <v>Roam Node - </v>
      </c>
      <c r="M28" s="26" t="str">
        <f t="shared" si="3"/>
        <v>#RN-KE-NBI-A-26 - Roam Node -  - </v>
      </c>
      <c r="T28" s="50"/>
      <c r="U28" s="30"/>
      <c r="V28" s="30"/>
    </row>
    <row r="29">
      <c r="A29" s="23" t="s">
        <v>836</v>
      </c>
      <c r="B29" s="12" t="str">
        <f>vlookup(A29,'List of Chargers'!$A$2:$B$6,2,FALSE)</f>
        <v>Roam Node</v>
      </c>
      <c r="C29" s="23" t="s">
        <v>73</v>
      </c>
      <c r="D29" s="23" t="s">
        <v>74</v>
      </c>
      <c r="E29" s="23" t="s">
        <v>75</v>
      </c>
      <c r="F29" s="23" t="s">
        <v>116</v>
      </c>
      <c r="G29" s="13" t="str">
        <f t="shared" si="1"/>
        <v>#RN-KE-NBI-A-27</v>
      </c>
      <c r="I29" s="25"/>
      <c r="J29" s="31"/>
      <c r="K29" s="31"/>
      <c r="L29" s="26" t="str">
        <f t="shared" si="2"/>
        <v>Roam Node - </v>
      </c>
      <c r="M29" s="26" t="str">
        <f t="shared" si="3"/>
        <v>#RN-KE-NBI-A-27 - Roam Node -  - </v>
      </c>
      <c r="T29" s="50"/>
      <c r="U29" s="30"/>
      <c r="V29" s="30"/>
    </row>
    <row r="30">
      <c r="A30" s="23" t="s">
        <v>836</v>
      </c>
      <c r="B30" s="12" t="str">
        <f>vlookup(A30,'List of Chargers'!$A$2:$B$6,2,FALSE)</f>
        <v>Roam Node</v>
      </c>
      <c r="C30" s="23" t="s">
        <v>73</v>
      </c>
      <c r="D30" s="23" t="s">
        <v>74</v>
      </c>
      <c r="E30" s="23" t="s">
        <v>75</v>
      </c>
      <c r="F30" s="23" t="s">
        <v>117</v>
      </c>
      <c r="G30" s="13" t="str">
        <f t="shared" si="1"/>
        <v>#RN-KE-NBI-A-28</v>
      </c>
      <c r="I30" s="25"/>
      <c r="J30" s="31"/>
      <c r="K30" s="31"/>
      <c r="L30" s="26" t="str">
        <f t="shared" si="2"/>
        <v>Roam Node - </v>
      </c>
      <c r="M30" s="26" t="str">
        <f t="shared" si="3"/>
        <v>#RN-KE-NBI-A-28 - Roam Node -  - </v>
      </c>
      <c r="T30" s="50"/>
      <c r="U30" s="30"/>
      <c r="V30" s="30"/>
    </row>
    <row r="31">
      <c r="A31" s="23" t="s">
        <v>836</v>
      </c>
      <c r="B31" s="12" t="str">
        <f>vlookup(A31,'List of Chargers'!$A$2:$B$6,2,FALSE)</f>
        <v>Roam Node</v>
      </c>
      <c r="C31" s="23" t="s">
        <v>73</v>
      </c>
      <c r="D31" s="23" t="s">
        <v>74</v>
      </c>
      <c r="E31" s="23" t="s">
        <v>75</v>
      </c>
      <c r="F31" s="23" t="s">
        <v>118</v>
      </c>
      <c r="G31" s="13" t="str">
        <f t="shared" si="1"/>
        <v>#RN-KE-NBI-A-29</v>
      </c>
      <c r="I31" s="25"/>
      <c r="J31" s="31"/>
      <c r="K31" s="31"/>
      <c r="L31" s="26" t="str">
        <f t="shared" si="2"/>
        <v>Roam Node - </v>
      </c>
      <c r="M31" s="26" t="str">
        <f t="shared" si="3"/>
        <v>#RN-KE-NBI-A-29 - Roam Node -  - </v>
      </c>
      <c r="T31" s="50"/>
      <c r="U31" s="30"/>
      <c r="V31" s="30"/>
    </row>
    <row r="32">
      <c r="A32" s="23" t="s">
        <v>836</v>
      </c>
      <c r="B32" s="12" t="str">
        <f>vlookup(A32,'List of Chargers'!$A$2:$B$6,2,FALSE)</f>
        <v>Roam Node</v>
      </c>
      <c r="C32" s="23" t="s">
        <v>73</v>
      </c>
      <c r="D32" s="23" t="s">
        <v>74</v>
      </c>
      <c r="E32" s="23" t="s">
        <v>75</v>
      </c>
      <c r="F32" s="23" t="s">
        <v>119</v>
      </c>
      <c r="G32" s="13" t="str">
        <f t="shared" si="1"/>
        <v>#RN-KE-NBI-A-30</v>
      </c>
      <c r="I32" s="25"/>
      <c r="J32" s="31"/>
      <c r="K32" s="31"/>
      <c r="L32" s="26" t="str">
        <f t="shared" si="2"/>
        <v>Roam Node - </v>
      </c>
      <c r="M32" s="26" t="str">
        <f t="shared" si="3"/>
        <v>#RN-KE-NBI-A-30 - Roam Node -  - </v>
      </c>
      <c r="T32" s="50"/>
      <c r="U32" s="30"/>
      <c r="V32" s="30"/>
    </row>
    <row r="33">
      <c r="A33" s="23" t="s">
        <v>836</v>
      </c>
      <c r="B33" s="12" t="str">
        <f>vlookup(A33,'List of Chargers'!$A$2:$B$6,2,FALSE)</f>
        <v>Roam Node</v>
      </c>
      <c r="C33" s="23" t="s">
        <v>73</v>
      </c>
      <c r="D33" s="23" t="s">
        <v>74</v>
      </c>
      <c r="E33" s="23" t="s">
        <v>75</v>
      </c>
      <c r="F33" s="23" t="s">
        <v>120</v>
      </c>
      <c r="G33" s="13" t="str">
        <f t="shared" si="1"/>
        <v>#RN-KE-NBI-A-31</v>
      </c>
      <c r="I33" s="25"/>
      <c r="J33" s="31"/>
      <c r="K33" s="31"/>
      <c r="L33" s="26" t="str">
        <f t="shared" si="2"/>
        <v>Roam Node - </v>
      </c>
      <c r="M33" s="26" t="str">
        <f t="shared" si="3"/>
        <v>#RN-KE-NBI-A-31 - Roam Node -  - </v>
      </c>
      <c r="T33" s="50"/>
      <c r="U33" s="30"/>
      <c r="V33" s="30"/>
    </row>
    <row r="34">
      <c r="A34" s="23" t="s">
        <v>836</v>
      </c>
      <c r="B34" s="12" t="str">
        <f>vlookup(A34,'List of Chargers'!$A$2:$B$6,2,FALSE)</f>
        <v>Roam Node</v>
      </c>
      <c r="C34" s="23" t="s">
        <v>73</v>
      </c>
      <c r="D34" s="23" t="s">
        <v>74</v>
      </c>
      <c r="E34" s="23" t="s">
        <v>75</v>
      </c>
      <c r="F34" s="23" t="s">
        <v>121</v>
      </c>
      <c r="G34" s="13" t="str">
        <f t="shared" si="1"/>
        <v>#RN-KE-NBI-A-32</v>
      </c>
      <c r="I34" s="25"/>
      <c r="J34" s="31"/>
      <c r="K34" s="31"/>
      <c r="L34" s="26" t="str">
        <f t="shared" si="2"/>
        <v>Roam Node - </v>
      </c>
      <c r="M34" s="26" t="str">
        <f t="shared" si="3"/>
        <v>#RN-KE-NBI-A-32 - Roam Node -  - </v>
      </c>
      <c r="T34" s="50"/>
      <c r="U34" s="30"/>
      <c r="V34" s="30"/>
    </row>
    <row r="35">
      <c r="A35" s="23" t="s">
        <v>836</v>
      </c>
      <c r="B35" s="12" t="str">
        <f>vlookup(A35,'List of Chargers'!$A$2:$B$6,2,FALSE)</f>
        <v>Roam Node</v>
      </c>
      <c r="C35" s="23" t="s">
        <v>73</v>
      </c>
      <c r="D35" s="23" t="s">
        <v>74</v>
      </c>
      <c r="E35" s="23" t="s">
        <v>75</v>
      </c>
      <c r="F35" s="23" t="s">
        <v>122</v>
      </c>
      <c r="G35" s="13" t="str">
        <f t="shared" si="1"/>
        <v>#RN-KE-NBI-A-33</v>
      </c>
      <c r="I35" s="25"/>
      <c r="J35" s="31"/>
      <c r="K35" s="31"/>
      <c r="L35" s="26" t="str">
        <f t="shared" si="2"/>
        <v>Roam Node - </v>
      </c>
      <c r="M35" s="26" t="str">
        <f t="shared" si="3"/>
        <v>#RN-KE-NBI-A-33 - Roam Node -  - </v>
      </c>
      <c r="T35" s="50"/>
      <c r="U35" s="30"/>
      <c r="V35" s="30"/>
    </row>
    <row r="36">
      <c r="A36" s="23" t="s">
        <v>836</v>
      </c>
      <c r="B36" s="12" t="str">
        <f>vlookup(A36,'List of Chargers'!$A$2:$B$6,2,FALSE)</f>
        <v>Roam Node</v>
      </c>
      <c r="C36" s="23" t="s">
        <v>73</v>
      </c>
      <c r="D36" s="23" t="s">
        <v>74</v>
      </c>
      <c r="E36" s="23" t="s">
        <v>75</v>
      </c>
      <c r="F36" s="23" t="s">
        <v>509</v>
      </c>
      <c r="G36" s="13" t="str">
        <f t="shared" si="1"/>
        <v>#RN-KE-NBI-A-34</v>
      </c>
      <c r="I36" s="25"/>
      <c r="T36" s="50"/>
      <c r="U36" s="30"/>
      <c r="V36" s="30"/>
    </row>
    <row r="37">
      <c r="A37" s="23" t="s">
        <v>836</v>
      </c>
      <c r="B37" s="12" t="str">
        <f>vlookup(A37,'List of Chargers'!$A$2:$B$6,2,FALSE)</f>
        <v>Roam Node</v>
      </c>
      <c r="C37" s="23" t="s">
        <v>73</v>
      </c>
      <c r="D37" s="23" t="s">
        <v>74</v>
      </c>
      <c r="E37" s="23" t="s">
        <v>75</v>
      </c>
      <c r="F37" s="23" t="s">
        <v>513</v>
      </c>
      <c r="G37" s="13" t="str">
        <f t="shared" si="1"/>
        <v>#RN-KE-NBI-A-35</v>
      </c>
      <c r="I37" s="25"/>
      <c r="T37" s="50"/>
      <c r="U37" s="30"/>
      <c r="V37" s="30"/>
    </row>
    <row r="38">
      <c r="A38" s="23" t="s">
        <v>836</v>
      </c>
      <c r="B38" s="12" t="str">
        <f>vlookup(A38,'List of Chargers'!$A$2:$B$6,2,FALSE)</f>
        <v>Roam Node</v>
      </c>
      <c r="C38" s="23" t="s">
        <v>73</v>
      </c>
      <c r="D38" s="23" t="s">
        <v>74</v>
      </c>
      <c r="E38" s="23" t="s">
        <v>75</v>
      </c>
      <c r="F38" s="23" t="s">
        <v>518</v>
      </c>
      <c r="G38" s="13" t="str">
        <f t="shared" si="1"/>
        <v>#RN-KE-NBI-A-36</v>
      </c>
      <c r="I38" s="25"/>
      <c r="T38" s="50"/>
      <c r="U38" s="30"/>
      <c r="V38" s="30"/>
    </row>
    <row r="39">
      <c r="A39" s="23" t="s">
        <v>836</v>
      </c>
      <c r="B39" s="12" t="str">
        <f>vlookup(A39,'List of Chargers'!$A$2:$B$6,2,FALSE)</f>
        <v>Roam Node</v>
      </c>
      <c r="C39" s="23" t="s">
        <v>73</v>
      </c>
      <c r="D39" s="23" t="s">
        <v>74</v>
      </c>
      <c r="E39" s="23" t="s">
        <v>75</v>
      </c>
      <c r="F39" s="23" t="s">
        <v>522</v>
      </c>
      <c r="G39" s="13" t="str">
        <f t="shared" si="1"/>
        <v>#RN-KE-NBI-A-37</v>
      </c>
      <c r="I39" s="25"/>
      <c r="T39" s="50"/>
      <c r="U39" s="30"/>
      <c r="V39" s="30"/>
    </row>
    <row r="40">
      <c r="A40" s="23" t="s">
        <v>836</v>
      </c>
      <c r="B40" s="12" t="str">
        <f>vlookup(A40,'List of Chargers'!$A$2:$B$6,2,FALSE)</f>
        <v>Roam Node</v>
      </c>
      <c r="C40" s="23" t="s">
        <v>73</v>
      </c>
      <c r="D40" s="23" t="s">
        <v>74</v>
      </c>
      <c r="E40" s="23" t="s">
        <v>75</v>
      </c>
      <c r="F40" s="23" t="s">
        <v>526</v>
      </c>
      <c r="G40" s="13" t="str">
        <f t="shared" si="1"/>
        <v>#RN-KE-NBI-A-38</v>
      </c>
      <c r="I40" s="25"/>
      <c r="T40" s="50"/>
      <c r="U40" s="30"/>
      <c r="V40" s="30"/>
    </row>
    <row r="41">
      <c r="A41" s="23" t="s">
        <v>836</v>
      </c>
      <c r="B41" s="12" t="str">
        <f>vlookup(A41,'List of Chargers'!$A$2:$B$6,2,FALSE)</f>
        <v>Roam Node</v>
      </c>
      <c r="C41" s="23" t="s">
        <v>73</v>
      </c>
      <c r="D41" s="23" t="s">
        <v>74</v>
      </c>
      <c r="E41" s="23" t="s">
        <v>75</v>
      </c>
      <c r="F41" s="23" t="s">
        <v>531</v>
      </c>
      <c r="G41" s="13" t="str">
        <f t="shared" si="1"/>
        <v>#RN-KE-NBI-A-39</v>
      </c>
      <c r="I41" s="25"/>
      <c r="T41" s="50"/>
      <c r="U41" s="30"/>
      <c r="V41" s="30"/>
    </row>
    <row r="42">
      <c r="A42" s="23" t="s">
        <v>836</v>
      </c>
      <c r="B42" s="12" t="str">
        <f>vlookup(A42,'List of Chargers'!$A$2:$B$6,2,FALSE)</f>
        <v>Roam Node</v>
      </c>
      <c r="C42" s="23" t="s">
        <v>73</v>
      </c>
      <c r="D42" s="23" t="s">
        <v>74</v>
      </c>
      <c r="E42" s="23" t="s">
        <v>75</v>
      </c>
      <c r="F42" s="23" t="s">
        <v>535</v>
      </c>
      <c r="G42" s="13" t="str">
        <f t="shared" si="1"/>
        <v>#RN-KE-NBI-A-40</v>
      </c>
      <c r="I42" s="25"/>
      <c r="T42" s="50"/>
      <c r="U42" s="30"/>
      <c r="V42" s="30"/>
    </row>
    <row r="43">
      <c r="A43" s="23" t="s">
        <v>836</v>
      </c>
      <c r="B43" s="12" t="str">
        <f>vlookup(A43,'List of Chargers'!$A$2:$B$6,2,FALSE)</f>
        <v>Roam Node</v>
      </c>
      <c r="C43" s="23" t="s">
        <v>73</v>
      </c>
      <c r="D43" s="23" t="s">
        <v>74</v>
      </c>
      <c r="E43" s="23" t="s">
        <v>75</v>
      </c>
      <c r="F43" s="23" t="s">
        <v>540</v>
      </c>
      <c r="G43" s="13" t="str">
        <f t="shared" si="1"/>
        <v>#RN-KE-NBI-A-41</v>
      </c>
      <c r="I43" s="25"/>
      <c r="T43" s="50"/>
      <c r="U43" s="30"/>
      <c r="V43" s="30"/>
    </row>
    <row r="44">
      <c r="A44" s="23" t="s">
        <v>836</v>
      </c>
      <c r="B44" s="12" t="str">
        <f>vlookup(A44,'List of Chargers'!$A$2:$B$6,2,FALSE)</f>
        <v>Roam Node</v>
      </c>
      <c r="C44" s="23" t="s">
        <v>73</v>
      </c>
      <c r="D44" s="23" t="s">
        <v>74</v>
      </c>
      <c r="E44" s="23" t="s">
        <v>75</v>
      </c>
      <c r="F44" s="23" t="s">
        <v>545</v>
      </c>
      <c r="G44" s="13" t="str">
        <f t="shared" si="1"/>
        <v>#RN-KE-NBI-A-42</v>
      </c>
      <c r="I44" s="25"/>
      <c r="T44" s="50"/>
      <c r="U44" s="30"/>
      <c r="V44" s="30"/>
    </row>
    <row r="45">
      <c r="A45" s="23" t="s">
        <v>836</v>
      </c>
      <c r="B45" s="12" t="str">
        <f>vlookup(A45,'List of Chargers'!$A$2:$B$6,2,FALSE)</f>
        <v>Roam Node</v>
      </c>
      <c r="C45" s="23" t="s">
        <v>73</v>
      </c>
      <c r="D45" s="23" t="s">
        <v>74</v>
      </c>
      <c r="E45" s="23" t="s">
        <v>75</v>
      </c>
      <c r="F45" s="23" t="s">
        <v>549</v>
      </c>
      <c r="G45" s="13" t="str">
        <f t="shared" si="1"/>
        <v>#RN-KE-NBI-A-43</v>
      </c>
      <c r="I45" s="25"/>
      <c r="T45" s="50"/>
      <c r="U45" s="30"/>
      <c r="V45" s="30"/>
    </row>
    <row r="46">
      <c r="A46" s="23" t="s">
        <v>836</v>
      </c>
      <c r="B46" s="12" t="str">
        <f>vlookup(A46,'List of Chargers'!$A$2:$B$6,2,FALSE)</f>
        <v>Roam Node</v>
      </c>
      <c r="C46" s="23" t="s">
        <v>73</v>
      </c>
      <c r="D46" s="23" t="s">
        <v>74</v>
      </c>
      <c r="E46" s="23" t="s">
        <v>75</v>
      </c>
      <c r="F46" s="23" t="s">
        <v>553</v>
      </c>
      <c r="G46" s="13" t="str">
        <f t="shared" si="1"/>
        <v>#RN-KE-NBI-A-44</v>
      </c>
      <c r="I46" s="25"/>
      <c r="T46" s="50"/>
      <c r="U46" s="30"/>
      <c r="V46" s="30"/>
    </row>
    <row r="47">
      <c r="A47" s="23" t="s">
        <v>836</v>
      </c>
      <c r="B47" s="12" t="str">
        <f>vlookup(A47,'List of Chargers'!$A$2:$B$6,2,FALSE)</f>
        <v>Roam Node</v>
      </c>
      <c r="C47" s="23" t="s">
        <v>73</v>
      </c>
      <c r="D47" s="23" t="s">
        <v>74</v>
      </c>
      <c r="E47" s="23" t="s">
        <v>75</v>
      </c>
      <c r="F47" s="23" t="s">
        <v>558</v>
      </c>
      <c r="G47" s="13" t="str">
        <f t="shared" si="1"/>
        <v>#RN-KE-NBI-A-45</v>
      </c>
      <c r="I47" s="25"/>
      <c r="T47" s="50"/>
      <c r="U47" s="30"/>
      <c r="V47" s="30"/>
    </row>
    <row r="48">
      <c r="A48" s="23" t="s">
        <v>836</v>
      </c>
      <c r="B48" s="12" t="str">
        <f>vlookup(A48,'List of Chargers'!$A$2:$B$6,2,FALSE)</f>
        <v>Roam Node</v>
      </c>
      <c r="C48" s="23" t="s">
        <v>73</v>
      </c>
      <c r="D48" s="23" t="s">
        <v>74</v>
      </c>
      <c r="E48" s="23" t="s">
        <v>75</v>
      </c>
      <c r="F48" s="23" t="s">
        <v>563</v>
      </c>
      <c r="G48" s="13" t="str">
        <f t="shared" si="1"/>
        <v>#RN-KE-NBI-A-46</v>
      </c>
      <c r="I48" s="25"/>
      <c r="T48" s="50"/>
      <c r="U48" s="30"/>
      <c r="V48" s="30"/>
    </row>
    <row r="49">
      <c r="A49" s="23" t="s">
        <v>836</v>
      </c>
      <c r="B49" s="12" t="str">
        <f>vlookup(A49,'List of Chargers'!$A$2:$B$6,2,FALSE)</f>
        <v>Roam Node</v>
      </c>
      <c r="C49" s="23" t="s">
        <v>73</v>
      </c>
      <c r="D49" s="23" t="s">
        <v>74</v>
      </c>
      <c r="E49" s="23" t="s">
        <v>75</v>
      </c>
      <c r="F49" s="23" t="s">
        <v>568</v>
      </c>
      <c r="G49" s="13" t="str">
        <f t="shared" si="1"/>
        <v>#RN-KE-NBI-A-47</v>
      </c>
      <c r="I49" s="25"/>
      <c r="T49" s="50"/>
      <c r="U49" s="30"/>
      <c r="V49" s="30"/>
    </row>
    <row r="50">
      <c r="A50" s="23" t="s">
        <v>836</v>
      </c>
      <c r="B50" s="12" t="str">
        <f>vlookup(A50,'List of Chargers'!$A$2:$B$6,2,FALSE)</f>
        <v>Roam Node</v>
      </c>
      <c r="C50" s="23" t="s">
        <v>73</v>
      </c>
      <c r="D50" s="23" t="s">
        <v>74</v>
      </c>
      <c r="E50" s="23" t="s">
        <v>75</v>
      </c>
      <c r="F50" s="23" t="s">
        <v>573</v>
      </c>
      <c r="G50" s="13" t="str">
        <f t="shared" si="1"/>
        <v>#RN-KE-NBI-A-48</v>
      </c>
      <c r="I50" s="25"/>
      <c r="T50" s="50"/>
      <c r="U50" s="30"/>
      <c r="V50" s="30"/>
    </row>
    <row r="51">
      <c r="A51" s="23" t="s">
        <v>836</v>
      </c>
      <c r="B51" s="12" t="str">
        <f>vlookup(A51,'List of Chargers'!$A$2:$B$6,2,FALSE)</f>
        <v>Roam Node</v>
      </c>
      <c r="C51" s="23" t="s">
        <v>73</v>
      </c>
      <c r="D51" s="23" t="s">
        <v>74</v>
      </c>
      <c r="E51" s="23" t="s">
        <v>75</v>
      </c>
      <c r="F51" s="23" t="s">
        <v>576</v>
      </c>
      <c r="G51" s="13" t="str">
        <f t="shared" si="1"/>
        <v>#RN-KE-NBI-A-49</v>
      </c>
      <c r="I51" s="25"/>
      <c r="T51" s="50"/>
      <c r="U51" s="30"/>
      <c r="V51" s="30"/>
    </row>
    <row r="52">
      <c r="A52" s="23" t="s">
        <v>836</v>
      </c>
      <c r="B52" s="12" t="str">
        <f>vlookup(A52,'List of Chargers'!$A$2:$B$6,2,FALSE)</f>
        <v>Roam Node</v>
      </c>
      <c r="C52" s="23" t="s">
        <v>73</v>
      </c>
      <c r="D52" s="23" t="s">
        <v>74</v>
      </c>
      <c r="E52" s="23" t="s">
        <v>75</v>
      </c>
      <c r="F52" s="23" t="s">
        <v>577</v>
      </c>
      <c r="G52" s="13" t="str">
        <f t="shared" si="1"/>
        <v>#RN-KE-NBI-A-50</v>
      </c>
      <c r="I52" s="25"/>
      <c r="T52" s="50"/>
      <c r="U52" s="30"/>
      <c r="V52" s="30"/>
    </row>
    <row r="53">
      <c r="A53" s="23" t="s">
        <v>836</v>
      </c>
      <c r="B53" s="12" t="str">
        <f>vlookup(A53,'List of Chargers'!$A$2:$B$6,2,FALSE)</f>
        <v>Roam Node</v>
      </c>
      <c r="C53" s="23" t="s">
        <v>73</v>
      </c>
      <c r="D53" s="23" t="s">
        <v>74</v>
      </c>
      <c r="E53" s="23" t="s">
        <v>75</v>
      </c>
      <c r="F53" s="23" t="s">
        <v>578</v>
      </c>
      <c r="G53" s="13" t="str">
        <f t="shared" si="1"/>
        <v>#RN-KE-NBI-A-51</v>
      </c>
      <c r="I53" s="25"/>
      <c r="T53" s="50"/>
      <c r="U53" s="30"/>
      <c r="V53" s="30"/>
    </row>
    <row r="54">
      <c r="A54" s="23" t="s">
        <v>836</v>
      </c>
      <c r="B54" s="12" t="str">
        <f>vlookup(A54,'List of Chargers'!$A$2:$B$6,2,FALSE)</f>
        <v>Roam Node</v>
      </c>
      <c r="C54" s="23" t="s">
        <v>73</v>
      </c>
      <c r="D54" s="23" t="s">
        <v>74</v>
      </c>
      <c r="E54" s="23" t="s">
        <v>75</v>
      </c>
      <c r="F54" s="23" t="s">
        <v>579</v>
      </c>
      <c r="G54" s="13" t="str">
        <f t="shared" si="1"/>
        <v>#RN-KE-NBI-A-52</v>
      </c>
      <c r="I54" s="25"/>
      <c r="T54" s="50"/>
      <c r="U54" s="30"/>
      <c r="V54" s="30"/>
    </row>
    <row r="55">
      <c r="A55" s="23" t="s">
        <v>836</v>
      </c>
      <c r="B55" s="12" t="str">
        <f>vlookup(A55,'List of Chargers'!$A$2:$B$6,2,FALSE)</f>
        <v>Roam Node</v>
      </c>
      <c r="C55" s="23" t="s">
        <v>73</v>
      </c>
      <c r="D55" s="23" t="s">
        <v>74</v>
      </c>
      <c r="E55" s="23" t="s">
        <v>75</v>
      </c>
      <c r="F55" s="23" t="s">
        <v>580</v>
      </c>
      <c r="G55" s="13" t="str">
        <f t="shared" si="1"/>
        <v>#RN-KE-NBI-A-53</v>
      </c>
      <c r="I55" s="25"/>
      <c r="T55" s="50"/>
      <c r="U55" s="30"/>
      <c r="V55" s="30"/>
    </row>
    <row r="56">
      <c r="A56" s="23" t="s">
        <v>836</v>
      </c>
      <c r="B56" s="12" t="str">
        <f>vlookup(A56,'List of Chargers'!$A$2:$B$6,2,FALSE)</f>
        <v>Roam Node</v>
      </c>
      <c r="C56" s="23" t="s">
        <v>73</v>
      </c>
      <c r="D56" s="23" t="s">
        <v>74</v>
      </c>
      <c r="E56" s="23" t="s">
        <v>75</v>
      </c>
      <c r="F56" s="23" t="s">
        <v>581</v>
      </c>
      <c r="G56" s="13" t="str">
        <f t="shared" si="1"/>
        <v>#RN-KE-NBI-A-54</v>
      </c>
      <c r="I56" s="25"/>
      <c r="T56" s="50"/>
      <c r="U56" s="30"/>
      <c r="V56" s="30"/>
    </row>
    <row r="57">
      <c r="A57" s="23" t="s">
        <v>836</v>
      </c>
      <c r="B57" s="12" t="str">
        <f>vlookup(A57,'List of Chargers'!$A$2:$B$6,2,FALSE)</f>
        <v>Roam Node</v>
      </c>
      <c r="C57" s="23" t="s">
        <v>73</v>
      </c>
      <c r="D57" s="23" t="s">
        <v>74</v>
      </c>
      <c r="E57" s="23" t="s">
        <v>75</v>
      </c>
      <c r="F57" s="23" t="s">
        <v>582</v>
      </c>
      <c r="G57" s="13" t="str">
        <f t="shared" si="1"/>
        <v>#RN-KE-NBI-A-55</v>
      </c>
      <c r="I57" s="25"/>
      <c r="T57" s="50"/>
      <c r="U57" s="30"/>
      <c r="V57" s="30"/>
    </row>
    <row r="58">
      <c r="A58" s="23" t="s">
        <v>836</v>
      </c>
      <c r="B58" s="12" t="str">
        <f>vlookup(A58,'List of Chargers'!$A$2:$B$6,2,FALSE)</f>
        <v>Roam Node</v>
      </c>
      <c r="C58" s="23" t="s">
        <v>73</v>
      </c>
      <c r="D58" s="23" t="s">
        <v>74</v>
      </c>
      <c r="E58" s="23" t="s">
        <v>75</v>
      </c>
      <c r="F58" s="23" t="s">
        <v>583</v>
      </c>
      <c r="G58" s="13" t="str">
        <f t="shared" si="1"/>
        <v>#RN-KE-NBI-A-56</v>
      </c>
      <c r="I58" s="25"/>
      <c r="T58" s="50"/>
      <c r="U58" s="30"/>
      <c r="V58" s="30"/>
    </row>
    <row r="59">
      <c r="A59" s="23" t="s">
        <v>836</v>
      </c>
      <c r="B59" s="12" t="str">
        <f>vlookup(A59,'List of Chargers'!$A$2:$B$6,2,FALSE)</f>
        <v>Roam Node</v>
      </c>
      <c r="C59" s="23" t="s">
        <v>73</v>
      </c>
      <c r="D59" s="23" t="s">
        <v>74</v>
      </c>
      <c r="E59" s="23" t="s">
        <v>75</v>
      </c>
      <c r="F59" s="23" t="s">
        <v>584</v>
      </c>
      <c r="G59" s="13" t="str">
        <f t="shared" si="1"/>
        <v>#RN-KE-NBI-A-57</v>
      </c>
      <c r="I59" s="25"/>
      <c r="T59" s="50"/>
      <c r="U59" s="30"/>
      <c r="V59" s="30"/>
    </row>
    <row r="60">
      <c r="A60" s="23" t="s">
        <v>836</v>
      </c>
      <c r="B60" s="12" t="str">
        <f>vlookup(A60,'List of Chargers'!$A$2:$B$6,2,FALSE)</f>
        <v>Roam Node</v>
      </c>
      <c r="C60" s="23" t="s">
        <v>73</v>
      </c>
      <c r="D60" s="23" t="s">
        <v>74</v>
      </c>
      <c r="E60" s="23" t="s">
        <v>75</v>
      </c>
      <c r="F60" s="23" t="s">
        <v>585</v>
      </c>
      <c r="G60" s="13" t="str">
        <f t="shared" si="1"/>
        <v>#RN-KE-NBI-A-58</v>
      </c>
      <c r="I60" s="25"/>
      <c r="T60" s="50"/>
      <c r="U60" s="30"/>
      <c r="V60" s="30"/>
    </row>
    <row r="61">
      <c r="A61" s="23" t="s">
        <v>836</v>
      </c>
      <c r="B61" s="12" t="str">
        <f>vlookup(A61,'List of Chargers'!$A$2:$B$6,2,FALSE)</f>
        <v>Roam Node</v>
      </c>
      <c r="C61" s="23" t="s">
        <v>73</v>
      </c>
      <c r="D61" s="23" t="s">
        <v>74</v>
      </c>
      <c r="E61" s="23" t="s">
        <v>75</v>
      </c>
      <c r="F61" s="23" t="s">
        <v>586</v>
      </c>
      <c r="G61" s="13" t="str">
        <f t="shared" si="1"/>
        <v>#RN-KE-NBI-A-59</v>
      </c>
      <c r="I61" s="25"/>
      <c r="T61" s="50"/>
      <c r="U61" s="30"/>
      <c r="V61" s="30"/>
    </row>
    <row r="62">
      <c r="A62" s="23" t="s">
        <v>836</v>
      </c>
      <c r="B62" s="12" t="str">
        <f>vlookup(A62,'List of Chargers'!$A$2:$B$6,2,FALSE)</f>
        <v>Roam Node</v>
      </c>
      <c r="C62" s="23" t="s">
        <v>73</v>
      </c>
      <c r="D62" s="23" t="s">
        <v>74</v>
      </c>
      <c r="E62" s="23" t="s">
        <v>75</v>
      </c>
      <c r="F62" s="23" t="s">
        <v>587</v>
      </c>
      <c r="G62" s="13" t="str">
        <f t="shared" si="1"/>
        <v>#RN-KE-NBI-A-60</v>
      </c>
      <c r="I62" s="25"/>
      <c r="T62" s="50"/>
      <c r="U62" s="30"/>
      <c r="V62" s="30"/>
    </row>
    <row r="63">
      <c r="A63" s="30"/>
      <c r="B63" s="30"/>
      <c r="C63" s="30"/>
      <c r="D63" s="30"/>
      <c r="E63" s="30"/>
      <c r="F63" s="30"/>
      <c r="I63" s="25"/>
      <c r="T63" s="50"/>
      <c r="U63" s="30"/>
      <c r="V63" s="30"/>
    </row>
    <row r="64">
      <c r="A64" s="30"/>
      <c r="B64" s="30"/>
      <c r="C64" s="30"/>
      <c r="D64" s="30"/>
      <c r="E64" s="30"/>
      <c r="F64" s="30"/>
      <c r="I64" s="25"/>
      <c r="T64" s="50"/>
      <c r="U64" s="30"/>
      <c r="V64" s="30"/>
    </row>
    <row r="65">
      <c r="A65" s="30"/>
      <c r="B65" s="30"/>
      <c r="C65" s="30"/>
      <c r="D65" s="30"/>
      <c r="E65" s="30"/>
      <c r="F65" s="30"/>
      <c r="I65" s="25"/>
      <c r="T65" s="50"/>
      <c r="U65" s="30"/>
      <c r="V65" s="30"/>
    </row>
    <row r="66">
      <c r="A66" s="30"/>
      <c r="B66" s="30"/>
      <c r="C66" s="30"/>
      <c r="D66" s="30"/>
      <c r="E66" s="30"/>
      <c r="F66" s="30"/>
      <c r="I66" s="25"/>
      <c r="T66" s="50"/>
      <c r="U66" s="30"/>
      <c r="V66" s="30"/>
    </row>
    <row r="67">
      <c r="A67" s="30"/>
      <c r="B67" s="30"/>
      <c r="C67" s="30"/>
      <c r="D67" s="30"/>
      <c r="E67" s="30"/>
      <c r="F67" s="30"/>
      <c r="I67" s="25"/>
      <c r="T67" s="50"/>
      <c r="U67" s="30"/>
      <c r="V67" s="30"/>
    </row>
    <row r="68">
      <c r="A68" s="30"/>
      <c r="B68" s="30"/>
      <c r="C68" s="30"/>
      <c r="D68" s="30"/>
      <c r="E68" s="30"/>
      <c r="F68" s="30"/>
      <c r="I68" s="25"/>
      <c r="T68" s="50"/>
      <c r="U68" s="30"/>
      <c r="V68" s="30"/>
    </row>
    <row r="69">
      <c r="A69" s="30"/>
      <c r="B69" s="30"/>
      <c r="C69" s="30"/>
      <c r="D69" s="30"/>
      <c r="E69" s="30"/>
      <c r="F69" s="30"/>
      <c r="I69" s="25"/>
      <c r="T69" s="50"/>
      <c r="U69" s="30"/>
      <c r="V69" s="30"/>
    </row>
    <row r="70">
      <c r="A70" s="30"/>
      <c r="B70" s="30"/>
      <c r="C70" s="30"/>
      <c r="D70" s="30"/>
      <c r="E70" s="30"/>
      <c r="F70" s="30"/>
      <c r="I70" s="25"/>
      <c r="T70" s="50"/>
      <c r="U70" s="30"/>
      <c r="V70" s="30"/>
    </row>
    <row r="71">
      <c r="A71" s="30"/>
      <c r="B71" s="30"/>
      <c r="C71" s="30"/>
      <c r="D71" s="30"/>
      <c r="E71" s="30"/>
      <c r="F71" s="30"/>
      <c r="I71" s="25"/>
      <c r="T71" s="50"/>
      <c r="U71" s="30"/>
      <c r="V71" s="30"/>
    </row>
    <row r="72">
      <c r="A72" s="30"/>
      <c r="B72" s="30"/>
      <c r="C72" s="30"/>
      <c r="D72" s="30"/>
      <c r="E72" s="30"/>
      <c r="F72" s="30"/>
      <c r="I72" s="25"/>
      <c r="T72" s="50"/>
      <c r="U72" s="30"/>
      <c r="V72" s="30"/>
    </row>
    <row r="73">
      <c r="A73" s="30"/>
      <c r="B73" s="30"/>
      <c r="C73" s="30"/>
      <c r="D73" s="30"/>
      <c r="E73" s="30"/>
      <c r="F73" s="30"/>
      <c r="I73" s="25"/>
      <c r="T73" s="50"/>
      <c r="U73" s="30"/>
      <c r="V73" s="30"/>
    </row>
    <row r="74">
      <c r="A74" s="30"/>
      <c r="B74" s="30"/>
      <c r="C74" s="30"/>
      <c r="D74" s="30"/>
      <c r="E74" s="30"/>
      <c r="F74" s="30"/>
      <c r="I74" s="25"/>
      <c r="T74" s="50"/>
      <c r="U74" s="30"/>
      <c r="V74" s="30"/>
    </row>
    <row r="75">
      <c r="A75" s="30"/>
      <c r="B75" s="30"/>
      <c r="C75" s="30"/>
      <c r="D75" s="30"/>
      <c r="E75" s="30"/>
      <c r="F75" s="30"/>
      <c r="I75" s="25"/>
      <c r="T75" s="50"/>
      <c r="U75" s="30"/>
      <c r="V75" s="30"/>
    </row>
    <row r="76">
      <c r="A76" s="30"/>
      <c r="B76" s="30"/>
      <c r="C76" s="30"/>
      <c r="D76" s="30"/>
      <c r="E76" s="30"/>
      <c r="F76" s="30"/>
      <c r="I76" s="25"/>
      <c r="T76" s="50"/>
      <c r="U76" s="30"/>
      <c r="V76" s="30"/>
    </row>
    <row r="77">
      <c r="A77" s="30"/>
      <c r="B77" s="30"/>
      <c r="C77" s="30"/>
      <c r="D77" s="30"/>
      <c r="E77" s="30"/>
      <c r="F77" s="30"/>
      <c r="I77" s="25"/>
      <c r="T77" s="50"/>
      <c r="U77" s="30"/>
      <c r="V77" s="30"/>
    </row>
    <row r="78">
      <c r="A78" s="30"/>
      <c r="B78" s="30"/>
      <c r="C78" s="30"/>
      <c r="D78" s="30"/>
      <c r="E78" s="30"/>
      <c r="F78" s="30"/>
      <c r="I78" s="25"/>
      <c r="T78" s="50"/>
      <c r="U78" s="30"/>
      <c r="V78" s="30"/>
    </row>
    <row r="79">
      <c r="A79" s="30"/>
      <c r="B79" s="30"/>
      <c r="C79" s="30"/>
      <c r="D79" s="30"/>
      <c r="E79" s="30"/>
      <c r="F79" s="30"/>
      <c r="I79" s="25"/>
      <c r="T79" s="50"/>
      <c r="U79" s="30"/>
      <c r="V79" s="30"/>
    </row>
    <row r="80">
      <c r="A80" s="30"/>
      <c r="B80" s="30"/>
      <c r="C80" s="30"/>
      <c r="D80" s="30"/>
      <c r="E80" s="30"/>
      <c r="F80" s="30"/>
      <c r="I80" s="25"/>
      <c r="T80" s="50"/>
      <c r="U80" s="30"/>
      <c r="V80" s="30"/>
    </row>
    <row r="81">
      <c r="A81" s="30"/>
      <c r="B81" s="30"/>
      <c r="C81" s="30"/>
      <c r="D81" s="30"/>
      <c r="E81" s="30"/>
      <c r="F81" s="30"/>
      <c r="I81" s="25"/>
      <c r="T81" s="50"/>
      <c r="U81" s="30"/>
      <c r="V81" s="30"/>
    </row>
    <row r="82">
      <c r="A82" s="30"/>
      <c r="B82" s="30"/>
      <c r="C82" s="30"/>
      <c r="D82" s="30"/>
      <c r="E82" s="30"/>
      <c r="F82" s="30"/>
      <c r="I82" s="25"/>
      <c r="T82" s="50"/>
      <c r="U82" s="30"/>
      <c r="V82" s="30"/>
    </row>
    <row r="83">
      <c r="A83" s="30"/>
      <c r="B83" s="30"/>
      <c r="C83" s="30"/>
      <c r="D83" s="30"/>
      <c r="E83" s="30"/>
      <c r="F83" s="30"/>
      <c r="I83" s="25"/>
      <c r="T83" s="50"/>
      <c r="U83" s="30"/>
      <c r="V83" s="30"/>
    </row>
    <row r="84">
      <c r="A84" s="30"/>
      <c r="B84" s="30"/>
      <c r="C84" s="30"/>
      <c r="D84" s="30"/>
      <c r="E84" s="30"/>
      <c r="F84" s="30"/>
      <c r="I84" s="25"/>
      <c r="T84" s="50"/>
      <c r="U84" s="30"/>
      <c r="V84" s="30"/>
    </row>
    <row r="85">
      <c r="A85" s="30"/>
      <c r="B85" s="30"/>
      <c r="C85" s="30"/>
      <c r="D85" s="30"/>
      <c r="E85" s="30"/>
      <c r="F85" s="30"/>
      <c r="I85" s="25"/>
      <c r="T85" s="50"/>
      <c r="U85" s="30"/>
      <c r="V85" s="30"/>
    </row>
    <row r="86">
      <c r="A86" s="30"/>
      <c r="B86" s="30"/>
      <c r="C86" s="30"/>
      <c r="D86" s="30"/>
      <c r="E86" s="30"/>
      <c r="F86" s="30"/>
      <c r="I86" s="25"/>
      <c r="T86" s="50"/>
      <c r="U86" s="30"/>
      <c r="V86" s="30"/>
    </row>
    <row r="87">
      <c r="A87" s="30"/>
      <c r="B87" s="30"/>
      <c r="C87" s="30"/>
      <c r="D87" s="30"/>
      <c r="E87" s="30"/>
      <c r="F87" s="30"/>
      <c r="I87" s="25"/>
      <c r="T87" s="50"/>
      <c r="U87" s="30"/>
      <c r="V87" s="30"/>
    </row>
    <row r="88">
      <c r="A88" s="30"/>
      <c r="B88" s="30"/>
      <c r="C88" s="30"/>
      <c r="D88" s="30"/>
      <c r="E88" s="30"/>
      <c r="F88" s="30"/>
      <c r="I88" s="25"/>
      <c r="T88" s="50"/>
      <c r="U88" s="30"/>
      <c r="V88" s="30"/>
    </row>
    <row r="89">
      <c r="A89" s="30"/>
      <c r="B89" s="30"/>
      <c r="C89" s="30"/>
      <c r="D89" s="30"/>
      <c r="E89" s="30"/>
      <c r="F89" s="30"/>
      <c r="I89" s="25"/>
      <c r="T89" s="50"/>
      <c r="U89" s="30"/>
      <c r="V89" s="30"/>
    </row>
    <row r="90">
      <c r="A90" s="30"/>
      <c r="B90" s="30"/>
      <c r="C90" s="30"/>
      <c r="D90" s="30"/>
      <c r="E90" s="30"/>
      <c r="F90" s="30"/>
      <c r="I90" s="25"/>
      <c r="T90" s="50"/>
      <c r="U90" s="30"/>
      <c r="V90" s="30"/>
    </row>
    <row r="91">
      <c r="A91" s="30"/>
      <c r="B91" s="30"/>
      <c r="C91" s="30"/>
      <c r="D91" s="30"/>
      <c r="E91" s="30"/>
      <c r="F91" s="30"/>
      <c r="I91" s="25"/>
      <c r="T91" s="50"/>
      <c r="U91" s="30"/>
      <c r="V91" s="30"/>
    </row>
    <row r="92">
      <c r="A92" s="30"/>
      <c r="B92" s="30"/>
      <c r="C92" s="30"/>
      <c r="D92" s="30"/>
      <c r="E92" s="30"/>
      <c r="F92" s="30"/>
      <c r="I92" s="25"/>
      <c r="T92" s="50"/>
      <c r="U92" s="30"/>
      <c r="V92" s="30"/>
    </row>
    <row r="93">
      <c r="A93" s="30"/>
      <c r="B93" s="30"/>
      <c r="C93" s="30"/>
      <c r="D93" s="30"/>
      <c r="E93" s="30"/>
      <c r="F93" s="30"/>
      <c r="I93" s="25"/>
      <c r="T93" s="50"/>
      <c r="U93" s="30"/>
      <c r="V93" s="30"/>
    </row>
    <row r="94">
      <c r="A94" s="30"/>
      <c r="B94" s="30"/>
      <c r="C94" s="30"/>
      <c r="D94" s="30"/>
      <c r="E94" s="30"/>
      <c r="F94" s="30"/>
      <c r="I94" s="25"/>
      <c r="T94" s="50"/>
      <c r="U94" s="30"/>
      <c r="V94" s="30"/>
    </row>
    <row r="95">
      <c r="A95" s="30"/>
      <c r="B95" s="30"/>
      <c r="C95" s="30"/>
      <c r="D95" s="30"/>
      <c r="E95" s="30"/>
      <c r="F95" s="30"/>
      <c r="I95" s="25"/>
      <c r="T95" s="50"/>
      <c r="U95" s="30"/>
      <c r="V95" s="30"/>
    </row>
    <row r="96">
      <c r="A96" s="30"/>
      <c r="B96" s="30"/>
      <c r="C96" s="30"/>
      <c r="D96" s="30"/>
      <c r="E96" s="30"/>
      <c r="F96" s="30"/>
      <c r="I96" s="25"/>
      <c r="T96" s="50"/>
      <c r="U96" s="30"/>
      <c r="V96" s="30"/>
    </row>
    <row r="97">
      <c r="A97" s="30"/>
      <c r="B97" s="30"/>
      <c r="C97" s="30"/>
      <c r="D97" s="30"/>
      <c r="E97" s="30"/>
      <c r="F97" s="30"/>
      <c r="I97" s="25"/>
      <c r="T97" s="50"/>
      <c r="U97" s="30"/>
      <c r="V97" s="30"/>
    </row>
    <row r="98">
      <c r="A98" s="30"/>
      <c r="B98" s="30"/>
      <c r="C98" s="30"/>
      <c r="D98" s="30"/>
      <c r="E98" s="30"/>
      <c r="F98" s="30"/>
      <c r="I98" s="25"/>
      <c r="T98" s="50"/>
      <c r="U98" s="30"/>
      <c r="V98" s="30"/>
    </row>
    <row r="99">
      <c r="A99" s="30"/>
      <c r="B99" s="30"/>
      <c r="C99" s="30"/>
      <c r="D99" s="30"/>
      <c r="E99" s="30"/>
      <c r="F99" s="30"/>
      <c r="I99" s="25"/>
      <c r="T99" s="50"/>
      <c r="U99" s="30"/>
      <c r="V99" s="30"/>
    </row>
    <row r="100">
      <c r="A100" s="30"/>
      <c r="B100" s="30"/>
      <c r="C100" s="30"/>
      <c r="D100" s="30"/>
      <c r="E100" s="30"/>
      <c r="F100" s="30"/>
      <c r="I100" s="25"/>
      <c r="T100" s="50"/>
      <c r="U100" s="30"/>
      <c r="V100" s="30"/>
    </row>
    <row r="101">
      <c r="A101" s="30"/>
      <c r="B101" s="30"/>
      <c r="C101" s="30"/>
      <c r="D101" s="30"/>
      <c r="E101" s="30"/>
      <c r="F101" s="30"/>
      <c r="I101" s="25"/>
      <c r="T101" s="50"/>
      <c r="U101" s="30"/>
      <c r="V101" s="30"/>
    </row>
    <row r="102">
      <c r="A102" s="30"/>
      <c r="B102" s="30"/>
      <c r="C102" s="30"/>
      <c r="D102" s="30"/>
      <c r="E102" s="30"/>
      <c r="F102" s="30"/>
      <c r="I102" s="25"/>
      <c r="T102" s="50"/>
      <c r="U102" s="30"/>
      <c r="V102" s="30"/>
    </row>
    <row r="103">
      <c r="A103" s="30"/>
      <c r="B103" s="30"/>
      <c r="C103" s="30"/>
      <c r="D103" s="30"/>
      <c r="E103" s="30"/>
      <c r="F103" s="30"/>
      <c r="I103" s="25"/>
      <c r="T103" s="50"/>
      <c r="U103" s="30"/>
      <c r="V103" s="30"/>
    </row>
    <row r="104">
      <c r="A104" s="30"/>
      <c r="B104" s="30"/>
      <c r="C104" s="30"/>
      <c r="D104" s="30"/>
      <c r="E104" s="30"/>
      <c r="F104" s="30"/>
      <c r="I104" s="25"/>
      <c r="T104" s="50"/>
      <c r="U104" s="30"/>
      <c r="V104" s="30"/>
    </row>
    <row r="105">
      <c r="A105" s="30"/>
      <c r="B105" s="30"/>
      <c r="C105" s="30"/>
      <c r="D105" s="30"/>
      <c r="E105" s="30"/>
      <c r="F105" s="30"/>
      <c r="I105" s="25"/>
      <c r="T105" s="50"/>
      <c r="U105" s="30"/>
      <c r="V105" s="30"/>
    </row>
    <row r="106">
      <c r="A106" s="30"/>
      <c r="B106" s="30"/>
      <c r="C106" s="30"/>
      <c r="D106" s="30"/>
      <c r="E106" s="30"/>
      <c r="F106" s="30"/>
      <c r="I106" s="25"/>
      <c r="T106" s="50"/>
      <c r="U106" s="30"/>
      <c r="V106" s="30"/>
    </row>
    <row r="107">
      <c r="A107" s="30"/>
      <c r="B107" s="30"/>
      <c r="C107" s="30"/>
      <c r="D107" s="30"/>
      <c r="E107" s="30"/>
      <c r="F107" s="30"/>
      <c r="I107" s="25"/>
      <c r="T107" s="50"/>
      <c r="U107" s="30"/>
      <c r="V107" s="30"/>
    </row>
    <row r="108">
      <c r="A108" s="30"/>
      <c r="B108" s="30"/>
      <c r="C108" s="30"/>
      <c r="D108" s="30"/>
      <c r="E108" s="30"/>
      <c r="F108" s="30"/>
      <c r="I108" s="25"/>
      <c r="T108" s="50"/>
      <c r="U108" s="30"/>
      <c r="V108" s="30"/>
    </row>
    <row r="109">
      <c r="A109" s="30"/>
      <c r="B109" s="30"/>
      <c r="C109" s="30"/>
      <c r="D109" s="30"/>
      <c r="E109" s="30"/>
      <c r="F109" s="30"/>
      <c r="I109" s="25"/>
      <c r="T109" s="50"/>
      <c r="U109" s="30"/>
      <c r="V109" s="30"/>
    </row>
    <row r="110">
      <c r="A110" s="30"/>
      <c r="B110" s="30"/>
      <c r="C110" s="30"/>
      <c r="D110" s="30"/>
      <c r="E110" s="30"/>
      <c r="F110" s="30"/>
      <c r="I110" s="25"/>
      <c r="T110" s="50"/>
      <c r="U110" s="30"/>
      <c r="V110" s="30"/>
    </row>
    <row r="111">
      <c r="A111" s="30"/>
      <c r="B111" s="30"/>
      <c r="C111" s="30"/>
      <c r="D111" s="30"/>
      <c r="E111" s="30"/>
      <c r="F111" s="30"/>
      <c r="I111" s="25"/>
      <c r="T111" s="50"/>
      <c r="U111" s="30"/>
      <c r="V111" s="30"/>
    </row>
    <row r="112">
      <c r="A112" s="30"/>
      <c r="B112" s="30"/>
      <c r="C112" s="30"/>
      <c r="D112" s="30"/>
      <c r="E112" s="30"/>
      <c r="F112" s="30"/>
      <c r="I112" s="25"/>
      <c r="T112" s="50"/>
      <c r="U112" s="30"/>
      <c r="V112" s="30"/>
    </row>
    <row r="113">
      <c r="A113" s="30"/>
      <c r="B113" s="30"/>
      <c r="C113" s="30"/>
      <c r="D113" s="30"/>
      <c r="E113" s="30"/>
      <c r="F113" s="30"/>
      <c r="I113" s="25"/>
      <c r="T113" s="50"/>
      <c r="U113" s="30"/>
      <c r="V113" s="30"/>
    </row>
    <row r="114">
      <c r="A114" s="30"/>
      <c r="B114" s="30"/>
      <c r="C114" s="30"/>
      <c r="D114" s="30"/>
      <c r="E114" s="30"/>
      <c r="F114" s="30"/>
      <c r="I114" s="25"/>
      <c r="T114" s="50"/>
      <c r="U114" s="30"/>
      <c r="V114" s="30"/>
    </row>
    <row r="115">
      <c r="A115" s="30"/>
      <c r="B115" s="30"/>
      <c r="C115" s="30"/>
      <c r="D115" s="30"/>
      <c r="E115" s="30"/>
      <c r="F115" s="30"/>
      <c r="I115" s="25"/>
      <c r="T115" s="50"/>
      <c r="U115" s="30"/>
      <c r="V115" s="30"/>
    </row>
    <row r="116">
      <c r="A116" s="30"/>
      <c r="B116" s="30"/>
      <c r="C116" s="30"/>
      <c r="D116" s="30"/>
      <c r="E116" s="30"/>
      <c r="F116" s="30"/>
      <c r="I116" s="25"/>
      <c r="T116" s="50"/>
      <c r="U116" s="30"/>
      <c r="V116" s="30"/>
    </row>
    <row r="117">
      <c r="A117" s="30"/>
      <c r="B117" s="30"/>
      <c r="C117" s="30"/>
      <c r="D117" s="30"/>
      <c r="E117" s="30"/>
      <c r="F117" s="30"/>
      <c r="I117" s="25"/>
      <c r="T117" s="50"/>
      <c r="U117" s="30"/>
      <c r="V117" s="30"/>
    </row>
    <row r="118">
      <c r="A118" s="30"/>
      <c r="B118" s="30"/>
      <c r="C118" s="30"/>
      <c r="D118" s="30"/>
      <c r="E118" s="30"/>
      <c r="F118" s="30"/>
      <c r="I118" s="25"/>
      <c r="T118" s="50"/>
      <c r="U118" s="30"/>
      <c r="V118" s="30"/>
    </row>
    <row r="119">
      <c r="A119" s="30"/>
      <c r="B119" s="30"/>
      <c r="C119" s="30"/>
      <c r="D119" s="30"/>
      <c r="E119" s="30"/>
      <c r="F119" s="30"/>
      <c r="I119" s="25"/>
      <c r="T119" s="50"/>
      <c r="U119" s="30"/>
      <c r="V119" s="30"/>
    </row>
    <row r="120">
      <c r="A120" s="30"/>
      <c r="B120" s="30"/>
      <c r="C120" s="30"/>
      <c r="D120" s="30"/>
      <c r="E120" s="30"/>
      <c r="F120" s="30"/>
      <c r="I120" s="25"/>
      <c r="T120" s="50"/>
      <c r="U120" s="30"/>
      <c r="V120" s="30"/>
    </row>
    <row r="121">
      <c r="A121" s="30"/>
      <c r="B121" s="30"/>
      <c r="C121" s="30"/>
      <c r="D121" s="30"/>
      <c r="E121" s="30"/>
      <c r="F121" s="30"/>
      <c r="I121" s="25"/>
      <c r="T121" s="50"/>
      <c r="U121" s="30"/>
      <c r="V121" s="30"/>
    </row>
    <row r="122">
      <c r="A122" s="30"/>
      <c r="B122" s="30"/>
      <c r="C122" s="30"/>
      <c r="D122" s="30"/>
      <c r="E122" s="30"/>
      <c r="F122" s="30"/>
      <c r="I122" s="25"/>
      <c r="T122" s="50"/>
      <c r="U122" s="30"/>
      <c r="V122" s="30"/>
    </row>
    <row r="123">
      <c r="A123" s="30"/>
      <c r="B123" s="30"/>
      <c r="C123" s="30"/>
      <c r="D123" s="30"/>
      <c r="E123" s="30"/>
      <c r="F123" s="30"/>
      <c r="I123" s="25"/>
      <c r="T123" s="50"/>
      <c r="U123" s="30"/>
      <c r="V123" s="30"/>
    </row>
    <row r="124">
      <c r="A124" s="30"/>
      <c r="B124" s="30"/>
      <c r="C124" s="30"/>
      <c r="D124" s="30"/>
      <c r="E124" s="30"/>
      <c r="F124" s="30"/>
      <c r="I124" s="25"/>
      <c r="T124" s="50"/>
      <c r="U124" s="30"/>
      <c r="V124" s="30"/>
    </row>
    <row r="125">
      <c r="A125" s="30"/>
      <c r="B125" s="30"/>
      <c r="C125" s="30"/>
      <c r="D125" s="30"/>
      <c r="E125" s="30"/>
      <c r="F125" s="30"/>
      <c r="I125" s="25"/>
      <c r="T125" s="50"/>
      <c r="U125" s="30"/>
      <c r="V125" s="30"/>
    </row>
    <row r="126">
      <c r="A126" s="30"/>
      <c r="B126" s="30"/>
      <c r="C126" s="30"/>
      <c r="D126" s="30"/>
      <c r="E126" s="30"/>
      <c r="F126" s="30"/>
      <c r="I126" s="25"/>
      <c r="T126" s="50"/>
      <c r="U126" s="30"/>
      <c r="V126" s="30"/>
    </row>
    <row r="127">
      <c r="A127" s="30"/>
      <c r="B127" s="30"/>
      <c r="C127" s="30"/>
      <c r="D127" s="30"/>
      <c r="E127" s="30"/>
      <c r="F127" s="30"/>
      <c r="I127" s="25"/>
      <c r="T127" s="50"/>
      <c r="U127" s="30"/>
      <c r="V127" s="30"/>
    </row>
    <row r="128">
      <c r="A128" s="30"/>
      <c r="B128" s="30"/>
      <c r="C128" s="30"/>
      <c r="D128" s="30"/>
      <c r="E128" s="30"/>
      <c r="F128" s="30"/>
      <c r="I128" s="25"/>
      <c r="T128" s="50"/>
      <c r="U128" s="30"/>
      <c r="V128" s="30"/>
    </row>
    <row r="129">
      <c r="A129" s="30"/>
      <c r="B129" s="30"/>
      <c r="C129" s="30"/>
      <c r="D129" s="30"/>
      <c r="E129" s="30"/>
      <c r="F129" s="30"/>
      <c r="I129" s="25"/>
      <c r="T129" s="50"/>
      <c r="U129" s="30"/>
      <c r="V129" s="30"/>
    </row>
    <row r="130">
      <c r="A130" s="30"/>
      <c r="B130" s="30"/>
      <c r="C130" s="30"/>
      <c r="D130" s="30"/>
      <c r="E130" s="30"/>
      <c r="F130" s="30"/>
      <c r="I130" s="25"/>
      <c r="T130" s="50"/>
      <c r="U130" s="30"/>
      <c r="V130" s="30"/>
    </row>
    <row r="131">
      <c r="A131" s="30"/>
      <c r="B131" s="30"/>
      <c r="C131" s="30"/>
      <c r="D131" s="30"/>
      <c r="E131" s="30"/>
      <c r="F131" s="30"/>
      <c r="I131" s="25"/>
      <c r="T131" s="50"/>
      <c r="U131" s="30"/>
      <c r="V131" s="30"/>
    </row>
    <row r="132">
      <c r="A132" s="30"/>
      <c r="B132" s="30"/>
      <c r="C132" s="30"/>
      <c r="D132" s="30"/>
      <c r="E132" s="30"/>
      <c r="F132" s="30"/>
      <c r="I132" s="25"/>
      <c r="T132" s="50"/>
      <c r="U132" s="30"/>
      <c r="V132" s="30"/>
    </row>
    <row r="133">
      <c r="A133" s="30"/>
      <c r="B133" s="30"/>
      <c r="C133" s="30"/>
      <c r="D133" s="30"/>
      <c r="E133" s="30"/>
      <c r="F133" s="30"/>
      <c r="I133" s="25"/>
      <c r="T133" s="50"/>
      <c r="U133" s="30"/>
      <c r="V133" s="30"/>
    </row>
    <row r="134">
      <c r="A134" s="30"/>
      <c r="B134" s="30"/>
      <c r="C134" s="30"/>
      <c r="D134" s="30"/>
      <c r="E134" s="30"/>
      <c r="F134" s="30"/>
      <c r="I134" s="25"/>
      <c r="T134" s="50"/>
      <c r="U134" s="30"/>
      <c r="V134" s="30"/>
    </row>
    <row r="135">
      <c r="A135" s="30"/>
      <c r="B135" s="30"/>
      <c r="C135" s="30"/>
      <c r="D135" s="30"/>
      <c r="E135" s="30"/>
      <c r="F135" s="30"/>
      <c r="I135" s="25"/>
      <c r="T135" s="50"/>
      <c r="U135" s="30"/>
      <c r="V135" s="30"/>
    </row>
    <row r="136">
      <c r="A136" s="30"/>
      <c r="B136" s="30"/>
      <c r="C136" s="30"/>
      <c r="D136" s="30"/>
      <c r="E136" s="30"/>
      <c r="F136" s="30"/>
      <c r="I136" s="25"/>
      <c r="T136" s="50"/>
      <c r="U136" s="30"/>
      <c r="V136" s="30"/>
    </row>
    <row r="137">
      <c r="A137" s="30"/>
      <c r="B137" s="30"/>
      <c r="C137" s="30"/>
      <c r="D137" s="30"/>
      <c r="E137" s="30"/>
      <c r="F137" s="30"/>
      <c r="I137" s="25"/>
      <c r="T137" s="50"/>
      <c r="U137" s="30"/>
      <c r="V137" s="30"/>
    </row>
    <row r="138">
      <c r="A138" s="30"/>
      <c r="B138" s="30"/>
      <c r="C138" s="30"/>
      <c r="D138" s="30"/>
      <c r="E138" s="30"/>
      <c r="F138" s="30"/>
      <c r="I138" s="25"/>
      <c r="T138" s="50"/>
      <c r="U138" s="30"/>
      <c r="V138" s="30"/>
    </row>
    <row r="139">
      <c r="A139" s="30"/>
      <c r="B139" s="30"/>
      <c r="C139" s="30"/>
      <c r="D139" s="30"/>
      <c r="E139" s="30"/>
      <c r="F139" s="30"/>
      <c r="I139" s="25"/>
      <c r="T139" s="50"/>
      <c r="U139" s="30"/>
      <c r="V139" s="30"/>
    </row>
    <row r="140">
      <c r="A140" s="30"/>
      <c r="B140" s="30"/>
      <c r="C140" s="30"/>
      <c r="D140" s="30"/>
      <c r="E140" s="30"/>
      <c r="F140" s="30"/>
      <c r="I140" s="25"/>
      <c r="T140" s="50"/>
      <c r="U140" s="30"/>
      <c r="V140" s="30"/>
    </row>
    <row r="141">
      <c r="A141" s="30"/>
      <c r="B141" s="30"/>
      <c r="C141" s="30"/>
      <c r="D141" s="30"/>
      <c r="E141" s="30"/>
      <c r="F141" s="30"/>
      <c r="I141" s="25"/>
      <c r="T141" s="50"/>
      <c r="U141" s="30"/>
      <c r="V141" s="30"/>
    </row>
    <row r="142">
      <c r="A142" s="30"/>
      <c r="B142" s="30"/>
      <c r="C142" s="30"/>
      <c r="D142" s="30"/>
      <c r="E142" s="30"/>
      <c r="F142" s="30"/>
      <c r="I142" s="25"/>
      <c r="T142" s="50"/>
      <c r="U142" s="30"/>
      <c r="V142" s="30"/>
    </row>
    <row r="143">
      <c r="A143" s="30"/>
      <c r="B143" s="30"/>
      <c r="C143" s="30"/>
      <c r="D143" s="30"/>
      <c r="E143" s="30"/>
      <c r="F143" s="30"/>
      <c r="I143" s="25"/>
      <c r="T143" s="50"/>
      <c r="U143" s="30"/>
      <c r="V143" s="30"/>
    </row>
    <row r="144">
      <c r="A144" s="30"/>
      <c r="B144" s="30"/>
      <c r="C144" s="30"/>
      <c r="D144" s="30"/>
      <c r="E144" s="30"/>
      <c r="F144" s="30"/>
      <c r="I144" s="25"/>
      <c r="T144" s="50"/>
      <c r="U144" s="30"/>
      <c r="V144" s="30"/>
    </row>
    <row r="145">
      <c r="A145" s="30"/>
      <c r="B145" s="30"/>
      <c r="C145" s="30"/>
      <c r="D145" s="30"/>
      <c r="E145" s="30"/>
      <c r="F145" s="30"/>
      <c r="I145" s="25"/>
      <c r="T145" s="50"/>
      <c r="U145" s="30"/>
      <c r="V145" s="30"/>
    </row>
    <row r="146">
      <c r="A146" s="30"/>
      <c r="B146" s="30"/>
      <c r="C146" s="30"/>
      <c r="D146" s="30"/>
      <c r="E146" s="30"/>
      <c r="F146" s="30"/>
      <c r="I146" s="25"/>
      <c r="T146" s="50"/>
      <c r="U146" s="30"/>
      <c r="V146" s="30"/>
    </row>
    <row r="147">
      <c r="A147" s="30"/>
      <c r="B147" s="30"/>
      <c r="C147" s="30"/>
      <c r="D147" s="30"/>
      <c r="E147" s="30"/>
      <c r="F147" s="30"/>
      <c r="I147" s="25"/>
      <c r="T147" s="50"/>
      <c r="U147" s="30"/>
      <c r="V147" s="30"/>
    </row>
    <row r="148">
      <c r="A148" s="30"/>
      <c r="B148" s="30"/>
      <c r="C148" s="30"/>
      <c r="D148" s="30"/>
      <c r="E148" s="30"/>
      <c r="F148" s="30"/>
      <c r="I148" s="25"/>
      <c r="T148" s="50"/>
      <c r="U148" s="30"/>
      <c r="V148" s="30"/>
    </row>
    <row r="149">
      <c r="A149" s="30"/>
      <c r="B149" s="30"/>
      <c r="C149" s="30"/>
      <c r="D149" s="30"/>
      <c r="E149" s="30"/>
      <c r="F149" s="30"/>
      <c r="I149" s="25"/>
      <c r="T149" s="50"/>
      <c r="U149" s="30"/>
      <c r="V149" s="30"/>
    </row>
    <row r="150">
      <c r="A150" s="30"/>
      <c r="B150" s="30"/>
      <c r="C150" s="30"/>
      <c r="D150" s="30"/>
      <c r="E150" s="30"/>
      <c r="F150" s="30"/>
      <c r="I150" s="25"/>
      <c r="T150" s="50"/>
      <c r="U150" s="30"/>
      <c r="V150" s="30"/>
    </row>
    <row r="151">
      <c r="A151" s="30"/>
      <c r="B151" s="30"/>
      <c r="C151" s="30"/>
      <c r="D151" s="30"/>
      <c r="E151" s="30"/>
      <c r="F151" s="30"/>
      <c r="I151" s="25"/>
      <c r="T151" s="50"/>
      <c r="U151" s="30"/>
      <c r="V151" s="30"/>
    </row>
    <row r="152">
      <c r="A152" s="30"/>
      <c r="B152" s="30"/>
      <c r="C152" s="30"/>
      <c r="D152" s="30"/>
      <c r="E152" s="30"/>
      <c r="F152" s="30"/>
      <c r="I152" s="25"/>
      <c r="T152" s="50"/>
      <c r="U152" s="30"/>
      <c r="V152" s="30"/>
    </row>
    <row r="153">
      <c r="A153" s="30"/>
      <c r="B153" s="30"/>
      <c r="C153" s="30"/>
      <c r="D153" s="30"/>
      <c r="E153" s="30"/>
      <c r="F153" s="30"/>
      <c r="I153" s="25"/>
      <c r="T153" s="50"/>
      <c r="U153" s="30"/>
      <c r="V153" s="30"/>
    </row>
    <row r="154">
      <c r="A154" s="30"/>
      <c r="B154" s="30"/>
      <c r="C154" s="30"/>
      <c r="D154" s="30"/>
      <c r="E154" s="30"/>
      <c r="F154" s="30"/>
      <c r="I154" s="25"/>
      <c r="T154" s="50"/>
      <c r="U154" s="30"/>
      <c r="V154" s="30"/>
    </row>
    <row r="155">
      <c r="A155" s="30"/>
      <c r="B155" s="30"/>
      <c r="C155" s="30"/>
      <c r="D155" s="30"/>
      <c r="E155" s="30"/>
      <c r="F155" s="30"/>
      <c r="I155" s="25"/>
      <c r="T155" s="50"/>
      <c r="U155" s="30"/>
      <c r="V155" s="30"/>
    </row>
    <row r="156">
      <c r="A156" s="30"/>
      <c r="B156" s="30"/>
      <c r="C156" s="30"/>
      <c r="D156" s="30"/>
      <c r="E156" s="30"/>
      <c r="F156" s="30"/>
      <c r="I156" s="25"/>
      <c r="T156" s="50"/>
      <c r="U156" s="30"/>
      <c r="V156" s="30"/>
    </row>
    <row r="157">
      <c r="A157" s="30"/>
      <c r="B157" s="30"/>
      <c r="C157" s="30"/>
      <c r="D157" s="30"/>
      <c r="E157" s="30"/>
      <c r="F157" s="30"/>
      <c r="I157" s="25"/>
      <c r="T157" s="50"/>
      <c r="U157" s="30"/>
      <c r="V157" s="30"/>
    </row>
    <row r="158">
      <c r="A158" s="30"/>
      <c r="B158" s="30"/>
      <c r="C158" s="30"/>
      <c r="D158" s="30"/>
      <c r="E158" s="30"/>
      <c r="F158" s="30"/>
      <c r="I158" s="25"/>
      <c r="T158" s="50"/>
      <c r="U158" s="30"/>
      <c r="V158" s="30"/>
    </row>
    <row r="159">
      <c r="A159" s="30"/>
      <c r="B159" s="30"/>
      <c r="C159" s="30"/>
      <c r="D159" s="30"/>
      <c r="E159" s="30"/>
      <c r="F159" s="30"/>
      <c r="I159" s="25"/>
      <c r="T159" s="50"/>
      <c r="U159" s="30"/>
      <c r="V159" s="30"/>
    </row>
    <row r="160">
      <c r="A160" s="30"/>
      <c r="B160" s="30"/>
      <c r="C160" s="30"/>
      <c r="D160" s="30"/>
      <c r="E160" s="30"/>
      <c r="F160" s="30"/>
      <c r="I160" s="25"/>
      <c r="T160" s="50"/>
      <c r="U160" s="30"/>
      <c r="V160" s="30"/>
    </row>
    <row r="161">
      <c r="A161" s="30"/>
      <c r="B161" s="30"/>
      <c r="C161" s="30"/>
      <c r="D161" s="30"/>
      <c r="E161" s="30"/>
      <c r="F161" s="30"/>
      <c r="I161" s="25"/>
      <c r="T161" s="50"/>
      <c r="U161" s="30"/>
      <c r="V161" s="30"/>
    </row>
    <row r="162">
      <c r="A162" s="30"/>
      <c r="B162" s="30"/>
      <c r="C162" s="30"/>
      <c r="D162" s="30"/>
      <c r="E162" s="30"/>
      <c r="F162" s="30"/>
      <c r="I162" s="25"/>
      <c r="T162" s="50"/>
      <c r="U162" s="30"/>
      <c r="V162" s="30"/>
    </row>
    <row r="163">
      <c r="A163" s="30"/>
      <c r="B163" s="30"/>
      <c r="C163" s="30"/>
      <c r="D163" s="30"/>
      <c r="E163" s="30"/>
      <c r="F163" s="30"/>
      <c r="I163" s="25"/>
      <c r="T163" s="50"/>
      <c r="U163" s="30"/>
      <c r="V163" s="30"/>
    </row>
    <row r="164">
      <c r="A164" s="30"/>
      <c r="B164" s="30"/>
      <c r="C164" s="30"/>
      <c r="D164" s="30"/>
      <c r="E164" s="30"/>
      <c r="F164" s="30"/>
      <c r="I164" s="25"/>
      <c r="T164" s="50"/>
      <c r="U164" s="30"/>
      <c r="V164" s="30"/>
    </row>
    <row r="165">
      <c r="A165" s="30"/>
      <c r="B165" s="30"/>
      <c r="C165" s="30"/>
      <c r="D165" s="30"/>
      <c r="E165" s="30"/>
      <c r="F165" s="30"/>
      <c r="I165" s="25"/>
      <c r="T165" s="50"/>
      <c r="U165" s="30"/>
      <c r="V165" s="30"/>
    </row>
    <row r="166">
      <c r="A166" s="30"/>
      <c r="B166" s="30"/>
      <c r="C166" s="30"/>
      <c r="D166" s="30"/>
      <c r="E166" s="30"/>
      <c r="F166" s="30"/>
      <c r="I166" s="25"/>
      <c r="T166" s="50"/>
      <c r="U166" s="30"/>
      <c r="V166" s="30"/>
    </row>
    <row r="167">
      <c r="A167" s="30"/>
      <c r="B167" s="30"/>
      <c r="C167" s="30"/>
      <c r="D167" s="30"/>
      <c r="E167" s="30"/>
      <c r="F167" s="30"/>
      <c r="I167" s="25"/>
      <c r="T167" s="50"/>
      <c r="U167" s="30"/>
      <c r="V167" s="30"/>
    </row>
    <row r="168">
      <c r="A168" s="30"/>
      <c r="B168" s="30"/>
      <c r="C168" s="30"/>
      <c r="D168" s="30"/>
      <c r="E168" s="30"/>
      <c r="F168" s="30"/>
      <c r="I168" s="25"/>
      <c r="T168" s="50"/>
      <c r="U168" s="30"/>
      <c r="V168" s="30"/>
    </row>
    <row r="169">
      <c r="A169" s="30"/>
      <c r="B169" s="30"/>
      <c r="C169" s="30"/>
      <c r="D169" s="30"/>
      <c r="E169" s="30"/>
      <c r="F169" s="30"/>
      <c r="I169" s="25"/>
      <c r="T169" s="50"/>
      <c r="U169" s="30"/>
      <c r="V169" s="30"/>
    </row>
    <row r="170">
      <c r="A170" s="30"/>
      <c r="B170" s="30"/>
      <c r="C170" s="30"/>
      <c r="D170" s="30"/>
      <c r="E170" s="30"/>
      <c r="F170" s="30"/>
      <c r="I170" s="25"/>
      <c r="T170" s="50"/>
      <c r="U170" s="30"/>
      <c r="V170" s="30"/>
    </row>
    <row r="171">
      <c r="A171" s="30"/>
      <c r="B171" s="30"/>
      <c r="C171" s="30"/>
      <c r="D171" s="30"/>
      <c r="E171" s="30"/>
      <c r="F171" s="30"/>
      <c r="I171" s="25"/>
      <c r="T171" s="50"/>
      <c r="U171" s="30"/>
      <c r="V171" s="30"/>
    </row>
    <row r="172">
      <c r="A172" s="30"/>
      <c r="B172" s="30"/>
      <c r="C172" s="30"/>
      <c r="D172" s="30"/>
      <c r="E172" s="30"/>
      <c r="F172" s="30"/>
      <c r="I172" s="25"/>
      <c r="T172" s="50"/>
      <c r="U172" s="30"/>
      <c r="V172" s="30"/>
    </row>
    <row r="173">
      <c r="A173" s="30"/>
      <c r="B173" s="30"/>
      <c r="C173" s="30"/>
      <c r="D173" s="30"/>
      <c r="E173" s="30"/>
      <c r="F173" s="30"/>
      <c r="I173" s="25"/>
      <c r="T173" s="50"/>
      <c r="U173" s="30"/>
      <c r="V173" s="30"/>
    </row>
    <row r="174">
      <c r="A174" s="30"/>
      <c r="B174" s="30"/>
      <c r="C174" s="30"/>
      <c r="D174" s="30"/>
      <c r="E174" s="30"/>
      <c r="F174" s="30"/>
      <c r="I174" s="25"/>
      <c r="T174" s="50"/>
      <c r="U174" s="30"/>
      <c r="V174" s="30"/>
    </row>
    <row r="175">
      <c r="A175" s="30"/>
      <c r="B175" s="30"/>
      <c r="C175" s="30"/>
      <c r="D175" s="30"/>
      <c r="E175" s="30"/>
      <c r="F175" s="30"/>
      <c r="I175" s="25"/>
      <c r="T175" s="50"/>
      <c r="U175" s="30"/>
      <c r="V175" s="30"/>
    </row>
    <row r="176">
      <c r="A176" s="30"/>
      <c r="B176" s="30"/>
      <c r="C176" s="30"/>
      <c r="D176" s="30"/>
      <c r="E176" s="30"/>
      <c r="F176" s="30"/>
      <c r="I176" s="25"/>
      <c r="T176" s="50"/>
      <c r="U176" s="30"/>
      <c r="V176" s="30"/>
    </row>
    <row r="177">
      <c r="A177" s="30"/>
      <c r="B177" s="30"/>
      <c r="C177" s="30"/>
      <c r="D177" s="30"/>
      <c r="E177" s="30"/>
      <c r="F177" s="30"/>
      <c r="I177" s="25"/>
      <c r="T177" s="50"/>
      <c r="U177" s="30"/>
      <c r="V177" s="30"/>
    </row>
    <row r="178">
      <c r="A178" s="30"/>
      <c r="B178" s="30"/>
      <c r="C178" s="30"/>
      <c r="D178" s="30"/>
      <c r="E178" s="30"/>
      <c r="F178" s="30"/>
      <c r="I178" s="25"/>
      <c r="T178" s="50"/>
      <c r="U178" s="30"/>
      <c r="V178" s="30"/>
    </row>
    <row r="179">
      <c r="A179" s="30"/>
      <c r="B179" s="30"/>
      <c r="C179" s="30"/>
      <c r="D179" s="30"/>
      <c r="E179" s="30"/>
      <c r="F179" s="30"/>
      <c r="I179" s="25"/>
      <c r="T179" s="50"/>
      <c r="U179" s="30"/>
      <c r="V179" s="30"/>
    </row>
    <row r="180">
      <c r="A180" s="30"/>
      <c r="B180" s="30"/>
      <c r="C180" s="30"/>
      <c r="D180" s="30"/>
      <c r="E180" s="30"/>
      <c r="F180" s="30"/>
      <c r="I180" s="25"/>
      <c r="T180" s="50"/>
      <c r="U180" s="30"/>
      <c r="V180" s="30"/>
    </row>
    <row r="181">
      <c r="A181" s="30"/>
      <c r="B181" s="30"/>
      <c r="C181" s="30"/>
      <c r="D181" s="30"/>
      <c r="E181" s="30"/>
      <c r="F181" s="30"/>
      <c r="I181" s="25"/>
      <c r="T181" s="50"/>
      <c r="U181" s="30"/>
      <c r="V181" s="30"/>
    </row>
    <row r="182">
      <c r="A182" s="30"/>
      <c r="B182" s="30"/>
      <c r="C182" s="30"/>
      <c r="D182" s="30"/>
      <c r="E182" s="30"/>
      <c r="F182" s="30"/>
      <c r="I182" s="25"/>
      <c r="T182" s="50"/>
      <c r="U182" s="30"/>
      <c r="V182" s="30"/>
    </row>
    <row r="183">
      <c r="A183" s="30"/>
      <c r="B183" s="30"/>
      <c r="C183" s="30"/>
      <c r="D183" s="30"/>
      <c r="E183" s="30"/>
      <c r="F183" s="30"/>
      <c r="I183" s="25"/>
      <c r="T183" s="50"/>
      <c r="U183" s="30"/>
      <c r="V183" s="30"/>
    </row>
    <row r="184">
      <c r="A184" s="30"/>
      <c r="B184" s="30"/>
      <c r="C184" s="30"/>
      <c r="D184" s="30"/>
      <c r="E184" s="30"/>
      <c r="F184" s="30"/>
      <c r="I184" s="25"/>
      <c r="T184" s="50"/>
      <c r="U184" s="30"/>
      <c r="V184" s="30"/>
    </row>
    <row r="185">
      <c r="A185" s="30"/>
      <c r="B185" s="30"/>
      <c r="C185" s="30"/>
      <c r="D185" s="30"/>
      <c r="E185" s="30"/>
      <c r="F185" s="30"/>
      <c r="I185" s="25"/>
      <c r="T185" s="50"/>
      <c r="U185" s="30"/>
      <c r="V185" s="30"/>
    </row>
    <row r="186">
      <c r="A186" s="30"/>
      <c r="B186" s="30"/>
      <c r="C186" s="30"/>
      <c r="D186" s="30"/>
      <c r="E186" s="30"/>
      <c r="F186" s="30"/>
      <c r="I186" s="25"/>
      <c r="T186" s="50"/>
      <c r="U186" s="30"/>
      <c r="V186" s="30"/>
    </row>
    <row r="187">
      <c r="A187" s="30"/>
      <c r="B187" s="30"/>
      <c r="C187" s="30"/>
      <c r="D187" s="30"/>
      <c r="E187" s="30"/>
      <c r="F187" s="30"/>
      <c r="I187" s="25"/>
      <c r="T187" s="50"/>
      <c r="U187" s="30"/>
      <c r="V187" s="30"/>
    </row>
    <row r="188">
      <c r="A188" s="30"/>
      <c r="B188" s="30"/>
      <c r="C188" s="30"/>
      <c r="D188" s="30"/>
      <c r="E188" s="30"/>
      <c r="F188" s="30"/>
      <c r="I188" s="25"/>
      <c r="T188" s="50"/>
      <c r="U188" s="30"/>
      <c r="V188" s="30"/>
    </row>
    <row r="189">
      <c r="A189" s="30"/>
      <c r="B189" s="30"/>
      <c r="C189" s="30"/>
      <c r="D189" s="30"/>
      <c r="E189" s="30"/>
      <c r="F189" s="30"/>
      <c r="I189" s="25"/>
      <c r="T189" s="50"/>
      <c r="U189" s="30"/>
      <c r="V189" s="30"/>
    </row>
    <row r="190">
      <c r="A190" s="30"/>
      <c r="B190" s="30"/>
      <c r="C190" s="30"/>
      <c r="D190" s="30"/>
      <c r="E190" s="30"/>
      <c r="F190" s="30"/>
      <c r="I190" s="25"/>
      <c r="T190" s="50"/>
      <c r="U190" s="30"/>
      <c r="V190" s="30"/>
    </row>
    <row r="191">
      <c r="A191" s="30"/>
      <c r="B191" s="30"/>
      <c r="C191" s="30"/>
      <c r="D191" s="30"/>
      <c r="E191" s="30"/>
      <c r="F191" s="30"/>
      <c r="I191" s="25"/>
      <c r="T191" s="50"/>
      <c r="U191" s="30"/>
      <c r="V191" s="30"/>
    </row>
    <row r="192">
      <c r="A192" s="30"/>
      <c r="B192" s="30"/>
      <c r="C192" s="30"/>
      <c r="D192" s="30"/>
      <c r="E192" s="30"/>
      <c r="F192" s="30"/>
      <c r="I192" s="25"/>
      <c r="T192" s="50"/>
      <c r="U192" s="30"/>
      <c r="V192" s="30"/>
    </row>
    <row r="193">
      <c r="A193" s="30"/>
      <c r="B193" s="30"/>
      <c r="C193" s="30"/>
      <c r="D193" s="30"/>
      <c r="E193" s="30"/>
      <c r="F193" s="30"/>
      <c r="I193" s="25"/>
      <c r="T193" s="50"/>
      <c r="U193" s="30"/>
      <c r="V193" s="30"/>
    </row>
    <row r="194">
      <c r="A194" s="30"/>
      <c r="B194" s="30"/>
      <c r="C194" s="30"/>
      <c r="D194" s="30"/>
      <c r="E194" s="30"/>
      <c r="F194" s="30"/>
      <c r="I194" s="25"/>
      <c r="T194" s="50"/>
      <c r="U194" s="30"/>
      <c r="V194" s="30"/>
    </row>
    <row r="195">
      <c r="A195" s="30"/>
      <c r="B195" s="30"/>
      <c r="C195" s="30"/>
      <c r="D195" s="30"/>
      <c r="E195" s="30"/>
      <c r="F195" s="30"/>
      <c r="I195" s="25"/>
      <c r="T195" s="50"/>
      <c r="U195" s="30"/>
      <c r="V195" s="30"/>
    </row>
    <row r="196">
      <c r="A196" s="30"/>
      <c r="B196" s="30"/>
      <c r="C196" s="30"/>
      <c r="D196" s="30"/>
      <c r="E196" s="30"/>
      <c r="F196" s="30"/>
      <c r="I196" s="25"/>
      <c r="T196" s="50"/>
      <c r="U196" s="30"/>
      <c r="V196" s="30"/>
    </row>
    <row r="197">
      <c r="A197" s="30"/>
      <c r="B197" s="30"/>
      <c r="C197" s="30"/>
      <c r="D197" s="30"/>
      <c r="E197" s="30"/>
      <c r="F197" s="30"/>
      <c r="I197" s="25"/>
      <c r="T197" s="50"/>
      <c r="U197" s="30"/>
      <c r="V197" s="30"/>
    </row>
    <row r="198">
      <c r="A198" s="30"/>
      <c r="B198" s="30"/>
      <c r="C198" s="30"/>
      <c r="D198" s="30"/>
      <c r="E198" s="30"/>
      <c r="F198" s="30"/>
      <c r="I198" s="25"/>
      <c r="T198" s="50"/>
      <c r="U198" s="30"/>
      <c r="V198" s="30"/>
    </row>
    <row r="199">
      <c r="A199" s="30"/>
      <c r="B199" s="30"/>
      <c r="C199" s="30"/>
      <c r="D199" s="30"/>
      <c r="E199" s="30"/>
      <c r="F199" s="30"/>
      <c r="I199" s="25"/>
      <c r="T199" s="50"/>
      <c r="U199" s="30"/>
      <c r="V199" s="30"/>
    </row>
    <row r="200">
      <c r="A200" s="30"/>
      <c r="B200" s="30"/>
      <c r="C200" s="30"/>
      <c r="D200" s="30"/>
      <c r="E200" s="30"/>
      <c r="F200" s="30"/>
      <c r="I200" s="25"/>
      <c r="T200" s="50"/>
      <c r="U200" s="30"/>
      <c r="V200" s="30"/>
    </row>
    <row r="201">
      <c r="A201" s="30"/>
      <c r="B201" s="30"/>
      <c r="C201" s="30"/>
      <c r="D201" s="30"/>
      <c r="E201" s="30"/>
      <c r="F201" s="30"/>
      <c r="I201" s="25"/>
      <c r="T201" s="50"/>
      <c r="U201" s="30"/>
      <c r="V201" s="30"/>
    </row>
    <row r="202">
      <c r="A202" s="30"/>
      <c r="B202" s="30"/>
      <c r="C202" s="30"/>
      <c r="D202" s="30"/>
      <c r="E202" s="30"/>
      <c r="F202" s="30"/>
      <c r="I202" s="25"/>
      <c r="T202" s="50"/>
      <c r="U202" s="30"/>
      <c r="V202" s="30"/>
    </row>
    <row r="203">
      <c r="A203" s="30"/>
      <c r="B203" s="30"/>
      <c r="C203" s="30"/>
      <c r="D203" s="30"/>
      <c r="E203" s="30"/>
      <c r="F203" s="30"/>
      <c r="I203" s="25"/>
      <c r="T203" s="50"/>
      <c r="U203" s="30"/>
      <c r="V203" s="30"/>
    </row>
    <row r="204">
      <c r="A204" s="30"/>
      <c r="B204" s="30"/>
      <c r="C204" s="30"/>
      <c r="D204" s="30"/>
      <c r="E204" s="30"/>
      <c r="F204" s="30"/>
      <c r="I204" s="25"/>
      <c r="T204" s="50"/>
      <c r="U204" s="30"/>
      <c r="V204" s="30"/>
    </row>
    <row r="205">
      <c r="A205" s="30"/>
      <c r="B205" s="30"/>
      <c r="C205" s="30"/>
      <c r="D205" s="30"/>
      <c r="E205" s="30"/>
      <c r="F205" s="30"/>
      <c r="I205" s="25"/>
      <c r="T205" s="50"/>
      <c r="U205" s="30"/>
      <c r="V205" s="30"/>
    </row>
    <row r="206">
      <c r="A206" s="30"/>
      <c r="B206" s="30"/>
      <c r="C206" s="30"/>
      <c r="D206" s="30"/>
      <c r="E206" s="30"/>
      <c r="F206" s="30"/>
      <c r="I206" s="25"/>
      <c r="T206" s="50"/>
      <c r="U206" s="30"/>
      <c r="V206" s="30"/>
    </row>
    <row r="207">
      <c r="A207" s="30"/>
      <c r="B207" s="30"/>
      <c r="C207" s="30"/>
      <c r="D207" s="30"/>
      <c r="E207" s="30"/>
      <c r="F207" s="30"/>
      <c r="I207" s="25"/>
      <c r="T207" s="50"/>
      <c r="U207" s="30"/>
      <c r="V207" s="30"/>
    </row>
    <row r="208">
      <c r="A208" s="30"/>
      <c r="B208" s="30"/>
      <c r="C208" s="30"/>
      <c r="D208" s="30"/>
      <c r="E208" s="30"/>
      <c r="F208" s="30"/>
      <c r="I208" s="25"/>
      <c r="T208" s="50"/>
      <c r="U208" s="30"/>
      <c r="V208" s="30"/>
    </row>
    <row r="209">
      <c r="A209" s="30"/>
      <c r="B209" s="30"/>
      <c r="C209" s="30"/>
      <c r="D209" s="30"/>
      <c r="E209" s="30"/>
      <c r="F209" s="30"/>
      <c r="I209" s="25"/>
      <c r="T209" s="50"/>
      <c r="U209" s="30"/>
      <c r="V209" s="30"/>
    </row>
    <row r="210">
      <c r="A210" s="30"/>
      <c r="B210" s="30"/>
      <c r="C210" s="30"/>
      <c r="D210" s="30"/>
      <c r="E210" s="30"/>
      <c r="F210" s="30"/>
      <c r="I210" s="25"/>
      <c r="T210" s="50"/>
      <c r="U210" s="30"/>
      <c r="V210" s="30"/>
    </row>
    <row r="211">
      <c r="A211" s="30"/>
      <c r="B211" s="30"/>
      <c r="C211" s="30"/>
      <c r="D211" s="30"/>
      <c r="E211" s="30"/>
      <c r="F211" s="30"/>
      <c r="I211" s="25"/>
      <c r="T211" s="50"/>
      <c r="U211" s="30"/>
      <c r="V211" s="30"/>
    </row>
    <row r="212">
      <c r="A212" s="30"/>
      <c r="B212" s="30"/>
      <c r="C212" s="30"/>
      <c r="D212" s="30"/>
      <c r="E212" s="30"/>
      <c r="F212" s="30"/>
      <c r="I212" s="25"/>
      <c r="T212" s="50"/>
      <c r="U212" s="30"/>
      <c r="V212" s="30"/>
    </row>
    <row r="213">
      <c r="A213" s="30"/>
      <c r="B213" s="30"/>
      <c r="C213" s="30"/>
      <c r="D213" s="30"/>
      <c r="E213" s="30"/>
      <c r="F213" s="30"/>
      <c r="I213" s="25"/>
      <c r="T213" s="50"/>
      <c r="U213" s="30"/>
      <c r="V213" s="30"/>
    </row>
    <row r="214">
      <c r="A214" s="30"/>
      <c r="B214" s="30"/>
      <c r="C214" s="30"/>
      <c r="D214" s="30"/>
      <c r="E214" s="30"/>
      <c r="F214" s="30"/>
      <c r="I214" s="25"/>
      <c r="T214" s="50"/>
      <c r="U214" s="30"/>
      <c r="V214" s="30"/>
    </row>
    <row r="215">
      <c r="A215" s="30"/>
      <c r="B215" s="30"/>
      <c r="C215" s="30"/>
      <c r="D215" s="30"/>
      <c r="E215" s="30"/>
      <c r="F215" s="30"/>
      <c r="I215" s="25"/>
      <c r="T215" s="50"/>
      <c r="U215" s="30"/>
      <c r="V215" s="30"/>
    </row>
    <row r="216">
      <c r="A216" s="30"/>
      <c r="B216" s="30"/>
      <c r="C216" s="30"/>
      <c r="D216" s="30"/>
      <c r="E216" s="30"/>
      <c r="F216" s="30"/>
      <c r="I216" s="25"/>
      <c r="T216" s="50"/>
      <c r="U216" s="30"/>
      <c r="V216" s="30"/>
    </row>
    <row r="217">
      <c r="A217" s="30"/>
      <c r="B217" s="30"/>
      <c r="C217" s="30"/>
      <c r="D217" s="30"/>
      <c r="E217" s="30"/>
      <c r="F217" s="30"/>
      <c r="I217" s="25"/>
      <c r="T217" s="50"/>
      <c r="U217" s="30"/>
      <c r="V217" s="30"/>
    </row>
    <row r="218">
      <c r="A218" s="30"/>
      <c r="B218" s="30"/>
      <c r="C218" s="30"/>
      <c r="D218" s="30"/>
      <c r="E218" s="30"/>
      <c r="F218" s="30"/>
      <c r="I218" s="25"/>
      <c r="T218" s="50"/>
      <c r="U218" s="30"/>
      <c r="V218" s="30"/>
    </row>
    <row r="219">
      <c r="A219" s="30"/>
      <c r="B219" s="30"/>
      <c r="C219" s="30"/>
      <c r="D219" s="30"/>
      <c r="E219" s="30"/>
      <c r="F219" s="30"/>
      <c r="I219" s="25"/>
      <c r="T219" s="50"/>
      <c r="U219" s="30"/>
      <c r="V219" s="30"/>
    </row>
    <row r="220">
      <c r="A220" s="30"/>
      <c r="B220" s="30"/>
      <c r="C220" s="30"/>
      <c r="D220" s="30"/>
      <c r="E220" s="30"/>
      <c r="F220" s="30"/>
      <c r="I220" s="25"/>
      <c r="T220" s="50"/>
      <c r="U220" s="30"/>
      <c r="V220" s="30"/>
    </row>
    <row r="221">
      <c r="A221" s="30"/>
      <c r="B221" s="30"/>
      <c r="C221" s="30"/>
      <c r="D221" s="30"/>
      <c r="E221" s="30"/>
      <c r="F221" s="30"/>
      <c r="I221" s="25"/>
      <c r="T221" s="50"/>
      <c r="U221" s="30"/>
      <c r="V221" s="30"/>
    </row>
    <row r="222">
      <c r="A222" s="30"/>
      <c r="B222" s="30"/>
      <c r="C222" s="30"/>
      <c r="D222" s="30"/>
      <c r="E222" s="30"/>
      <c r="F222" s="30"/>
      <c r="I222" s="25"/>
      <c r="T222" s="50"/>
      <c r="U222" s="30"/>
      <c r="V222" s="30"/>
    </row>
    <row r="223">
      <c r="A223" s="30"/>
      <c r="B223" s="30"/>
      <c r="C223" s="30"/>
      <c r="D223" s="30"/>
      <c r="E223" s="30"/>
      <c r="F223" s="30"/>
      <c r="I223" s="25"/>
      <c r="T223" s="50"/>
      <c r="U223" s="30"/>
      <c r="V223" s="30"/>
    </row>
    <row r="224">
      <c r="A224" s="30"/>
      <c r="B224" s="30"/>
      <c r="C224" s="30"/>
      <c r="D224" s="30"/>
      <c r="E224" s="30"/>
      <c r="F224" s="30"/>
      <c r="I224" s="25"/>
      <c r="T224" s="50"/>
      <c r="U224" s="30"/>
      <c r="V224" s="30"/>
    </row>
    <row r="225">
      <c r="A225" s="30"/>
      <c r="B225" s="30"/>
      <c r="C225" s="30"/>
      <c r="D225" s="30"/>
      <c r="E225" s="30"/>
      <c r="F225" s="30"/>
      <c r="I225" s="25"/>
      <c r="T225" s="50"/>
      <c r="U225" s="30"/>
      <c r="V225" s="30"/>
    </row>
    <row r="226">
      <c r="A226" s="30"/>
      <c r="B226" s="30"/>
      <c r="C226" s="30"/>
      <c r="D226" s="30"/>
      <c r="E226" s="30"/>
      <c r="F226" s="30"/>
      <c r="I226" s="25"/>
      <c r="T226" s="50"/>
      <c r="U226" s="30"/>
      <c r="V226" s="30"/>
    </row>
    <row r="227">
      <c r="A227" s="30"/>
      <c r="B227" s="30"/>
      <c r="C227" s="30"/>
      <c r="D227" s="30"/>
      <c r="E227" s="30"/>
      <c r="F227" s="30"/>
      <c r="I227" s="25"/>
      <c r="T227" s="50"/>
      <c r="U227" s="30"/>
      <c r="V227" s="30"/>
    </row>
    <row r="228">
      <c r="A228" s="30"/>
      <c r="B228" s="30"/>
      <c r="C228" s="30"/>
      <c r="D228" s="30"/>
      <c r="E228" s="30"/>
      <c r="F228" s="30"/>
      <c r="I228" s="25"/>
      <c r="T228" s="50"/>
      <c r="U228" s="30"/>
      <c r="V228" s="30"/>
    </row>
    <row r="229">
      <c r="A229" s="30"/>
      <c r="B229" s="30"/>
      <c r="C229" s="30"/>
      <c r="D229" s="30"/>
      <c r="E229" s="30"/>
      <c r="F229" s="30"/>
      <c r="I229" s="25"/>
      <c r="T229" s="50"/>
      <c r="U229" s="30"/>
      <c r="V229" s="30"/>
    </row>
    <row r="230">
      <c r="A230" s="30"/>
      <c r="B230" s="30"/>
      <c r="C230" s="30"/>
      <c r="D230" s="30"/>
      <c r="E230" s="30"/>
      <c r="F230" s="30"/>
      <c r="I230" s="25"/>
      <c r="T230" s="50"/>
      <c r="U230" s="30"/>
      <c r="V230" s="30"/>
    </row>
    <row r="231">
      <c r="A231" s="30"/>
      <c r="B231" s="30"/>
      <c r="C231" s="30"/>
      <c r="D231" s="30"/>
      <c r="E231" s="30"/>
      <c r="F231" s="30"/>
      <c r="I231" s="25"/>
      <c r="T231" s="50"/>
      <c r="U231" s="30"/>
      <c r="V231" s="30"/>
    </row>
    <row r="232">
      <c r="A232" s="30"/>
      <c r="B232" s="30"/>
      <c r="C232" s="30"/>
      <c r="D232" s="30"/>
      <c r="E232" s="30"/>
      <c r="F232" s="30"/>
      <c r="I232" s="25"/>
      <c r="T232" s="50"/>
      <c r="U232" s="30"/>
      <c r="V232" s="30"/>
    </row>
    <row r="233">
      <c r="A233" s="30"/>
      <c r="B233" s="30"/>
      <c r="C233" s="30"/>
      <c r="D233" s="30"/>
      <c r="E233" s="30"/>
      <c r="F233" s="30"/>
      <c r="I233" s="25"/>
      <c r="T233" s="50"/>
      <c r="U233" s="30"/>
      <c r="V233" s="30"/>
    </row>
    <row r="234">
      <c r="A234" s="30"/>
      <c r="B234" s="30"/>
      <c r="C234" s="30"/>
      <c r="D234" s="30"/>
      <c r="E234" s="30"/>
      <c r="F234" s="30"/>
      <c r="I234" s="25"/>
      <c r="T234" s="50"/>
      <c r="U234" s="30"/>
      <c r="V234" s="30"/>
    </row>
    <row r="235">
      <c r="A235" s="30"/>
      <c r="B235" s="30"/>
      <c r="C235" s="30"/>
      <c r="D235" s="30"/>
      <c r="E235" s="30"/>
      <c r="F235" s="30"/>
      <c r="I235" s="25"/>
      <c r="T235" s="50"/>
      <c r="U235" s="30"/>
      <c r="V235" s="30"/>
    </row>
    <row r="236">
      <c r="A236" s="30"/>
      <c r="B236" s="30"/>
      <c r="C236" s="30"/>
      <c r="D236" s="30"/>
      <c r="E236" s="30"/>
      <c r="F236" s="30"/>
      <c r="I236" s="25"/>
      <c r="T236" s="50"/>
      <c r="U236" s="30"/>
      <c r="V236" s="30"/>
    </row>
    <row r="237">
      <c r="A237" s="30"/>
      <c r="B237" s="30"/>
      <c r="C237" s="30"/>
      <c r="D237" s="30"/>
      <c r="E237" s="30"/>
      <c r="F237" s="30"/>
      <c r="I237" s="25"/>
      <c r="T237" s="50"/>
      <c r="U237" s="30"/>
      <c r="V237" s="30"/>
    </row>
    <row r="238">
      <c r="A238" s="30"/>
      <c r="B238" s="30"/>
      <c r="C238" s="30"/>
      <c r="D238" s="30"/>
      <c r="E238" s="30"/>
      <c r="F238" s="30"/>
      <c r="I238" s="25"/>
      <c r="T238" s="50"/>
      <c r="U238" s="30"/>
      <c r="V238" s="30"/>
    </row>
    <row r="239">
      <c r="A239" s="30"/>
      <c r="B239" s="30"/>
      <c r="C239" s="30"/>
      <c r="D239" s="30"/>
      <c r="E239" s="30"/>
      <c r="F239" s="30"/>
      <c r="I239" s="25"/>
      <c r="T239" s="50"/>
      <c r="U239" s="30"/>
      <c r="V239" s="30"/>
    </row>
    <row r="240">
      <c r="A240" s="30"/>
      <c r="B240" s="30"/>
      <c r="C240" s="30"/>
      <c r="D240" s="30"/>
      <c r="E240" s="30"/>
      <c r="F240" s="30"/>
      <c r="I240" s="25"/>
      <c r="T240" s="50"/>
      <c r="U240" s="30"/>
      <c r="V240" s="30"/>
    </row>
    <row r="241">
      <c r="A241" s="30"/>
      <c r="B241" s="30"/>
      <c r="C241" s="30"/>
      <c r="D241" s="30"/>
      <c r="E241" s="30"/>
      <c r="F241" s="30"/>
      <c r="I241" s="25"/>
      <c r="T241" s="50"/>
      <c r="U241" s="30"/>
      <c r="V241" s="30"/>
    </row>
    <row r="242">
      <c r="A242" s="30"/>
      <c r="B242" s="30"/>
      <c r="C242" s="30"/>
      <c r="D242" s="30"/>
      <c r="E242" s="30"/>
      <c r="F242" s="30"/>
      <c r="I242" s="25"/>
      <c r="T242" s="50"/>
      <c r="U242" s="30"/>
      <c r="V242" s="30"/>
    </row>
    <row r="243">
      <c r="A243" s="30"/>
      <c r="B243" s="30"/>
      <c r="C243" s="30"/>
      <c r="D243" s="30"/>
      <c r="E243" s="30"/>
      <c r="F243" s="30"/>
      <c r="I243" s="25"/>
      <c r="T243" s="50"/>
      <c r="U243" s="30"/>
      <c r="V243" s="30"/>
    </row>
    <row r="244">
      <c r="A244" s="30"/>
      <c r="B244" s="30"/>
      <c r="C244" s="30"/>
      <c r="D244" s="30"/>
      <c r="E244" s="30"/>
      <c r="F244" s="30"/>
      <c r="I244" s="25"/>
      <c r="T244" s="50"/>
      <c r="U244" s="30"/>
      <c r="V244" s="30"/>
    </row>
    <row r="245">
      <c r="A245" s="30"/>
      <c r="B245" s="30"/>
      <c r="C245" s="30"/>
      <c r="D245" s="30"/>
      <c r="E245" s="30"/>
      <c r="F245" s="30"/>
      <c r="I245" s="25"/>
      <c r="T245" s="50"/>
      <c r="U245" s="30"/>
      <c r="V245" s="30"/>
    </row>
    <row r="246">
      <c r="A246" s="30"/>
      <c r="B246" s="30"/>
      <c r="C246" s="30"/>
      <c r="D246" s="30"/>
      <c r="E246" s="30"/>
      <c r="F246" s="30"/>
      <c r="I246" s="25"/>
      <c r="T246" s="50"/>
      <c r="U246" s="30"/>
      <c r="V246" s="30"/>
    </row>
    <row r="247">
      <c r="A247" s="30"/>
      <c r="B247" s="30"/>
      <c r="C247" s="30"/>
      <c r="D247" s="30"/>
      <c r="E247" s="30"/>
      <c r="F247" s="30"/>
      <c r="I247" s="25"/>
      <c r="T247" s="50"/>
      <c r="U247" s="30"/>
      <c r="V247" s="30"/>
    </row>
    <row r="248">
      <c r="A248" s="30"/>
      <c r="B248" s="30"/>
      <c r="C248" s="30"/>
      <c r="D248" s="30"/>
      <c r="E248" s="30"/>
      <c r="F248" s="30"/>
      <c r="I248" s="25"/>
      <c r="T248" s="50"/>
      <c r="U248" s="30"/>
      <c r="V248" s="30"/>
    </row>
    <row r="249">
      <c r="A249" s="30"/>
      <c r="B249" s="30"/>
      <c r="C249" s="30"/>
      <c r="D249" s="30"/>
      <c r="E249" s="30"/>
      <c r="F249" s="30"/>
      <c r="I249" s="25"/>
      <c r="T249" s="50"/>
      <c r="U249" s="30"/>
      <c r="V249" s="30"/>
    </row>
    <row r="250">
      <c r="A250" s="30"/>
      <c r="B250" s="30"/>
      <c r="C250" s="30"/>
      <c r="D250" s="30"/>
      <c r="E250" s="30"/>
      <c r="F250" s="30"/>
      <c r="I250" s="25"/>
      <c r="T250" s="50"/>
      <c r="U250" s="30"/>
      <c r="V250" s="30"/>
    </row>
    <row r="251">
      <c r="A251" s="30"/>
      <c r="B251" s="30"/>
      <c r="C251" s="30"/>
      <c r="D251" s="30"/>
      <c r="E251" s="30"/>
      <c r="F251" s="30"/>
      <c r="I251" s="25"/>
      <c r="T251" s="50"/>
      <c r="U251" s="30"/>
      <c r="V251" s="30"/>
    </row>
    <row r="252">
      <c r="A252" s="30"/>
      <c r="B252" s="30"/>
      <c r="C252" s="30"/>
      <c r="D252" s="30"/>
      <c r="E252" s="30"/>
      <c r="F252" s="30"/>
      <c r="I252" s="25"/>
      <c r="T252" s="50"/>
      <c r="U252" s="30"/>
      <c r="V252" s="30"/>
    </row>
    <row r="253">
      <c r="A253" s="30"/>
      <c r="B253" s="30"/>
      <c r="C253" s="30"/>
      <c r="D253" s="30"/>
      <c r="E253" s="30"/>
      <c r="F253" s="30"/>
      <c r="I253" s="25"/>
      <c r="T253" s="50"/>
      <c r="U253" s="30"/>
      <c r="V253" s="30"/>
    </row>
    <row r="254">
      <c r="A254" s="30"/>
      <c r="B254" s="30"/>
      <c r="C254" s="30"/>
      <c r="D254" s="30"/>
      <c r="E254" s="30"/>
      <c r="F254" s="30"/>
      <c r="I254" s="25"/>
      <c r="T254" s="50"/>
      <c r="U254" s="30"/>
      <c r="V254" s="30"/>
    </row>
    <row r="255">
      <c r="A255" s="30"/>
      <c r="B255" s="30"/>
      <c r="C255" s="30"/>
      <c r="D255" s="30"/>
      <c r="E255" s="30"/>
      <c r="F255" s="30"/>
      <c r="I255" s="25"/>
      <c r="T255" s="50"/>
      <c r="U255" s="30"/>
      <c r="V255" s="30"/>
    </row>
    <row r="256">
      <c r="A256" s="30"/>
      <c r="B256" s="30"/>
      <c r="C256" s="30"/>
      <c r="D256" s="30"/>
      <c r="E256" s="30"/>
      <c r="F256" s="30"/>
      <c r="I256" s="25"/>
      <c r="T256" s="50"/>
      <c r="U256" s="30"/>
      <c r="V256" s="30"/>
    </row>
    <row r="257">
      <c r="A257" s="30"/>
      <c r="B257" s="30"/>
      <c r="C257" s="30"/>
      <c r="D257" s="30"/>
      <c r="E257" s="30"/>
      <c r="F257" s="30"/>
      <c r="I257" s="25"/>
      <c r="T257" s="50"/>
      <c r="U257" s="30"/>
      <c r="V257" s="30"/>
    </row>
    <row r="258">
      <c r="A258" s="30"/>
      <c r="B258" s="30"/>
      <c r="C258" s="30"/>
      <c r="D258" s="30"/>
      <c r="E258" s="30"/>
      <c r="F258" s="30"/>
      <c r="I258" s="25"/>
      <c r="T258" s="50"/>
      <c r="U258" s="30"/>
      <c r="V258" s="30"/>
    </row>
    <row r="259">
      <c r="A259" s="30"/>
      <c r="B259" s="30"/>
      <c r="C259" s="30"/>
      <c r="D259" s="30"/>
      <c r="E259" s="30"/>
      <c r="F259" s="30"/>
      <c r="I259" s="25"/>
      <c r="T259" s="50"/>
      <c r="U259" s="30"/>
      <c r="V259" s="30"/>
    </row>
    <row r="260">
      <c r="A260" s="30"/>
      <c r="B260" s="30"/>
      <c r="C260" s="30"/>
      <c r="D260" s="30"/>
      <c r="E260" s="30"/>
      <c r="F260" s="30"/>
      <c r="I260" s="25"/>
      <c r="T260" s="50"/>
      <c r="U260" s="30"/>
      <c r="V260" s="30"/>
    </row>
    <row r="261">
      <c r="A261" s="30"/>
      <c r="B261" s="30"/>
      <c r="C261" s="30"/>
      <c r="D261" s="30"/>
      <c r="E261" s="30"/>
      <c r="F261" s="30"/>
      <c r="I261" s="25"/>
      <c r="T261" s="50"/>
      <c r="U261" s="30"/>
      <c r="V261" s="30"/>
    </row>
    <row r="262">
      <c r="A262" s="30"/>
      <c r="B262" s="30"/>
      <c r="C262" s="30"/>
      <c r="D262" s="30"/>
      <c r="E262" s="30"/>
      <c r="F262" s="30"/>
      <c r="I262" s="25"/>
      <c r="T262" s="50"/>
      <c r="U262" s="30"/>
      <c r="V262" s="30"/>
    </row>
    <row r="263">
      <c r="A263" s="30"/>
      <c r="B263" s="30"/>
      <c r="C263" s="30"/>
      <c r="D263" s="30"/>
      <c r="E263" s="30"/>
      <c r="F263" s="30"/>
      <c r="I263" s="25"/>
      <c r="T263" s="50"/>
      <c r="U263" s="30"/>
      <c r="V263" s="30"/>
    </row>
    <row r="264">
      <c r="A264" s="30"/>
      <c r="B264" s="30"/>
      <c r="C264" s="30"/>
      <c r="D264" s="30"/>
      <c r="E264" s="30"/>
      <c r="F264" s="30"/>
      <c r="I264" s="25"/>
      <c r="T264" s="50"/>
      <c r="U264" s="30"/>
      <c r="V264" s="30"/>
    </row>
    <row r="265">
      <c r="A265" s="30"/>
      <c r="B265" s="30"/>
      <c r="C265" s="30"/>
      <c r="D265" s="30"/>
      <c r="E265" s="30"/>
      <c r="F265" s="30"/>
      <c r="I265" s="25"/>
      <c r="T265" s="50"/>
      <c r="U265" s="30"/>
      <c r="V265" s="30"/>
    </row>
    <row r="266">
      <c r="A266" s="30"/>
      <c r="B266" s="30"/>
      <c r="C266" s="30"/>
      <c r="D266" s="30"/>
      <c r="E266" s="30"/>
      <c r="F266" s="30"/>
      <c r="I266" s="25"/>
      <c r="T266" s="50"/>
      <c r="U266" s="30"/>
      <c r="V266" s="30"/>
    </row>
    <row r="267">
      <c r="A267" s="30"/>
      <c r="B267" s="30"/>
      <c r="C267" s="30"/>
      <c r="D267" s="30"/>
      <c r="E267" s="30"/>
      <c r="F267" s="30"/>
      <c r="I267" s="25"/>
      <c r="T267" s="50"/>
      <c r="U267" s="30"/>
      <c r="V267" s="30"/>
    </row>
    <row r="268">
      <c r="A268" s="30"/>
      <c r="B268" s="30"/>
      <c r="C268" s="30"/>
      <c r="D268" s="30"/>
      <c r="E268" s="30"/>
      <c r="F268" s="30"/>
      <c r="I268" s="25"/>
      <c r="T268" s="50"/>
      <c r="U268" s="30"/>
      <c r="V268" s="30"/>
    </row>
    <row r="269">
      <c r="A269" s="30"/>
      <c r="B269" s="30"/>
      <c r="C269" s="30"/>
      <c r="D269" s="30"/>
      <c r="E269" s="30"/>
      <c r="F269" s="30"/>
      <c r="I269" s="25"/>
      <c r="T269" s="50"/>
      <c r="U269" s="30"/>
      <c r="V269" s="30"/>
    </row>
    <row r="270">
      <c r="A270" s="30"/>
      <c r="B270" s="30"/>
      <c r="C270" s="30"/>
      <c r="D270" s="30"/>
      <c r="E270" s="30"/>
      <c r="F270" s="30"/>
      <c r="I270" s="25"/>
      <c r="T270" s="50"/>
      <c r="U270" s="30"/>
      <c r="V270" s="30"/>
    </row>
    <row r="271">
      <c r="A271" s="30"/>
      <c r="B271" s="30"/>
      <c r="C271" s="30"/>
      <c r="D271" s="30"/>
      <c r="E271" s="30"/>
      <c r="F271" s="30"/>
      <c r="I271" s="25"/>
      <c r="T271" s="50"/>
      <c r="U271" s="30"/>
      <c r="V271" s="30"/>
    </row>
    <row r="272">
      <c r="A272" s="30"/>
      <c r="B272" s="30"/>
      <c r="C272" s="30"/>
      <c r="D272" s="30"/>
      <c r="E272" s="30"/>
      <c r="F272" s="30"/>
      <c r="I272" s="25"/>
      <c r="T272" s="50"/>
      <c r="U272" s="30"/>
      <c r="V272" s="30"/>
    </row>
    <row r="273">
      <c r="A273" s="30"/>
      <c r="B273" s="30"/>
      <c r="C273" s="30"/>
      <c r="D273" s="30"/>
      <c r="E273" s="30"/>
      <c r="F273" s="30"/>
      <c r="I273" s="25"/>
      <c r="T273" s="50"/>
      <c r="U273" s="30"/>
      <c r="V273" s="30"/>
    </row>
    <row r="274">
      <c r="A274" s="30"/>
      <c r="B274" s="30"/>
      <c r="C274" s="30"/>
      <c r="D274" s="30"/>
      <c r="E274" s="30"/>
      <c r="F274" s="30"/>
      <c r="I274" s="25"/>
      <c r="T274" s="50"/>
      <c r="U274" s="30"/>
      <c r="V274" s="30"/>
    </row>
    <row r="275">
      <c r="A275" s="30"/>
      <c r="B275" s="30"/>
      <c r="C275" s="30"/>
      <c r="D275" s="30"/>
      <c r="E275" s="30"/>
      <c r="F275" s="30"/>
      <c r="I275" s="25"/>
      <c r="T275" s="50"/>
      <c r="U275" s="30"/>
      <c r="V275" s="30"/>
    </row>
    <row r="276">
      <c r="A276" s="30"/>
      <c r="B276" s="30"/>
      <c r="C276" s="30"/>
      <c r="D276" s="30"/>
      <c r="E276" s="30"/>
      <c r="F276" s="30"/>
      <c r="I276" s="25"/>
      <c r="T276" s="50"/>
      <c r="U276" s="30"/>
      <c r="V276" s="30"/>
    </row>
    <row r="277">
      <c r="A277" s="30"/>
      <c r="B277" s="30"/>
      <c r="C277" s="30"/>
      <c r="D277" s="30"/>
      <c r="E277" s="30"/>
      <c r="F277" s="30"/>
      <c r="I277" s="25"/>
      <c r="T277" s="50"/>
      <c r="U277" s="30"/>
      <c r="V277" s="30"/>
    </row>
    <row r="278">
      <c r="A278" s="30"/>
      <c r="B278" s="30"/>
      <c r="C278" s="30"/>
      <c r="D278" s="30"/>
      <c r="E278" s="30"/>
      <c r="F278" s="30"/>
      <c r="I278" s="25"/>
      <c r="T278" s="50"/>
      <c r="U278" s="30"/>
      <c r="V278" s="30"/>
    </row>
    <row r="279">
      <c r="A279" s="30"/>
      <c r="B279" s="30"/>
      <c r="C279" s="30"/>
      <c r="D279" s="30"/>
      <c r="E279" s="30"/>
      <c r="F279" s="30"/>
      <c r="I279" s="25"/>
      <c r="T279" s="50"/>
      <c r="U279" s="30"/>
      <c r="V279" s="30"/>
    </row>
    <row r="280">
      <c r="A280" s="30"/>
      <c r="B280" s="30"/>
      <c r="C280" s="30"/>
      <c r="D280" s="30"/>
      <c r="E280" s="30"/>
      <c r="F280" s="30"/>
      <c r="I280" s="25"/>
      <c r="T280" s="50"/>
      <c r="U280" s="30"/>
      <c r="V280" s="30"/>
    </row>
    <row r="281">
      <c r="A281" s="30"/>
      <c r="B281" s="30"/>
      <c r="C281" s="30"/>
      <c r="D281" s="30"/>
      <c r="E281" s="30"/>
      <c r="F281" s="30"/>
      <c r="I281" s="25"/>
      <c r="T281" s="50"/>
      <c r="U281" s="30"/>
      <c r="V281" s="30"/>
    </row>
    <row r="282">
      <c r="A282" s="30"/>
      <c r="B282" s="30"/>
      <c r="C282" s="30"/>
      <c r="D282" s="30"/>
      <c r="E282" s="30"/>
      <c r="F282" s="30"/>
      <c r="I282" s="25"/>
      <c r="T282" s="50"/>
      <c r="U282" s="30"/>
      <c r="V282" s="30"/>
    </row>
    <row r="283">
      <c r="A283" s="30"/>
      <c r="B283" s="30"/>
      <c r="C283" s="30"/>
      <c r="D283" s="30"/>
      <c r="E283" s="30"/>
      <c r="F283" s="30"/>
      <c r="I283" s="25"/>
      <c r="T283" s="50"/>
      <c r="U283" s="30"/>
      <c r="V283" s="30"/>
    </row>
    <row r="284">
      <c r="A284" s="30"/>
      <c r="B284" s="30"/>
      <c r="C284" s="30"/>
      <c r="D284" s="30"/>
      <c r="E284" s="30"/>
      <c r="F284" s="30"/>
      <c r="I284" s="25"/>
      <c r="T284" s="50"/>
      <c r="U284" s="30"/>
      <c r="V284" s="30"/>
    </row>
    <row r="285">
      <c r="A285" s="30"/>
      <c r="B285" s="30"/>
      <c r="C285" s="30"/>
      <c r="D285" s="30"/>
      <c r="E285" s="30"/>
      <c r="F285" s="30"/>
      <c r="I285" s="25"/>
      <c r="T285" s="50"/>
      <c r="U285" s="30"/>
      <c r="V285" s="30"/>
    </row>
    <row r="286">
      <c r="A286" s="30"/>
      <c r="B286" s="30"/>
      <c r="C286" s="30"/>
      <c r="D286" s="30"/>
      <c r="E286" s="30"/>
      <c r="F286" s="30"/>
      <c r="I286" s="25"/>
      <c r="T286" s="50"/>
      <c r="U286" s="30"/>
      <c r="V286" s="30"/>
    </row>
    <row r="287">
      <c r="A287" s="30"/>
      <c r="B287" s="30"/>
      <c r="C287" s="30"/>
      <c r="D287" s="30"/>
      <c r="E287" s="30"/>
      <c r="F287" s="30"/>
      <c r="I287" s="25"/>
      <c r="T287" s="50"/>
      <c r="U287" s="30"/>
      <c r="V287" s="30"/>
    </row>
    <row r="288">
      <c r="A288" s="30"/>
      <c r="B288" s="30"/>
      <c r="C288" s="30"/>
      <c r="D288" s="30"/>
      <c r="E288" s="30"/>
      <c r="F288" s="30"/>
      <c r="I288" s="25"/>
      <c r="T288" s="50"/>
      <c r="U288" s="30"/>
      <c r="V288" s="30"/>
    </row>
    <row r="289">
      <c r="A289" s="30"/>
      <c r="B289" s="30"/>
      <c r="C289" s="30"/>
      <c r="D289" s="30"/>
      <c r="E289" s="30"/>
      <c r="F289" s="30"/>
      <c r="I289" s="25"/>
      <c r="T289" s="50"/>
      <c r="U289" s="30"/>
      <c r="V289" s="30"/>
    </row>
    <row r="290">
      <c r="A290" s="30"/>
      <c r="B290" s="30"/>
      <c r="C290" s="30"/>
      <c r="D290" s="30"/>
      <c r="E290" s="30"/>
      <c r="F290" s="30"/>
      <c r="I290" s="25"/>
      <c r="T290" s="50"/>
      <c r="U290" s="30"/>
      <c r="V290" s="30"/>
    </row>
    <row r="291">
      <c r="A291" s="30"/>
      <c r="B291" s="30"/>
      <c r="C291" s="30"/>
      <c r="D291" s="30"/>
      <c r="E291" s="30"/>
      <c r="F291" s="30"/>
      <c r="I291" s="25"/>
      <c r="T291" s="50"/>
      <c r="U291" s="30"/>
      <c r="V291" s="30"/>
    </row>
    <row r="292">
      <c r="A292" s="30"/>
      <c r="B292" s="30"/>
      <c r="C292" s="30"/>
      <c r="D292" s="30"/>
      <c r="E292" s="30"/>
      <c r="F292" s="30"/>
      <c r="I292" s="25"/>
      <c r="T292" s="50"/>
      <c r="U292" s="30"/>
      <c r="V292" s="30"/>
    </row>
    <row r="293">
      <c r="A293" s="30"/>
      <c r="B293" s="30"/>
      <c r="C293" s="30"/>
      <c r="D293" s="30"/>
      <c r="E293" s="30"/>
      <c r="F293" s="30"/>
      <c r="I293" s="25"/>
      <c r="T293" s="50"/>
      <c r="U293" s="30"/>
      <c r="V293" s="30"/>
    </row>
    <row r="294">
      <c r="A294" s="30"/>
      <c r="B294" s="30"/>
      <c r="C294" s="30"/>
      <c r="D294" s="30"/>
      <c r="E294" s="30"/>
      <c r="F294" s="30"/>
      <c r="I294" s="25"/>
      <c r="T294" s="50"/>
      <c r="U294" s="30"/>
      <c r="V294" s="30"/>
    </row>
    <row r="295">
      <c r="A295" s="30"/>
      <c r="B295" s="30"/>
      <c r="C295" s="30"/>
      <c r="D295" s="30"/>
      <c r="E295" s="30"/>
      <c r="F295" s="30"/>
      <c r="I295" s="25"/>
      <c r="T295" s="50"/>
      <c r="U295" s="30"/>
      <c r="V295" s="30"/>
    </row>
    <row r="296">
      <c r="A296" s="30"/>
      <c r="B296" s="30"/>
      <c r="C296" s="30"/>
      <c r="D296" s="30"/>
      <c r="E296" s="30"/>
      <c r="F296" s="30"/>
      <c r="I296" s="25"/>
      <c r="T296" s="50"/>
      <c r="U296" s="30"/>
      <c r="V296" s="30"/>
    </row>
    <row r="297">
      <c r="A297" s="30"/>
      <c r="B297" s="30"/>
      <c r="C297" s="30"/>
      <c r="D297" s="30"/>
      <c r="E297" s="30"/>
      <c r="F297" s="30"/>
      <c r="I297" s="25"/>
      <c r="T297" s="50"/>
      <c r="U297" s="30"/>
      <c r="V297" s="30"/>
    </row>
    <row r="298">
      <c r="A298" s="30"/>
      <c r="B298" s="30"/>
      <c r="C298" s="30"/>
      <c r="D298" s="30"/>
      <c r="E298" s="30"/>
      <c r="F298" s="30"/>
      <c r="I298" s="25"/>
      <c r="T298" s="50"/>
      <c r="U298" s="30"/>
      <c r="V298" s="30"/>
    </row>
    <row r="299">
      <c r="A299" s="30"/>
      <c r="B299" s="30"/>
      <c r="C299" s="30"/>
      <c r="D299" s="30"/>
      <c r="E299" s="30"/>
      <c r="F299" s="30"/>
      <c r="I299" s="25"/>
      <c r="T299" s="50"/>
      <c r="U299" s="30"/>
      <c r="V299" s="30"/>
    </row>
    <row r="300">
      <c r="A300" s="30"/>
      <c r="B300" s="30"/>
      <c r="C300" s="30"/>
      <c r="D300" s="30"/>
      <c r="E300" s="30"/>
      <c r="F300" s="30"/>
      <c r="I300" s="25"/>
      <c r="T300" s="50"/>
      <c r="U300" s="30"/>
      <c r="V300" s="30"/>
    </row>
    <row r="301">
      <c r="A301" s="30"/>
      <c r="B301" s="30"/>
      <c r="C301" s="30"/>
      <c r="D301" s="30"/>
      <c r="E301" s="30"/>
      <c r="F301" s="30"/>
      <c r="I301" s="25"/>
      <c r="T301" s="50"/>
      <c r="U301" s="30"/>
      <c r="V301" s="30"/>
    </row>
    <row r="302">
      <c r="A302" s="30"/>
      <c r="B302" s="30"/>
      <c r="C302" s="30"/>
      <c r="D302" s="30"/>
      <c r="E302" s="30"/>
      <c r="F302" s="30"/>
      <c r="I302" s="25"/>
      <c r="T302" s="50"/>
      <c r="U302" s="30"/>
      <c r="V302" s="30"/>
    </row>
    <row r="303">
      <c r="A303" s="30"/>
      <c r="B303" s="30"/>
      <c r="C303" s="30"/>
      <c r="D303" s="30"/>
      <c r="E303" s="30"/>
      <c r="F303" s="30"/>
      <c r="I303" s="25"/>
      <c r="T303" s="50"/>
      <c r="U303" s="30"/>
      <c r="V303" s="30"/>
    </row>
    <row r="304">
      <c r="A304" s="30"/>
      <c r="B304" s="30"/>
      <c r="C304" s="30"/>
      <c r="D304" s="30"/>
      <c r="E304" s="30"/>
      <c r="F304" s="30"/>
      <c r="I304" s="25"/>
      <c r="T304" s="50"/>
      <c r="U304" s="30"/>
      <c r="V304" s="30"/>
    </row>
    <row r="305">
      <c r="A305" s="30"/>
      <c r="B305" s="30"/>
      <c r="C305" s="30"/>
      <c r="D305" s="30"/>
      <c r="E305" s="30"/>
      <c r="F305" s="30"/>
      <c r="I305" s="25"/>
      <c r="T305" s="50"/>
      <c r="U305" s="30"/>
      <c r="V305" s="30"/>
    </row>
    <row r="306">
      <c r="A306" s="30"/>
      <c r="B306" s="30"/>
      <c r="C306" s="30"/>
      <c r="D306" s="30"/>
      <c r="E306" s="30"/>
      <c r="F306" s="30"/>
      <c r="I306" s="25"/>
      <c r="T306" s="50"/>
      <c r="U306" s="30"/>
      <c r="V306" s="30"/>
    </row>
    <row r="307">
      <c r="A307" s="30"/>
      <c r="B307" s="30"/>
      <c r="C307" s="30"/>
      <c r="D307" s="30"/>
      <c r="E307" s="30"/>
      <c r="F307" s="30"/>
      <c r="I307" s="25"/>
      <c r="T307" s="50"/>
      <c r="U307" s="30"/>
      <c r="V307" s="30"/>
    </row>
    <row r="308">
      <c r="A308" s="30"/>
      <c r="B308" s="30"/>
      <c r="C308" s="30"/>
      <c r="D308" s="30"/>
      <c r="E308" s="30"/>
      <c r="F308" s="30"/>
      <c r="I308" s="25"/>
      <c r="T308" s="50"/>
      <c r="U308" s="30"/>
      <c r="V308" s="30"/>
    </row>
    <row r="309">
      <c r="A309" s="30"/>
      <c r="B309" s="30"/>
      <c r="C309" s="30"/>
      <c r="D309" s="30"/>
      <c r="E309" s="30"/>
      <c r="F309" s="30"/>
      <c r="I309" s="25"/>
      <c r="T309" s="50"/>
      <c r="U309" s="30"/>
      <c r="V309" s="30"/>
    </row>
    <row r="310">
      <c r="A310" s="30"/>
      <c r="B310" s="30"/>
      <c r="C310" s="30"/>
      <c r="D310" s="30"/>
      <c r="E310" s="30"/>
      <c r="F310" s="30"/>
      <c r="I310" s="25"/>
      <c r="T310" s="50"/>
      <c r="U310" s="30"/>
      <c r="V310" s="30"/>
    </row>
    <row r="311">
      <c r="A311" s="30"/>
      <c r="B311" s="30"/>
      <c r="C311" s="30"/>
      <c r="D311" s="30"/>
      <c r="E311" s="30"/>
      <c r="F311" s="30"/>
      <c r="I311" s="25"/>
      <c r="T311" s="50"/>
      <c r="U311" s="30"/>
      <c r="V311" s="30"/>
    </row>
    <row r="312">
      <c r="A312" s="30"/>
      <c r="B312" s="30"/>
      <c r="C312" s="30"/>
      <c r="D312" s="30"/>
      <c r="E312" s="30"/>
      <c r="F312" s="30"/>
      <c r="I312" s="25"/>
      <c r="T312" s="50"/>
      <c r="U312" s="30"/>
      <c r="V312" s="30"/>
    </row>
    <row r="313">
      <c r="A313" s="30"/>
      <c r="B313" s="30"/>
      <c r="C313" s="30"/>
      <c r="D313" s="30"/>
      <c r="E313" s="30"/>
      <c r="F313" s="30"/>
      <c r="I313" s="25"/>
      <c r="T313" s="50"/>
      <c r="U313" s="30"/>
      <c r="V313" s="30"/>
    </row>
    <row r="314">
      <c r="A314" s="30"/>
      <c r="B314" s="30"/>
      <c r="C314" s="30"/>
      <c r="D314" s="30"/>
      <c r="E314" s="30"/>
      <c r="F314" s="30"/>
      <c r="I314" s="25"/>
      <c r="T314" s="50"/>
      <c r="U314" s="30"/>
      <c r="V314" s="30"/>
    </row>
    <row r="315">
      <c r="A315" s="30"/>
      <c r="B315" s="30"/>
      <c r="C315" s="30"/>
      <c r="D315" s="30"/>
      <c r="E315" s="30"/>
      <c r="F315" s="30"/>
      <c r="I315" s="25"/>
      <c r="T315" s="50"/>
      <c r="U315" s="30"/>
      <c r="V315" s="30"/>
    </row>
    <row r="316">
      <c r="A316" s="30"/>
      <c r="B316" s="30"/>
      <c r="C316" s="30"/>
      <c r="D316" s="30"/>
      <c r="E316" s="30"/>
      <c r="F316" s="30"/>
      <c r="I316" s="25"/>
      <c r="T316" s="50"/>
      <c r="U316" s="30"/>
      <c r="V316" s="30"/>
    </row>
    <row r="317">
      <c r="A317" s="30"/>
      <c r="B317" s="30"/>
      <c r="C317" s="30"/>
      <c r="D317" s="30"/>
      <c r="E317" s="30"/>
      <c r="F317" s="30"/>
      <c r="I317" s="25"/>
      <c r="T317" s="50"/>
      <c r="U317" s="30"/>
      <c r="V317" s="30"/>
    </row>
    <row r="318">
      <c r="A318" s="30"/>
      <c r="B318" s="30"/>
      <c r="C318" s="30"/>
      <c r="D318" s="30"/>
      <c r="E318" s="30"/>
      <c r="F318" s="30"/>
      <c r="I318" s="25"/>
      <c r="T318" s="50"/>
      <c r="U318" s="30"/>
      <c r="V318" s="30"/>
    </row>
    <row r="319">
      <c r="A319" s="30"/>
      <c r="B319" s="30"/>
      <c r="C319" s="30"/>
      <c r="D319" s="30"/>
      <c r="E319" s="30"/>
      <c r="F319" s="30"/>
      <c r="I319" s="25"/>
      <c r="T319" s="50"/>
      <c r="U319" s="30"/>
      <c r="V319" s="30"/>
    </row>
    <row r="320">
      <c r="A320" s="30"/>
      <c r="B320" s="30"/>
      <c r="C320" s="30"/>
      <c r="D320" s="30"/>
      <c r="E320" s="30"/>
      <c r="F320" s="30"/>
      <c r="I320" s="25"/>
      <c r="T320" s="50"/>
      <c r="U320" s="30"/>
      <c r="V320" s="30"/>
    </row>
    <row r="321">
      <c r="A321" s="30"/>
      <c r="B321" s="30"/>
      <c r="C321" s="30"/>
      <c r="D321" s="30"/>
      <c r="E321" s="30"/>
      <c r="F321" s="30"/>
      <c r="I321" s="25"/>
      <c r="T321" s="50"/>
      <c r="U321" s="30"/>
      <c r="V321" s="30"/>
    </row>
    <row r="322">
      <c r="A322" s="30"/>
      <c r="B322" s="30"/>
      <c r="C322" s="30"/>
      <c r="D322" s="30"/>
      <c r="E322" s="30"/>
      <c r="F322" s="30"/>
      <c r="I322" s="25"/>
      <c r="T322" s="50"/>
      <c r="U322" s="30"/>
      <c r="V322" s="30"/>
    </row>
    <row r="323">
      <c r="A323" s="30"/>
      <c r="B323" s="30"/>
      <c r="C323" s="30"/>
      <c r="D323" s="30"/>
      <c r="E323" s="30"/>
      <c r="F323" s="30"/>
      <c r="I323" s="25"/>
      <c r="T323" s="50"/>
      <c r="U323" s="30"/>
      <c r="V323" s="30"/>
    </row>
    <row r="324">
      <c r="A324" s="30"/>
      <c r="B324" s="30"/>
      <c r="C324" s="30"/>
      <c r="D324" s="30"/>
      <c r="E324" s="30"/>
      <c r="F324" s="30"/>
      <c r="I324" s="25"/>
      <c r="T324" s="50"/>
      <c r="U324" s="30"/>
      <c r="V324" s="30"/>
    </row>
    <row r="325">
      <c r="A325" s="30"/>
      <c r="B325" s="30"/>
      <c r="C325" s="30"/>
      <c r="D325" s="30"/>
      <c r="E325" s="30"/>
      <c r="F325" s="30"/>
      <c r="I325" s="25"/>
      <c r="T325" s="50"/>
      <c r="U325" s="30"/>
      <c r="V325" s="30"/>
    </row>
    <row r="326">
      <c r="A326" s="30"/>
      <c r="B326" s="30"/>
      <c r="C326" s="30"/>
      <c r="D326" s="30"/>
      <c r="E326" s="30"/>
      <c r="F326" s="30"/>
      <c r="I326" s="25"/>
      <c r="T326" s="50"/>
      <c r="U326" s="30"/>
      <c r="V326" s="30"/>
    </row>
    <row r="327">
      <c r="A327" s="30"/>
      <c r="B327" s="30"/>
      <c r="C327" s="30"/>
      <c r="D327" s="30"/>
      <c r="E327" s="30"/>
      <c r="F327" s="30"/>
      <c r="I327" s="25"/>
      <c r="T327" s="50"/>
      <c r="U327" s="30"/>
      <c r="V327" s="30"/>
    </row>
    <row r="328">
      <c r="A328" s="30"/>
      <c r="B328" s="30"/>
      <c r="C328" s="30"/>
      <c r="D328" s="30"/>
      <c r="E328" s="30"/>
      <c r="F328" s="30"/>
      <c r="I328" s="25"/>
      <c r="T328" s="50"/>
      <c r="U328" s="30"/>
      <c r="V328" s="30"/>
    </row>
    <row r="329">
      <c r="A329" s="30"/>
      <c r="B329" s="30"/>
      <c r="C329" s="30"/>
      <c r="D329" s="30"/>
      <c r="E329" s="30"/>
      <c r="F329" s="30"/>
      <c r="I329" s="25"/>
      <c r="T329" s="50"/>
      <c r="U329" s="30"/>
      <c r="V329" s="30"/>
    </row>
    <row r="330">
      <c r="A330" s="30"/>
      <c r="B330" s="30"/>
      <c r="C330" s="30"/>
      <c r="D330" s="30"/>
      <c r="E330" s="30"/>
      <c r="F330" s="30"/>
      <c r="I330" s="25"/>
      <c r="T330" s="50"/>
      <c r="U330" s="30"/>
      <c r="V330" s="30"/>
    </row>
    <row r="331">
      <c r="A331" s="30"/>
      <c r="B331" s="30"/>
      <c r="C331" s="30"/>
      <c r="D331" s="30"/>
      <c r="E331" s="30"/>
      <c r="F331" s="30"/>
      <c r="I331" s="25"/>
      <c r="T331" s="50"/>
      <c r="U331" s="30"/>
      <c r="V331" s="30"/>
    </row>
    <row r="332">
      <c r="A332" s="30"/>
      <c r="B332" s="30"/>
      <c r="C332" s="30"/>
      <c r="D332" s="30"/>
      <c r="E332" s="30"/>
      <c r="F332" s="30"/>
      <c r="I332" s="25"/>
      <c r="T332" s="50"/>
      <c r="U332" s="30"/>
      <c r="V332" s="30"/>
    </row>
    <row r="333">
      <c r="A333" s="30"/>
      <c r="B333" s="30"/>
      <c r="C333" s="30"/>
      <c r="D333" s="30"/>
      <c r="E333" s="30"/>
      <c r="F333" s="30"/>
      <c r="I333" s="25"/>
      <c r="T333" s="50"/>
      <c r="U333" s="30"/>
      <c r="V333" s="30"/>
    </row>
    <row r="334">
      <c r="A334" s="30"/>
      <c r="B334" s="30"/>
      <c r="C334" s="30"/>
      <c r="D334" s="30"/>
      <c r="E334" s="30"/>
      <c r="F334" s="30"/>
      <c r="I334" s="25"/>
      <c r="T334" s="50"/>
      <c r="U334" s="30"/>
      <c r="V334" s="30"/>
    </row>
    <row r="335">
      <c r="A335" s="30"/>
      <c r="B335" s="30"/>
      <c r="C335" s="30"/>
      <c r="D335" s="30"/>
      <c r="E335" s="30"/>
      <c r="F335" s="30"/>
      <c r="I335" s="25"/>
      <c r="T335" s="50"/>
      <c r="U335" s="30"/>
      <c r="V335" s="30"/>
    </row>
    <row r="336">
      <c r="A336" s="30"/>
      <c r="B336" s="30"/>
      <c r="C336" s="30"/>
      <c r="D336" s="30"/>
      <c r="E336" s="30"/>
      <c r="F336" s="30"/>
      <c r="I336" s="25"/>
      <c r="T336" s="50"/>
      <c r="U336" s="30"/>
      <c r="V336" s="30"/>
    </row>
    <row r="337">
      <c r="A337" s="30"/>
      <c r="B337" s="30"/>
      <c r="C337" s="30"/>
      <c r="D337" s="30"/>
      <c r="E337" s="30"/>
      <c r="F337" s="30"/>
      <c r="I337" s="25"/>
      <c r="T337" s="50"/>
      <c r="U337" s="30"/>
      <c r="V337" s="30"/>
    </row>
    <row r="338">
      <c r="A338" s="30"/>
      <c r="B338" s="30"/>
      <c r="C338" s="30"/>
      <c r="D338" s="30"/>
      <c r="E338" s="30"/>
      <c r="F338" s="30"/>
      <c r="I338" s="25"/>
      <c r="T338" s="50"/>
      <c r="U338" s="30"/>
      <c r="V338" s="30"/>
    </row>
    <row r="339">
      <c r="A339" s="30"/>
      <c r="B339" s="30"/>
      <c r="C339" s="30"/>
      <c r="D339" s="30"/>
      <c r="E339" s="30"/>
      <c r="F339" s="30"/>
      <c r="I339" s="25"/>
      <c r="T339" s="50"/>
      <c r="U339" s="30"/>
      <c r="V339" s="30"/>
    </row>
    <row r="340">
      <c r="A340" s="30"/>
      <c r="B340" s="30"/>
      <c r="C340" s="30"/>
      <c r="D340" s="30"/>
      <c r="E340" s="30"/>
      <c r="F340" s="30"/>
      <c r="I340" s="25"/>
      <c r="T340" s="50"/>
      <c r="U340" s="30"/>
      <c r="V340" s="30"/>
    </row>
    <row r="341">
      <c r="A341" s="30"/>
      <c r="B341" s="30"/>
      <c r="C341" s="30"/>
      <c r="D341" s="30"/>
      <c r="E341" s="30"/>
      <c r="F341" s="30"/>
      <c r="I341" s="25"/>
      <c r="T341" s="50"/>
      <c r="U341" s="30"/>
      <c r="V341" s="30"/>
    </row>
    <row r="342">
      <c r="A342" s="30"/>
      <c r="B342" s="30"/>
      <c r="C342" s="30"/>
      <c r="D342" s="30"/>
      <c r="E342" s="30"/>
      <c r="F342" s="30"/>
      <c r="I342" s="25"/>
      <c r="T342" s="50"/>
      <c r="U342" s="30"/>
      <c r="V342" s="30"/>
    </row>
    <row r="343">
      <c r="A343" s="30"/>
      <c r="B343" s="30"/>
      <c r="C343" s="30"/>
      <c r="D343" s="30"/>
      <c r="E343" s="30"/>
      <c r="F343" s="30"/>
      <c r="I343" s="25"/>
      <c r="T343" s="50"/>
      <c r="U343" s="30"/>
      <c r="V343" s="30"/>
    </row>
    <row r="344">
      <c r="A344" s="30"/>
      <c r="B344" s="30"/>
      <c r="C344" s="30"/>
      <c r="D344" s="30"/>
      <c r="E344" s="30"/>
      <c r="F344" s="30"/>
      <c r="I344" s="25"/>
      <c r="T344" s="50"/>
      <c r="U344" s="30"/>
      <c r="V344" s="30"/>
    </row>
    <row r="345">
      <c r="A345" s="30"/>
      <c r="B345" s="30"/>
      <c r="C345" s="30"/>
      <c r="D345" s="30"/>
      <c r="E345" s="30"/>
      <c r="F345" s="30"/>
      <c r="I345" s="25"/>
      <c r="T345" s="50"/>
      <c r="U345" s="30"/>
      <c r="V345" s="30"/>
    </row>
    <row r="346">
      <c r="A346" s="30"/>
      <c r="B346" s="30"/>
      <c r="C346" s="30"/>
      <c r="D346" s="30"/>
      <c r="E346" s="30"/>
      <c r="F346" s="30"/>
      <c r="I346" s="25"/>
      <c r="T346" s="50"/>
      <c r="U346" s="30"/>
      <c r="V346" s="30"/>
    </row>
    <row r="347">
      <c r="A347" s="30"/>
      <c r="B347" s="30"/>
      <c r="C347" s="30"/>
      <c r="D347" s="30"/>
      <c r="E347" s="30"/>
      <c r="F347" s="30"/>
      <c r="I347" s="25"/>
      <c r="T347" s="50"/>
      <c r="U347" s="30"/>
      <c r="V347" s="30"/>
    </row>
    <row r="348">
      <c r="A348" s="30"/>
      <c r="B348" s="30"/>
      <c r="C348" s="30"/>
      <c r="D348" s="30"/>
      <c r="E348" s="30"/>
      <c r="F348" s="30"/>
      <c r="I348" s="25"/>
      <c r="T348" s="50"/>
      <c r="U348" s="30"/>
      <c r="V348" s="30"/>
    </row>
    <row r="349">
      <c r="A349" s="30"/>
      <c r="B349" s="30"/>
      <c r="C349" s="30"/>
      <c r="D349" s="30"/>
      <c r="E349" s="30"/>
      <c r="F349" s="30"/>
      <c r="I349" s="25"/>
      <c r="T349" s="50"/>
      <c r="U349" s="30"/>
      <c r="V349" s="30"/>
    </row>
    <row r="350">
      <c r="A350" s="30"/>
      <c r="B350" s="30"/>
      <c r="C350" s="30"/>
      <c r="D350" s="30"/>
      <c r="E350" s="30"/>
      <c r="F350" s="30"/>
      <c r="I350" s="25"/>
      <c r="T350" s="50"/>
      <c r="U350" s="30"/>
      <c r="V350" s="30"/>
    </row>
    <row r="351">
      <c r="A351" s="30"/>
      <c r="B351" s="30"/>
      <c r="C351" s="30"/>
      <c r="D351" s="30"/>
      <c r="E351" s="30"/>
      <c r="F351" s="30"/>
      <c r="I351" s="25"/>
      <c r="T351" s="50"/>
      <c r="U351" s="30"/>
      <c r="V351" s="30"/>
    </row>
    <row r="352">
      <c r="A352" s="30"/>
      <c r="B352" s="30"/>
      <c r="C352" s="30"/>
      <c r="D352" s="30"/>
      <c r="E352" s="30"/>
      <c r="F352" s="30"/>
      <c r="I352" s="25"/>
      <c r="T352" s="50"/>
      <c r="U352" s="30"/>
      <c r="V352" s="30"/>
    </row>
    <row r="353">
      <c r="A353" s="30"/>
      <c r="B353" s="30"/>
      <c r="C353" s="30"/>
      <c r="D353" s="30"/>
      <c r="E353" s="30"/>
      <c r="F353" s="30"/>
      <c r="I353" s="25"/>
      <c r="T353" s="50"/>
      <c r="U353" s="30"/>
      <c r="V353" s="30"/>
    </row>
    <row r="354">
      <c r="A354" s="30"/>
      <c r="B354" s="30"/>
      <c r="C354" s="30"/>
      <c r="D354" s="30"/>
      <c r="E354" s="30"/>
      <c r="F354" s="30"/>
      <c r="I354" s="25"/>
      <c r="T354" s="50"/>
      <c r="U354" s="30"/>
      <c r="V354" s="30"/>
    </row>
    <row r="355">
      <c r="A355" s="30"/>
      <c r="B355" s="30"/>
      <c r="C355" s="30"/>
      <c r="D355" s="30"/>
      <c r="E355" s="30"/>
      <c r="F355" s="30"/>
      <c r="I355" s="25"/>
      <c r="T355" s="50"/>
      <c r="U355" s="30"/>
      <c r="V355" s="30"/>
    </row>
    <row r="356">
      <c r="A356" s="30"/>
      <c r="B356" s="30"/>
      <c r="C356" s="30"/>
      <c r="D356" s="30"/>
      <c r="E356" s="30"/>
      <c r="F356" s="30"/>
      <c r="I356" s="25"/>
      <c r="T356" s="50"/>
      <c r="U356" s="30"/>
      <c r="V356" s="30"/>
    </row>
    <row r="357">
      <c r="A357" s="30"/>
      <c r="B357" s="30"/>
      <c r="C357" s="30"/>
      <c r="D357" s="30"/>
      <c r="E357" s="30"/>
      <c r="F357" s="30"/>
      <c r="I357" s="25"/>
      <c r="T357" s="50"/>
      <c r="U357" s="30"/>
      <c r="V357" s="30"/>
    </row>
    <row r="358">
      <c r="A358" s="30"/>
      <c r="B358" s="30"/>
      <c r="C358" s="30"/>
      <c r="D358" s="30"/>
      <c r="E358" s="30"/>
      <c r="F358" s="30"/>
      <c r="I358" s="25"/>
      <c r="T358" s="50"/>
      <c r="U358" s="30"/>
      <c r="V358" s="30"/>
    </row>
    <row r="359">
      <c r="A359" s="30"/>
      <c r="B359" s="30"/>
      <c r="C359" s="30"/>
      <c r="D359" s="30"/>
      <c r="E359" s="30"/>
      <c r="F359" s="30"/>
      <c r="I359" s="25"/>
      <c r="T359" s="50"/>
      <c r="U359" s="30"/>
      <c r="V359" s="30"/>
    </row>
    <row r="360">
      <c r="A360" s="30"/>
      <c r="B360" s="30"/>
      <c r="C360" s="30"/>
      <c r="D360" s="30"/>
      <c r="E360" s="30"/>
      <c r="F360" s="30"/>
      <c r="I360" s="25"/>
      <c r="T360" s="50"/>
      <c r="U360" s="30"/>
      <c r="V360" s="30"/>
    </row>
    <row r="361">
      <c r="A361" s="30"/>
      <c r="B361" s="30"/>
      <c r="C361" s="30"/>
      <c r="D361" s="30"/>
      <c r="E361" s="30"/>
      <c r="F361" s="30"/>
      <c r="I361" s="25"/>
      <c r="T361" s="50"/>
      <c r="U361" s="30"/>
      <c r="V361" s="30"/>
    </row>
    <row r="362">
      <c r="A362" s="30"/>
      <c r="B362" s="30"/>
      <c r="C362" s="30"/>
      <c r="D362" s="30"/>
      <c r="E362" s="30"/>
      <c r="F362" s="30"/>
      <c r="I362" s="25"/>
      <c r="T362" s="50"/>
      <c r="U362" s="30"/>
      <c r="V362" s="30"/>
    </row>
    <row r="363">
      <c r="A363" s="30"/>
      <c r="B363" s="30"/>
      <c r="C363" s="30"/>
      <c r="D363" s="30"/>
      <c r="E363" s="30"/>
      <c r="F363" s="30"/>
      <c r="I363" s="25"/>
      <c r="T363" s="50"/>
      <c r="U363" s="30"/>
      <c r="V363" s="30"/>
    </row>
    <row r="364">
      <c r="A364" s="30"/>
      <c r="B364" s="30"/>
      <c r="C364" s="30"/>
      <c r="D364" s="30"/>
      <c r="E364" s="30"/>
      <c r="F364" s="30"/>
      <c r="I364" s="25"/>
      <c r="T364" s="50"/>
      <c r="U364" s="30"/>
      <c r="V364" s="30"/>
    </row>
    <row r="365">
      <c r="A365" s="30"/>
      <c r="B365" s="30"/>
      <c r="C365" s="30"/>
      <c r="D365" s="30"/>
      <c r="E365" s="30"/>
      <c r="F365" s="30"/>
      <c r="I365" s="25"/>
      <c r="T365" s="50"/>
      <c r="U365" s="30"/>
      <c r="V365" s="30"/>
    </row>
    <row r="366">
      <c r="A366" s="30"/>
      <c r="B366" s="30"/>
      <c r="C366" s="30"/>
      <c r="D366" s="30"/>
      <c r="E366" s="30"/>
      <c r="F366" s="30"/>
      <c r="I366" s="25"/>
      <c r="T366" s="50"/>
      <c r="U366" s="30"/>
      <c r="V366" s="30"/>
    </row>
    <row r="367">
      <c r="A367" s="30"/>
      <c r="B367" s="30"/>
      <c r="C367" s="30"/>
      <c r="D367" s="30"/>
      <c r="E367" s="30"/>
      <c r="F367" s="30"/>
      <c r="I367" s="25"/>
      <c r="T367" s="50"/>
      <c r="U367" s="30"/>
      <c r="V367" s="30"/>
    </row>
    <row r="368">
      <c r="A368" s="30"/>
      <c r="B368" s="30"/>
      <c r="C368" s="30"/>
      <c r="D368" s="30"/>
      <c r="E368" s="30"/>
      <c r="F368" s="30"/>
      <c r="I368" s="25"/>
      <c r="T368" s="50"/>
      <c r="U368" s="30"/>
      <c r="V368" s="30"/>
    </row>
    <row r="369">
      <c r="A369" s="30"/>
      <c r="B369" s="30"/>
      <c r="C369" s="30"/>
      <c r="D369" s="30"/>
      <c r="E369" s="30"/>
      <c r="F369" s="30"/>
      <c r="I369" s="25"/>
      <c r="T369" s="50"/>
      <c r="U369" s="30"/>
      <c r="V369" s="30"/>
    </row>
    <row r="370">
      <c r="A370" s="30"/>
      <c r="B370" s="30"/>
      <c r="C370" s="30"/>
      <c r="D370" s="30"/>
      <c r="E370" s="30"/>
      <c r="F370" s="30"/>
      <c r="I370" s="25"/>
      <c r="T370" s="50"/>
      <c r="U370" s="30"/>
      <c r="V370" s="30"/>
    </row>
    <row r="371">
      <c r="A371" s="30"/>
      <c r="B371" s="30"/>
      <c r="C371" s="30"/>
      <c r="D371" s="30"/>
      <c r="E371" s="30"/>
      <c r="F371" s="30"/>
      <c r="I371" s="25"/>
      <c r="T371" s="50"/>
      <c r="U371" s="30"/>
      <c r="V371" s="30"/>
    </row>
    <row r="372">
      <c r="A372" s="30"/>
      <c r="B372" s="30"/>
      <c r="C372" s="30"/>
      <c r="D372" s="30"/>
      <c r="E372" s="30"/>
      <c r="F372" s="30"/>
      <c r="I372" s="25"/>
      <c r="T372" s="50"/>
      <c r="U372" s="30"/>
      <c r="V372" s="30"/>
    </row>
    <row r="373">
      <c r="A373" s="30"/>
      <c r="B373" s="30"/>
      <c r="C373" s="30"/>
      <c r="D373" s="30"/>
      <c r="E373" s="30"/>
      <c r="F373" s="30"/>
      <c r="I373" s="25"/>
      <c r="T373" s="50"/>
      <c r="U373" s="30"/>
      <c r="V373" s="30"/>
    </row>
    <row r="374">
      <c r="A374" s="30"/>
      <c r="B374" s="30"/>
      <c r="C374" s="30"/>
      <c r="D374" s="30"/>
      <c r="E374" s="30"/>
      <c r="F374" s="30"/>
      <c r="I374" s="25"/>
      <c r="T374" s="50"/>
      <c r="U374" s="30"/>
      <c r="V374" s="30"/>
    </row>
    <row r="375">
      <c r="A375" s="30"/>
      <c r="B375" s="30"/>
      <c r="C375" s="30"/>
      <c r="D375" s="30"/>
      <c r="E375" s="30"/>
      <c r="F375" s="30"/>
      <c r="I375" s="25"/>
      <c r="T375" s="50"/>
      <c r="U375" s="30"/>
      <c r="V375" s="30"/>
    </row>
    <row r="376">
      <c r="A376" s="30"/>
      <c r="B376" s="30"/>
      <c r="C376" s="30"/>
      <c r="D376" s="30"/>
      <c r="E376" s="30"/>
      <c r="F376" s="30"/>
      <c r="I376" s="25"/>
      <c r="T376" s="50"/>
      <c r="U376" s="30"/>
      <c r="V376" s="30"/>
    </row>
    <row r="377">
      <c r="A377" s="30"/>
      <c r="B377" s="30"/>
      <c r="C377" s="30"/>
      <c r="D377" s="30"/>
      <c r="E377" s="30"/>
      <c r="F377" s="30"/>
      <c r="I377" s="25"/>
      <c r="T377" s="50"/>
      <c r="U377" s="30"/>
      <c r="V377" s="30"/>
    </row>
    <row r="378">
      <c r="A378" s="30"/>
      <c r="B378" s="30"/>
      <c r="C378" s="30"/>
      <c r="D378" s="30"/>
      <c r="E378" s="30"/>
      <c r="F378" s="30"/>
      <c r="I378" s="25"/>
      <c r="T378" s="50"/>
      <c r="U378" s="30"/>
      <c r="V378" s="30"/>
    </row>
    <row r="379">
      <c r="A379" s="30"/>
      <c r="B379" s="30"/>
      <c r="C379" s="30"/>
      <c r="D379" s="30"/>
      <c r="E379" s="30"/>
      <c r="F379" s="30"/>
      <c r="I379" s="25"/>
      <c r="T379" s="50"/>
      <c r="U379" s="30"/>
      <c r="V379" s="30"/>
    </row>
    <row r="380">
      <c r="A380" s="30"/>
      <c r="B380" s="30"/>
      <c r="C380" s="30"/>
      <c r="D380" s="30"/>
      <c r="E380" s="30"/>
      <c r="F380" s="30"/>
      <c r="I380" s="25"/>
      <c r="T380" s="50"/>
      <c r="U380" s="30"/>
      <c r="V380" s="30"/>
    </row>
    <row r="381">
      <c r="A381" s="30"/>
      <c r="B381" s="30"/>
      <c r="C381" s="30"/>
      <c r="D381" s="30"/>
      <c r="E381" s="30"/>
      <c r="F381" s="30"/>
      <c r="I381" s="25"/>
      <c r="T381" s="50"/>
      <c r="U381" s="30"/>
      <c r="V381" s="30"/>
    </row>
    <row r="382">
      <c r="A382" s="30"/>
      <c r="B382" s="30"/>
      <c r="C382" s="30"/>
      <c r="D382" s="30"/>
      <c r="E382" s="30"/>
      <c r="F382" s="30"/>
      <c r="I382" s="25"/>
      <c r="T382" s="50"/>
      <c r="U382" s="30"/>
      <c r="V382" s="30"/>
    </row>
    <row r="383">
      <c r="A383" s="30"/>
      <c r="B383" s="30"/>
      <c r="C383" s="30"/>
      <c r="D383" s="30"/>
      <c r="E383" s="30"/>
      <c r="F383" s="30"/>
      <c r="I383" s="25"/>
      <c r="T383" s="50"/>
      <c r="U383" s="30"/>
      <c r="V383" s="30"/>
    </row>
    <row r="384">
      <c r="A384" s="30"/>
      <c r="B384" s="30"/>
      <c r="C384" s="30"/>
      <c r="D384" s="30"/>
      <c r="E384" s="30"/>
      <c r="F384" s="30"/>
      <c r="I384" s="25"/>
      <c r="T384" s="50"/>
      <c r="U384" s="30"/>
      <c r="V384" s="30"/>
    </row>
    <row r="385">
      <c r="A385" s="30"/>
      <c r="B385" s="30"/>
      <c r="C385" s="30"/>
      <c r="D385" s="30"/>
      <c r="E385" s="30"/>
      <c r="F385" s="30"/>
      <c r="I385" s="25"/>
      <c r="T385" s="50"/>
      <c r="U385" s="30"/>
      <c r="V385" s="30"/>
    </row>
    <row r="386">
      <c r="A386" s="30"/>
      <c r="B386" s="30"/>
      <c r="C386" s="30"/>
      <c r="D386" s="30"/>
      <c r="E386" s="30"/>
      <c r="F386" s="30"/>
      <c r="I386" s="25"/>
      <c r="T386" s="50"/>
      <c r="U386" s="30"/>
      <c r="V386" s="30"/>
    </row>
    <row r="387">
      <c r="A387" s="30"/>
      <c r="B387" s="30"/>
      <c r="C387" s="30"/>
      <c r="D387" s="30"/>
      <c r="E387" s="30"/>
      <c r="F387" s="30"/>
      <c r="I387" s="25"/>
      <c r="T387" s="50"/>
      <c r="U387" s="30"/>
      <c r="V387" s="30"/>
    </row>
    <row r="388">
      <c r="A388" s="30"/>
      <c r="B388" s="30"/>
      <c r="C388" s="30"/>
      <c r="D388" s="30"/>
      <c r="E388" s="30"/>
      <c r="F388" s="30"/>
      <c r="I388" s="25"/>
      <c r="T388" s="50"/>
      <c r="U388" s="30"/>
      <c r="V388" s="30"/>
    </row>
    <row r="389">
      <c r="A389" s="30"/>
      <c r="B389" s="30"/>
      <c r="C389" s="30"/>
      <c r="D389" s="30"/>
      <c r="E389" s="30"/>
      <c r="F389" s="30"/>
      <c r="I389" s="25"/>
      <c r="T389" s="50"/>
      <c r="U389" s="30"/>
      <c r="V389" s="30"/>
    </row>
    <row r="390">
      <c r="A390" s="30"/>
      <c r="B390" s="30"/>
      <c r="C390" s="30"/>
      <c r="D390" s="30"/>
      <c r="E390" s="30"/>
      <c r="F390" s="30"/>
      <c r="I390" s="25"/>
      <c r="T390" s="50"/>
      <c r="U390" s="30"/>
      <c r="V390" s="30"/>
    </row>
    <row r="391">
      <c r="A391" s="30"/>
      <c r="B391" s="30"/>
      <c r="C391" s="30"/>
      <c r="D391" s="30"/>
      <c r="E391" s="30"/>
      <c r="F391" s="30"/>
      <c r="I391" s="25"/>
      <c r="T391" s="50"/>
      <c r="U391" s="30"/>
      <c r="V391" s="30"/>
    </row>
    <row r="392">
      <c r="A392" s="30"/>
      <c r="B392" s="30"/>
      <c r="C392" s="30"/>
      <c r="D392" s="30"/>
      <c r="E392" s="30"/>
      <c r="F392" s="30"/>
      <c r="I392" s="25"/>
      <c r="T392" s="50"/>
      <c r="U392" s="30"/>
      <c r="V392" s="30"/>
    </row>
    <row r="393">
      <c r="A393" s="30"/>
      <c r="B393" s="30"/>
      <c r="C393" s="30"/>
      <c r="D393" s="30"/>
      <c r="E393" s="30"/>
      <c r="F393" s="30"/>
      <c r="I393" s="25"/>
      <c r="T393" s="50"/>
      <c r="U393" s="30"/>
      <c r="V393" s="30"/>
    </row>
    <row r="394">
      <c r="A394" s="30"/>
      <c r="B394" s="30"/>
      <c r="C394" s="30"/>
      <c r="D394" s="30"/>
      <c r="E394" s="30"/>
      <c r="F394" s="30"/>
      <c r="I394" s="25"/>
      <c r="T394" s="50"/>
      <c r="U394" s="30"/>
      <c r="V394" s="30"/>
    </row>
    <row r="395">
      <c r="A395" s="30"/>
      <c r="B395" s="30"/>
      <c r="C395" s="30"/>
      <c r="D395" s="30"/>
      <c r="E395" s="30"/>
      <c r="F395" s="30"/>
      <c r="I395" s="25"/>
      <c r="T395" s="50"/>
      <c r="U395" s="30"/>
      <c r="V395" s="30"/>
    </row>
    <row r="396">
      <c r="A396" s="30"/>
      <c r="B396" s="30"/>
      <c r="C396" s="30"/>
      <c r="D396" s="30"/>
      <c r="E396" s="30"/>
      <c r="F396" s="30"/>
      <c r="I396" s="25"/>
      <c r="T396" s="50"/>
      <c r="U396" s="30"/>
      <c r="V396" s="30"/>
    </row>
    <row r="397">
      <c r="A397" s="30"/>
      <c r="B397" s="30"/>
      <c r="C397" s="30"/>
      <c r="D397" s="30"/>
      <c r="E397" s="30"/>
      <c r="F397" s="30"/>
      <c r="I397" s="25"/>
      <c r="T397" s="50"/>
      <c r="U397" s="30"/>
      <c r="V397" s="30"/>
    </row>
    <row r="398">
      <c r="A398" s="30"/>
      <c r="B398" s="30"/>
      <c r="C398" s="30"/>
      <c r="D398" s="30"/>
      <c r="E398" s="30"/>
      <c r="F398" s="30"/>
      <c r="I398" s="25"/>
      <c r="T398" s="50"/>
      <c r="U398" s="30"/>
      <c r="V398" s="30"/>
    </row>
    <row r="399">
      <c r="A399" s="30"/>
      <c r="B399" s="30"/>
      <c r="C399" s="30"/>
      <c r="D399" s="30"/>
      <c r="E399" s="30"/>
      <c r="F399" s="30"/>
      <c r="I399" s="25"/>
      <c r="T399" s="50"/>
      <c r="U399" s="30"/>
      <c r="V399" s="30"/>
    </row>
    <row r="400">
      <c r="A400" s="30"/>
      <c r="B400" s="30"/>
      <c r="C400" s="30"/>
      <c r="D400" s="30"/>
      <c r="E400" s="30"/>
      <c r="F400" s="30"/>
      <c r="I400" s="25"/>
      <c r="T400" s="50"/>
      <c r="U400" s="30"/>
      <c r="V400" s="30"/>
    </row>
    <row r="401">
      <c r="A401" s="30"/>
      <c r="B401" s="30"/>
      <c r="C401" s="30"/>
      <c r="D401" s="30"/>
      <c r="E401" s="30"/>
      <c r="F401" s="30"/>
      <c r="I401" s="25"/>
      <c r="T401" s="50"/>
      <c r="U401" s="30"/>
      <c r="V401" s="30"/>
    </row>
    <row r="402">
      <c r="A402" s="30"/>
      <c r="B402" s="30"/>
      <c r="C402" s="30"/>
      <c r="D402" s="30"/>
      <c r="E402" s="30"/>
      <c r="F402" s="30"/>
      <c r="I402" s="25"/>
      <c r="T402" s="50"/>
      <c r="U402" s="30"/>
      <c r="V402" s="30"/>
    </row>
    <row r="403">
      <c r="A403" s="30"/>
      <c r="B403" s="30"/>
      <c r="C403" s="30"/>
      <c r="D403" s="30"/>
      <c r="E403" s="30"/>
      <c r="F403" s="30"/>
      <c r="I403" s="25"/>
      <c r="T403" s="50"/>
      <c r="U403" s="30"/>
      <c r="V403" s="30"/>
    </row>
    <row r="404">
      <c r="A404" s="30"/>
      <c r="B404" s="30"/>
      <c r="C404" s="30"/>
      <c r="D404" s="30"/>
      <c r="E404" s="30"/>
      <c r="F404" s="30"/>
      <c r="I404" s="25"/>
      <c r="T404" s="50"/>
      <c r="U404" s="30"/>
      <c r="V404" s="30"/>
    </row>
    <row r="405">
      <c r="A405" s="30"/>
      <c r="B405" s="30"/>
      <c r="C405" s="30"/>
      <c r="D405" s="30"/>
      <c r="E405" s="30"/>
      <c r="F405" s="30"/>
      <c r="I405" s="25"/>
      <c r="T405" s="50"/>
      <c r="U405" s="30"/>
      <c r="V405" s="30"/>
    </row>
    <row r="406">
      <c r="A406" s="30"/>
      <c r="B406" s="30"/>
      <c r="C406" s="30"/>
      <c r="D406" s="30"/>
      <c r="E406" s="30"/>
      <c r="F406" s="30"/>
      <c r="I406" s="25"/>
      <c r="T406" s="50"/>
      <c r="U406" s="30"/>
      <c r="V406" s="30"/>
    </row>
    <row r="407">
      <c r="A407" s="30"/>
      <c r="B407" s="30"/>
      <c r="C407" s="30"/>
      <c r="D407" s="30"/>
      <c r="E407" s="30"/>
      <c r="F407" s="30"/>
      <c r="I407" s="25"/>
      <c r="T407" s="50"/>
      <c r="U407" s="30"/>
      <c r="V407" s="30"/>
    </row>
    <row r="408">
      <c r="A408" s="30"/>
      <c r="B408" s="30"/>
      <c r="C408" s="30"/>
      <c r="D408" s="30"/>
      <c r="E408" s="30"/>
      <c r="F408" s="30"/>
      <c r="I408" s="25"/>
      <c r="T408" s="50"/>
      <c r="U408" s="30"/>
      <c r="V408" s="30"/>
    </row>
    <row r="409">
      <c r="A409" s="30"/>
      <c r="B409" s="30"/>
      <c r="C409" s="30"/>
      <c r="D409" s="30"/>
      <c r="E409" s="30"/>
      <c r="F409" s="30"/>
      <c r="I409" s="25"/>
      <c r="T409" s="50"/>
      <c r="U409" s="30"/>
      <c r="V409" s="30"/>
    </row>
    <row r="410">
      <c r="A410" s="30"/>
      <c r="B410" s="30"/>
      <c r="C410" s="30"/>
      <c r="D410" s="30"/>
      <c r="E410" s="30"/>
      <c r="F410" s="30"/>
      <c r="I410" s="25"/>
      <c r="T410" s="50"/>
      <c r="U410" s="30"/>
      <c r="V410" s="30"/>
    </row>
    <row r="411">
      <c r="A411" s="30"/>
      <c r="B411" s="30"/>
      <c r="C411" s="30"/>
      <c r="D411" s="30"/>
      <c r="E411" s="30"/>
      <c r="F411" s="30"/>
      <c r="I411" s="25"/>
      <c r="T411" s="50"/>
      <c r="U411" s="30"/>
      <c r="V411" s="30"/>
    </row>
    <row r="412">
      <c r="A412" s="30"/>
      <c r="B412" s="30"/>
      <c r="C412" s="30"/>
      <c r="D412" s="30"/>
      <c r="E412" s="30"/>
      <c r="F412" s="30"/>
      <c r="I412" s="25"/>
      <c r="T412" s="50"/>
      <c r="U412" s="30"/>
      <c r="V412" s="30"/>
    </row>
    <row r="413">
      <c r="A413" s="30"/>
      <c r="B413" s="30"/>
      <c r="C413" s="30"/>
      <c r="D413" s="30"/>
      <c r="E413" s="30"/>
      <c r="F413" s="30"/>
      <c r="I413" s="25"/>
      <c r="T413" s="50"/>
      <c r="U413" s="30"/>
      <c r="V413" s="30"/>
    </row>
    <row r="414">
      <c r="A414" s="30"/>
      <c r="B414" s="30"/>
      <c r="C414" s="30"/>
      <c r="D414" s="30"/>
      <c r="E414" s="30"/>
      <c r="F414" s="30"/>
      <c r="I414" s="25"/>
      <c r="T414" s="50"/>
      <c r="U414" s="30"/>
      <c r="V414" s="30"/>
    </row>
    <row r="415">
      <c r="A415" s="30"/>
      <c r="B415" s="30"/>
      <c r="C415" s="30"/>
      <c r="D415" s="30"/>
      <c r="E415" s="30"/>
      <c r="F415" s="30"/>
      <c r="I415" s="25"/>
      <c r="T415" s="50"/>
      <c r="U415" s="30"/>
      <c r="V415" s="30"/>
    </row>
    <row r="416">
      <c r="A416" s="30"/>
      <c r="B416" s="30"/>
      <c r="C416" s="30"/>
      <c r="D416" s="30"/>
      <c r="E416" s="30"/>
      <c r="F416" s="30"/>
      <c r="I416" s="25"/>
      <c r="T416" s="50"/>
      <c r="U416" s="30"/>
      <c r="V416" s="30"/>
    </row>
    <row r="417">
      <c r="A417" s="30"/>
      <c r="B417" s="30"/>
      <c r="C417" s="30"/>
      <c r="D417" s="30"/>
      <c r="E417" s="30"/>
      <c r="F417" s="30"/>
      <c r="I417" s="25"/>
      <c r="T417" s="50"/>
      <c r="U417" s="30"/>
      <c r="V417" s="30"/>
    </row>
    <row r="418">
      <c r="A418" s="30"/>
      <c r="B418" s="30"/>
      <c r="C418" s="30"/>
      <c r="D418" s="30"/>
      <c r="E418" s="30"/>
      <c r="F418" s="30"/>
      <c r="I418" s="25"/>
      <c r="T418" s="50"/>
      <c r="U418" s="30"/>
      <c r="V418" s="30"/>
    </row>
    <row r="419">
      <c r="A419" s="30"/>
      <c r="B419" s="30"/>
      <c r="C419" s="30"/>
      <c r="D419" s="30"/>
      <c r="E419" s="30"/>
      <c r="F419" s="30"/>
      <c r="I419" s="25"/>
      <c r="T419" s="50"/>
      <c r="U419" s="30"/>
      <c r="V419" s="30"/>
    </row>
    <row r="420">
      <c r="A420" s="30"/>
      <c r="B420" s="30"/>
      <c r="C420" s="30"/>
      <c r="D420" s="30"/>
      <c r="E420" s="30"/>
      <c r="F420" s="30"/>
      <c r="I420" s="25"/>
      <c r="T420" s="50"/>
      <c r="U420" s="30"/>
      <c r="V420" s="30"/>
    </row>
    <row r="421">
      <c r="A421" s="30"/>
      <c r="B421" s="30"/>
      <c r="C421" s="30"/>
      <c r="D421" s="30"/>
      <c r="E421" s="30"/>
      <c r="F421" s="30"/>
      <c r="I421" s="25"/>
      <c r="T421" s="50"/>
      <c r="U421" s="30"/>
      <c r="V421" s="30"/>
    </row>
    <row r="422">
      <c r="A422" s="30"/>
      <c r="B422" s="30"/>
      <c r="C422" s="30"/>
      <c r="D422" s="30"/>
      <c r="E422" s="30"/>
      <c r="F422" s="30"/>
      <c r="I422" s="25"/>
      <c r="T422" s="50"/>
      <c r="U422" s="30"/>
      <c r="V422" s="30"/>
    </row>
    <row r="423">
      <c r="A423" s="30"/>
      <c r="B423" s="30"/>
      <c r="C423" s="30"/>
      <c r="D423" s="30"/>
      <c r="E423" s="30"/>
      <c r="F423" s="30"/>
      <c r="I423" s="25"/>
      <c r="T423" s="50"/>
      <c r="U423" s="30"/>
      <c r="V423" s="30"/>
    </row>
    <row r="424">
      <c r="A424" s="30"/>
      <c r="B424" s="30"/>
      <c r="C424" s="30"/>
      <c r="D424" s="30"/>
      <c r="E424" s="30"/>
      <c r="F424" s="30"/>
      <c r="I424" s="25"/>
      <c r="T424" s="50"/>
      <c r="U424" s="30"/>
      <c r="V424" s="30"/>
    </row>
    <row r="425">
      <c r="A425" s="30"/>
      <c r="B425" s="30"/>
      <c r="C425" s="30"/>
      <c r="D425" s="30"/>
      <c r="E425" s="30"/>
      <c r="F425" s="30"/>
      <c r="I425" s="25"/>
      <c r="T425" s="50"/>
      <c r="U425" s="30"/>
      <c r="V425" s="30"/>
    </row>
    <row r="426">
      <c r="A426" s="30"/>
      <c r="B426" s="30"/>
      <c r="C426" s="30"/>
      <c r="D426" s="30"/>
      <c r="E426" s="30"/>
      <c r="F426" s="30"/>
      <c r="I426" s="25"/>
      <c r="T426" s="50"/>
      <c r="U426" s="30"/>
      <c r="V426" s="30"/>
    </row>
    <row r="427">
      <c r="A427" s="30"/>
      <c r="B427" s="30"/>
      <c r="C427" s="30"/>
      <c r="D427" s="30"/>
      <c r="E427" s="30"/>
      <c r="F427" s="30"/>
      <c r="I427" s="25"/>
      <c r="T427" s="50"/>
      <c r="U427" s="30"/>
      <c r="V427" s="30"/>
    </row>
    <row r="428">
      <c r="A428" s="30"/>
      <c r="B428" s="30"/>
      <c r="C428" s="30"/>
      <c r="D428" s="30"/>
      <c r="E428" s="30"/>
      <c r="F428" s="30"/>
      <c r="I428" s="25"/>
      <c r="T428" s="50"/>
      <c r="U428" s="30"/>
      <c r="V428" s="30"/>
    </row>
    <row r="429">
      <c r="A429" s="30"/>
      <c r="B429" s="30"/>
      <c r="C429" s="30"/>
      <c r="D429" s="30"/>
      <c r="E429" s="30"/>
      <c r="F429" s="30"/>
      <c r="I429" s="25"/>
      <c r="T429" s="50"/>
      <c r="U429" s="30"/>
      <c r="V429" s="30"/>
    </row>
    <row r="430">
      <c r="A430" s="30"/>
      <c r="B430" s="30"/>
      <c r="C430" s="30"/>
      <c r="D430" s="30"/>
      <c r="E430" s="30"/>
      <c r="F430" s="30"/>
      <c r="I430" s="25"/>
      <c r="T430" s="50"/>
      <c r="U430" s="30"/>
      <c r="V430" s="30"/>
    </row>
    <row r="431">
      <c r="A431" s="30"/>
      <c r="B431" s="30"/>
      <c r="C431" s="30"/>
      <c r="D431" s="30"/>
      <c r="E431" s="30"/>
      <c r="F431" s="30"/>
      <c r="I431" s="25"/>
      <c r="T431" s="50"/>
      <c r="U431" s="30"/>
      <c r="V431" s="30"/>
    </row>
    <row r="432">
      <c r="A432" s="30"/>
      <c r="B432" s="30"/>
      <c r="C432" s="30"/>
      <c r="D432" s="30"/>
      <c r="E432" s="30"/>
      <c r="F432" s="30"/>
      <c r="I432" s="25"/>
      <c r="T432" s="50"/>
      <c r="U432" s="30"/>
      <c r="V432" s="30"/>
    </row>
    <row r="433">
      <c r="A433" s="30"/>
      <c r="B433" s="30"/>
      <c r="C433" s="30"/>
      <c r="D433" s="30"/>
      <c r="E433" s="30"/>
      <c r="F433" s="30"/>
      <c r="I433" s="25"/>
      <c r="T433" s="50"/>
      <c r="U433" s="30"/>
      <c r="V433" s="30"/>
    </row>
    <row r="434">
      <c r="A434" s="30"/>
      <c r="B434" s="30"/>
      <c r="C434" s="30"/>
      <c r="D434" s="30"/>
      <c r="E434" s="30"/>
      <c r="F434" s="30"/>
      <c r="I434" s="25"/>
      <c r="T434" s="50"/>
      <c r="U434" s="30"/>
      <c r="V434" s="30"/>
    </row>
    <row r="435">
      <c r="A435" s="30"/>
      <c r="B435" s="30"/>
      <c r="C435" s="30"/>
      <c r="D435" s="30"/>
      <c r="E435" s="30"/>
      <c r="F435" s="30"/>
      <c r="I435" s="25"/>
      <c r="T435" s="50"/>
      <c r="U435" s="30"/>
      <c r="V435" s="30"/>
    </row>
    <row r="436">
      <c r="A436" s="30"/>
      <c r="B436" s="30"/>
      <c r="C436" s="30"/>
      <c r="D436" s="30"/>
      <c r="E436" s="30"/>
      <c r="F436" s="30"/>
      <c r="I436" s="25"/>
      <c r="T436" s="50"/>
      <c r="U436" s="30"/>
      <c r="V436" s="30"/>
    </row>
    <row r="437">
      <c r="A437" s="30"/>
      <c r="B437" s="30"/>
      <c r="C437" s="30"/>
      <c r="D437" s="30"/>
      <c r="E437" s="30"/>
      <c r="F437" s="30"/>
      <c r="I437" s="25"/>
      <c r="T437" s="50"/>
      <c r="U437" s="30"/>
      <c r="V437" s="30"/>
    </row>
    <row r="438">
      <c r="A438" s="30"/>
      <c r="B438" s="30"/>
      <c r="C438" s="30"/>
      <c r="D438" s="30"/>
      <c r="E438" s="30"/>
      <c r="F438" s="30"/>
      <c r="I438" s="25"/>
      <c r="T438" s="50"/>
      <c r="U438" s="30"/>
      <c r="V438" s="30"/>
    </row>
    <row r="439">
      <c r="A439" s="30"/>
      <c r="B439" s="30"/>
      <c r="C439" s="30"/>
      <c r="D439" s="30"/>
      <c r="E439" s="30"/>
      <c r="F439" s="30"/>
      <c r="I439" s="25"/>
      <c r="T439" s="50"/>
      <c r="U439" s="30"/>
      <c r="V439" s="30"/>
    </row>
    <row r="440">
      <c r="A440" s="30"/>
      <c r="B440" s="30"/>
      <c r="C440" s="30"/>
      <c r="D440" s="30"/>
      <c r="E440" s="30"/>
      <c r="F440" s="30"/>
      <c r="I440" s="25"/>
      <c r="T440" s="50"/>
      <c r="U440" s="30"/>
      <c r="V440" s="30"/>
    </row>
    <row r="441">
      <c r="A441" s="30"/>
      <c r="B441" s="30"/>
      <c r="C441" s="30"/>
      <c r="D441" s="30"/>
      <c r="E441" s="30"/>
      <c r="F441" s="30"/>
      <c r="I441" s="25"/>
      <c r="T441" s="50"/>
      <c r="U441" s="30"/>
      <c r="V441" s="30"/>
    </row>
    <row r="442">
      <c r="A442" s="30"/>
      <c r="B442" s="30"/>
      <c r="C442" s="30"/>
      <c r="D442" s="30"/>
      <c r="E442" s="30"/>
      <c r="F442" s="30"/>
      <c r="I442" s="25"/>
      <c r="T442" s="50"/>
      <c r="U442" s="30"/>
      <c r="V442" s="30"/>
    </row>
    <row r="443">
      <c r="A443" s="30"/>
      <c r="B443" s="30"/>
      <c r="C443" s="30"/>
      <c r="D443" s="30"/>
      <c r="E443" s="30"/>
      <c r="F443" s="30"/>
      <c r="I443" s="25"/>
      <c r="T443" s="50"/>
      <c r="U443" s="30"/>
      <c r="V443" s="30"/>
    </row>
    <row r="444">
      <c r="A444" s="30"/>
      <c r="B444" s="30"/>
      <c r="C444" s="30"/>
      <c r="D444" s="30"/>
      <c r="E444" s="30"/>
      <c r="F444" s="30"/>
      <c r="I444" s="25"/>
      <c r="T444" s="50"/>
      <c r="U444" s="30"/>
      <c r="V444" s="30"/>
    </row>
    <row r="445">
      <c r="A445" s="30"/>
      <c r="B445" s="30"/>
      <c r="C445" s="30"/>
      <c r="D445" s="30"/>
      <c r="E445" s="30"/>
      <c r="F445" s="30"/>
      <c r="I445" s="25"/>
      <c r="T445" s="50"/>
      <c r="U445" s="30"/>
      <c r="V445" s="30"/>
    </row>
    <row r="446">
      <c r="A446" s="30"/>
      <c r="B446" s="30"/>
      <c r="C446" s="30"/>
      <c r="D446" s="30"/>
      <c r="E446" s="30"/>
      <c r="F446" s="30"/>
      <c r="I446" s="25"/>
      <c r="T446" s="50"/>
      <c r="U446" s="30"/>
      <c r="V446" s="30"/>
    </row>
    <row r="447">
      <c r="A447" s="30"/>
      <c r="B447" s="30"/>
      <c r="C447" s="30"/>
      <c r="D447" s="30"/>
      <c r="E447" s="30"/>
      <c r="F447" s="30"/>
      <c r="I447" s="25"/>
      <c r="T447" s="50"/>
      <c r="U447" s="30"/>
      <c r="V447" s="30"/>
    </row>
    <row r="448">
      <c r="A448" s="30"/>
      <c r="B448" s="30"/>
      <c r="C448" s="30"/>
      <c r="D448" s="30"/>
      <c r="E448" s="30"/>
      <c r="F448" s="30"/>
      <c r="I448" s="25"/>
      <c r="T448" s="50"/>
      <c r="U448" s="30"/>
      <c r="V448" s="30"/>
    </row>
    <row r="449">
      <c r="A449" s="30"/>
      <c r="B449" s="30"/>
      <c r="C449" s="30"/>
      <c r="D449" s="30"/>
      <c r="E449" s="30"/>
      <c r="F449" s="30"/>
      <c r="I449" s="25"/>
      <c r="T449" s="50"/>
      <c r="U449" s="30"/>
      <c r="V449" s="30"/>
    </row>
    <row r="450">
      <c r="A450" s="30"/>
      <c r="B450" s="30"/>
      <c r="C450" s="30"/>
      <c r="D450" s="30"/>
      <c r="E450" s="30"/>
      <c r="F450" s="30"/>
      <c r="I450" s="25"/>
      <c r="T450" s="50"/>
      <c r="U450" s="30"/>
      <c r="V450" s="30"/>
    </row>
    <row r="451">
      <c r="A451" s="30"/>
      <c r="B451" s="30"/>
      <c r="C451" s="30"/>
      <c r="D451" s="30"/>
      <c r="E451" s="30"/>
      <c r="F451" s="30"/>
      <c r="I451" s="25"/>
      <c r="T451" s="50"/>
      <c r="U451" s="30"/>
      <c r="V451" s="30"/>
    </row>
    <row r="452">
      <c r="A452" s="30"/>
      <c r="B452" s="30"/>
      <c r="C452" s="30"/>
      <c r="D452" s="30"/>
      <c r="E452" s="30"/>
      <c r="F452" s="30"/>
      <c r="I452" s="25"/>
      <c r="T452" s="50"/>
      <c r="U452" s="30"/>
      <c r="V452" s="30"/>
    </row>
    <row r="453">
      <c r="A453" s="30"/>
      <c r="B453" s="30"/>
      <c r="C453" s="30"/>
      <c r="D453" s="30"/>
      <c r="E453" s="30"/>
      <c r="F453" s="30"/>
      <c r="I453" s="25"/>
      <c r="T453" s="50"/>
      <c r="U453" s="30"/>
      <c r="V453" s="30"/>
    </row>
    <row r="454">
      <c r="A454" s="30"/>
      <c r="B454" s="30"/>
      <c r="C454" s="30"/>
      <c r="D454" s="30"/>
      <c r="E454" s="30"/>
      <c r="F454" s="30"/>
      <c r="I454" s="25"/>
      <c r="T454" s="50"/>
      <c r="U454" s="30"/>
      <c r="V454" s="30"/>
    </row>
    <row r="455">
      <c r="A455" s="30"/>
      <c r="B455" s="30"/>
      <c r="C455" s="30"/>
      <c r="D455" s="30"/>
      <c r="E455" s="30"/>
      <c r="F455" s="30"/>
      <c r="I455" s="25"/>
      <c r="T455" s="50"/>
      <c r="U455" s="30"/>
      <c r="V455" s="30"/>
    </row>
    <row r="456">
      <c r="A456" s="30"/>
      <c r="B456" s="30"/>
      <c r="C456" s="30"/>
      <c r="D456" s="30"/>
      <c r="E456" s="30"/>
      <c r="F456" s="30"/>
      <c r="I456" s="25"/>
      <c r="T456" s="50"/>
      <c r="U456" s="30"/>
      <c r="V456" s="30"/>
    </row>
    <row r="457">
      <c r="A457" s="30"/>
      <c r="B457" s="30"/>
      <c r="C457" s="30"/>
      <c r="D457" s="30"/>
      <c r="E457" s="30"/>
      <c r="F457" s="30"/>
      <c r="I457" s="25"/>
      <c r="T457" s="50"/>
      <c r="U457" s="30"/>
      <c r="V457" s="30"/>
    </row>
    <row r="458">
      <c r="A458" s="30"/>
      <c r="B458" s="30"/>
      <c r="C458" s="30"/>
      <c r="D458" s="30"/>
      <c r="E458" s="30"/>
      <c r="F458" s="30"/>
      <c r="I458" s="25"/>
      <c r="T458" s="50"/>
      <c r="U458" s="30"/>
      <c r="V458" s="30"/>
    </row>
    <row r="459">
      <c r="A459" s="30"/>
      <c r="B459" s="30"/>
      <c r="C459" s="30"/>
      <c r="D459" s="30"/>
      <c r="E459" s="30"/>
      <c r="F459" s="30"/>
      <c r="I459" s="25"/>
      <c r="T459" s="50"/>
      <c r="U459" s="30"/>
      <c r="V459" s="30"/>
    </row>
    <row r="460">
      <c r="A460" s="30"/>
      <c r="B460" s="30"/>
      <c r="C460" s="30"/>
      <c r="D460" s="30"/>
      <c r="E460" s="30"/>
      <c r="F460" s="30"/>
      <c r="I460" s="25"/>
      <c r="T460" s="50"/>
      <c r="U460" s="30"/>
      <c r="V460" s="30"/>
    </row>
    <row r="461">
      <c r="A461" s="30"/>
      <c r="B461" s="30"/>
      <c r="C461" s="30"/>
      <c r="D461" s="30"/>
      <c r="E461" s="30"/>
      <c r="F461" s="30"/>
      <c r="I461" s="25"/>
      <c r="T461" s="50"/>
      <c r="U461" s="30"/>
      <c r="V461" s="30"/>
    </row>
    <row r="462">
      <c r="A462" s="30"/>
      <c r="B462" s="30"/>
      <c r="C462" s="30"/>
      <c r="D462" s="30"/>
      <c r="E462" s="30"/>
      <c r="F462" s="30"/>
      <c r="I462" s="25"/>
      <c r="T462" s="50"/>
      <c r="U462" s="30"/>
      <c r="V462" s="30"/>
    </row>
    <row r="463">
      <c r="A463" s="30"/>
      <c r="B463" s="30"/>
      <c r="C463" s="30"/>
      <c r="D463" s="30"/>
      <c r="E463" s="30"/>
      <c r="F463" s="30"/>
      <c r="I463" s="25"/>
      <c r="T463" s="50"/>
      <c r="U463" s="30"/>
      <c r="V463" s="30"/>
    </row>
    <row r="464">
      <c r="A464" s="30"/>
      <c r="B464" s="30"/>
      <c r="C464" s="30"/>
      <c r="D464" s="30"/>
      <c r="E464" s="30"/>
      <c r="F464" s="30"/>
      <c r="I464" s="25"/>
      <c r="T464" s="50"/>
      <c r="U464" s="30"/>
      <c r="V464" s="30"/>
    </row>
    <row r="465">
      <c r="A465" s="30"/>
      <c r="B465" s="30"/>
      <c r="C465" s="30"/>
      <c r="D465" s="30"/>
      <c r="E465" s="30"/>
      <c r="F465" s="30"/>
      <c r="I465" s="25"/>
      <c r="T465" s="50"/>
      <c r="U465" s="30"/>
      <c r="V465" s="30"/>
    </row>
    <row r="466">
      <c r="A466" s="30"/>
      <c r="B466" s="30"/>
      <c r="C466" s="30"/>
      <c r="D466" s="30"/>
      <c r="E466" s="30"/>
      <c r="F466" s="30"/>
      <c r="I466" s="25"/>
      <c r="T466" s="50"/>
      <c r="U466" s="30"/>
      <c r="V466" s="30"/>
    </row>
    <row r="467">
      <c r="A467" s="30"/>
      <c r="B467" s="30"/>
      <c r="C467" s="30"/>
      <c r="D467" s="30"/>
      <c r="E467" s="30"/>
      <c r="F467" s="30"/>
      <c r="I467" s="25"/>
      <c r="T467" s="50"/>
      <c r="U467" s="30"/>
      <c r="V467" s="30"/>
    </row>
    <row r="468">
      <c r="A468" s="30"/>
      <c r="B468" s="30"/>
      <c r="C468" s="30"/>
      <c r="D468" s="30"/>
      <c r="E468" s="30"/>
      <c r="F468" s="30"/>
      <c r="I468" s="25"/>
      <c r="T468" s="50"/>
      <c r="U468" s="30"/>
      <c r="V468" s="30"/>
    </row>
    <row r="469">
      <c r="A469" s="30"/>
      <c r="B469" s="30"/>
      <c r="C469" s="30"/>
      <c r="D469" s="30"/>
      <c r="E469" s="30"/>
      <c r="F469" s="30"/>
      <c r="I469" s="25"/>
      <c r="T469" s="50"/>
      <c r="U469" s="30"/>
      <c r="V469" s="30"/>
    </row>
    <row r="470">
      <c r="A470" s="30"/>
      <c r="B470" s="30"/>
      <c r="C470" s="30"/>
      <c r="D470" s="30"/>
      <c r="E470" s="30"/>
      <c r="F470" s="30"/>
      <c r="I470" s="25"/>
      <c r="T470" s="50"/>
      <c r="U470" s="30"/>
      <c r="V470" s="30"/>
    </row>
    <row r="471">
      <c r="A471" s="30"/>
      <c r="B471" s="30"/>
      <c r="C471" s="30"/>
      <c r="D471" s="30"/>
      <c r="E471" s="30"/>
      <c r="F471" s="30"/>
      <c r="I471" s="25"/>
      <c r="T471" s="50"/>
      <c r="U471" s="30"/>
      <c r="V471" s="30"/>
    </row>
    <row r="472">
      <c r="A472" s="30"/>
      <c r="B472" s="30"/>
      <c r="C472" s="30"/>
      <c r="D472" s="30"/>
      <c r="E472" s="30"/>
      <c r="F472" s="30"/>
      <c r="I472" s="25"/>
      <c r="T472" s="50"/>
      <c r="U472" s="30"/>
      <c r="V472" s="30"/>
    </row>
    <row r="473">
      <c r="A473" s="30"/>
      <c r="B473" s="30"/>
      <c r="C473" s="30"/>
      <c r="D473" s="30"/>
      <c r="E473" s="30"/>
      <c r="F473" s="30"/>
      <c r="I473" s="25"/>
      <c r="T473" s="50"/>
      <c r="U473" s="30"/>
      <c r="V473" s="30"/>
    </row>
    <row r="474">
      <c r="A474" s="30"/>
      <c r="B474" s="30"/>
      <c r="C474" s="30"/>
      <c r="D474" s="30"/>
      <c r="E474" s="30"/>
      <c r="F474" s="30"/>
      <c r="I474" s="25"/>
      <c r="T474" s="50"/>
      <c r="U474" s="30"/>
      <c r="V474" s="30"/>
    </row>
    <row r="475">
      <c r="A475" s="30"/>
      <c r="B475" s="30"/>
      <c r="C475" s="30"/>
      <c r="D475" s="30"/>
      <c r="E475" s="30"/>
      <c r="F475" s="30"/>
      <c r="I475" s="25"/>
      <c r="T475" s="50"/>
      <c r="U475" s="30"/>
      <c r="V475" s="30"/>
    </row>
    <row r="476">
      <c r="A476" s="30"/>
      <c r="B476" s="30"/>
      <c r="C476" s="30"/>
      <c r="D476" s="30"/>
      <c r="E476" s="30"/>
      <c r="F476" s="30"/>
      <c r="I476" s="25"/>
      <c r="T476" s="50"/>
      <c r="U476" s="30"/>
      <c r="V476" s="30"/>
    </row>
    <row r="477">
      <c r="A477" s="30"/>
      <c r="B477" s="30"/>
      <c r="C477" s="30"/>
      <c r="D477" s="30"/>
      <c r="E477" s="30"/>
      <c r="F477" s="30"/>
      <c r="I477" s="25"/>
      <c r="T477" s="50"/>
      <c r="U477" s="30"/>
      <c r="V477" s="30"/>
    </row>
    <row r="478">
      <c r="A478" s="30"/>
      <c r="B478" s="30"/>
      <c r="C478" s="30"/>
      <c r="D478" s="30"/>
      <c r="E478" s="30"/>
      <c r="F478" s="30"/>
      <c r="I478" s="25"/>
      <c r="T478" s="50"/>
      <c r="U478" s="30"/>
      <c r="V478" s="30"/>
    </row>
    <row r="479">
      <c r="A479" s="30"/>
      <c r="B479" s="30"/>
      <c r="C479" s="30"/>
      <c r="D479" s="30"/>
      <c r="E479" s="30"/>
      <c r="F479" s="30"/>
      <c r="I479" s="25"/>
      <c r="T479" s="50"/>
      <c r="U479" s="30"/>
      <c r="V479" s="30"/>
    </row>
    <row r="480">
      <c r="A480" s="30"/>
      <c r="B480" s="30"/>
      <c r="C480" s="30"/>
      <c r="D480" s="30"/>
      <c r="E480" s="30"/>
      <c r="F480" s="30"/>
      <c r="I480" s="25"/>
      <c r="T480" s="50"/>
      <c r="U480" s="30"/>
      <c r="V480" s="30"/>
    </row>
    <row r="481">
      <c r="A481" s="30"/>
      <c r="B481" s="30"/>
      <c r="C481" s="30"/>
      <c r="D481" s="30"/>
      <c r="E481" s="30"/>
      <c r="F481" s="30"/>
      <c r="I481" s="25"/>
      <c r="T481" s="50"/>
      <c r="U481" s="30"/>
      <c r="V481" s="30"/>
    </row>
    <row r="482">
      <c r="A482" s="30"/>
      <c r="B482" s="30"/>
      <c r="C482" s="30"/>
      <c r="D482" s="30"/>
      <c r="E482" s="30"/>
      <c r="F482" s="30"/>
      <c r="I482" s="25"/>
      <c r="T482" s="50"/>
      <c r="U482" s="30"/>
      <c r="V482" s="30"/>
    </row>
    <row r="483">
      <c r="A483" s="30"/>
      <c r="B483" s="30"/>
      <c r="C483" s="30"/>
      <c r="D483" s="30"/>
      <c r="E483" s="30"/>
      <c r="F483" s="30"/>
      <c r="I483" s="25"/>
      <c r="T483" s="50"/>
      <c r="U483" s="30"/>
      <c r="V483" s="30"/>
    </row>
    <row r="484">
      <c r="A484" s="30"/>
      <c r="B484" s="30"/>
      <c r="C484" s="30"/>
      <c r="D484" s="30"/>
      <c r="E484" s="30"/>
      <c r="F484" s="30"/>
      <c r="I484" s="25"/>
      <c r="T484" s="50"/>
      <c r="U484" s="30"/>
      <c r="V484" s="30"/>
    </row>
    <row r="485">
      <c r="A485" s="30"/>
      <c r="B485" s="30"/>
      <c r="C485" s="30"/>
      <c r="D485" s="30"/>
      <c r="E485" s="30"/>
      <c r="F485" s="30"/>
      <c r="I485" s="25"/>
      <c r="T485" s="50"/>
      <c r="U485" s="30"/>
      <c r="V485" s="30"/>
    </row>
    <row r="486">
      <c r="A486" s="30"/>
      <c r="B486" s="30"/>
      <c r="C486" s="30"/>
      <c r="D486" s="30"/>
      <c r="E486" s="30"/>
      <c r="F486" s="30"/>
      <c r="I486" s="25"/>
      <c r="T486" s="50"/>
      <c r="U486" s="30"/>
      <c r="V486" s="30"/>
    </row>
    <row r="487">
      <c r="A487" s="30"/>
      <c r="B487" s="30"/>
      <c r="C487" s="30"/>
      <c r="D487" s="30"/>
      <c r="E487" s="30"/>
      <c r="F487" s="30"/>
      <c r="I487" s="25"/>
      <c r="T487" s="50"/>
      <c r="U487" s="30"/>
      <c r="V487" s="30"/>
    </row>
    <row r="488">
      <c r="A488" s="30"/>
      <c r="B488" s="30"/>
      <c r="C488" s="30"/>
      <c r="D488" s="30"/>
      <c r="E488" s="30"/>
      <c r="F488" s="30"/>
      <c r="I488" s="25"/>
      <c r="T488" s="50"/>
      <c r="U488" s="30"/>
      <c r="V488" s="30"/>
    </row>
    <row r="489">
      <c r="A489" s="30"/>
      <c r="B489" s="30"/>
      <c r="C489" s="30"/>
      <c r="D489" s="30"/>
      <c r="E489" s="30"/>
      <c r="F489" s="30"/>
      <c r="I489" s="25"/>
      <c r="T489" s="50"/>
      <c r="U489" s="30"/>
      <c r="V489" s="30"/>
    </row>
    <row r="490">
      <c r="A490" s="30"/>
      <c r="B490" s="30"/>
      <c r="C490" s="30"/>
      <c r="D490" s="30"/>
      <c r="E490" s="30"/>
      <c r="F490" s="30"/>
      <c r="I490" s="25"/>
      <c r="T490" s="50"/>
      <c r="U490" s="30"/>
      <c r="V490" s="30"/>
    </row>
    <row r="491">
      <c r="A491" s="30"/>
      <c r="B491" s="30"/>
      <c r="C491" s="30"/>
      <c r="D491" s="30"/>
      <c r="E491" s="30"/>
      <c r="F491" s="30"/>
      <c r="I491" s="25"/>
      <c r="T491" s="50"/>
      <c r="U491" s="30"/>
      <c r="V491" s="30"/>
    </row>
    <row r="492">
      <c r="A492" s="30"/>
      <c r="B492" s="30"/>
      <c r="C492" s="30"/>
      <c r="D492" s="30"/>
      <c r="E492" s="30"/>
      <c r="F492" s="30"/>
      <c r="I492" s="25"/>
      <c r="T492" s="50"/>
      <c r="U492" s="30"/>
      <c r="V492" s="30"/>
    </row>
    <row r="493">
      <c r="A493" s="30"/>
      <c r="B493" s="30"/>
      <c r="C493" s="30"/>
      <c r="D493" s="30"/>
      <c r="E493" s="30"/>
      <c r="F493" s="30"/>
      <c r="I493" s="25"/>
      <c r="T493" s="50"/>
      <c r="U493" s="30"/>
      <c r="V493" s="30"/>
    </row>
    <row r="494">
      <c r="A494" s="30"/>
      <c r="B494" s="30"/>
      <c r="C494" s="30"/>
      <c r="D494" s="30"/>
      <c r="E494" s="30"/>
      <c r="F494" s="30"/>
      <c r="I494" s="25"/>
      <c r="T494" s="50"/>
      <c r="U494" s="30"/>
      <c r="V494" s="30"/>
    </row>
    <row r="495">
      <c r="A495" s="30"/>
      <c r="B495" s="30"/>
      <c r="C495" s="30"/>
      <c r="D495" s="30"/>
      <c r="E495" s="30"/>
      <c r="F495" s="30"/>
      <c r="I495" s="25"/>
      <c r="T495" s="50"/>
      <c r="U495" s="30"/>
      <c r="V495" s="30"/>
    </row>
    <row r="496">
      <c r="A496" s="30"/>
      <c r="B496" s="30"/>
      <c r="C496" s="30"/>
      <c r="D496" s="30"/>
      <c r="E496" s="30"/>
      <c r="F496" s="30"/>
      <c r="I496" s="25"/>
      <c r="T496" s="50"/>
      <c r="U496" s="30"/>
      <c r="V496" s="30"/>
    </row>
    <row r="497">
      <c r="A497" s="30"/>
      <c r="B497" s="30"/>
      <c r="C497" s="30"/>
      <c r="D497" s="30"/>
      <c r="E497" s="30"/>
      <c r="F497" s="30"/>
      <c r="I497" s="25"/>
      <c r="T497" s="50"/>
      <c r="U497" s="30"/>
      <c r="V497" s="30"/>
    </row>
    <row r="498">
      <c r="A498" s="30"/>
      <c r="B498" s="30"/>
      <c r="C498" s="30"/>
      <c r="D498" s="30"/>
      <c r="E498" s="30"/>
      <c r="F498" s="30"/>
      <c r="I498" s="25"/>
      <c r="T498" s="50"/>
      <c r="U498" s="30"/>
      <c r="V498" s="30"/>
    </row>
    <row r="499">
      <c r="A499" s="30"/>
      <c r="B499" s="30"/>
      <c r="C499" s="30"/>
      <c r="D499" s="30"/>
      <c r="E499" s="30"/>
      <c r="F499" s="30"/>
      <c r="I499" s="25"/>
      <c r="T499" s="50"/>
      <c r="U499" s="30"/>
      <c r="V499" s="30"/>
    </row>
    <row r="500">
      <c r="A500" s="30"/>
      <c r="B500" s="30"/>
      <c r="C500" s="30"/>
      <c r="D500" s="30"/>
      <c r="E500" s="30"/>
      <c r="F500" s="30"/>
      <c r="I500" s="25"/>
      <c r="T500" s="50"/>
      <c r="U500" s="30"/>
      <c r="V500" s="30"/>
    </row>
    <row r="501">
      <c r="A501" s="30"/>
      <c r="B501" s="30"/>
      <c r="C501" s="30"/>
      <c r="D501" s="30"/>
      <c r="E501" s="30"/>
      <c r="F501" s="30"/>
      <c r="I501" s="25"/>
      <c r="T501" s="50"/>
      <c r="U501" s="30"/>
      <c r="V501" s="30"/>
    </row>
    <row r="502">
      <c r="A502" s="30"/>
      <c r="B502" s="30"/>
      <c r="C502" s="30"/>
      <c r="D502" s="30"/>
      <c r="E502" s="30"/>
      <c r="F502" s="30"/>
      <c r="I502" s="25"/>
      <c r="T502" s="50"/>
      <c r="U502" s="30"/>
      <c r="V502" s="30"/>
    </row>
    <row r="503">
      <c r="A503" s="30"/>
      <c r="B503" s="30"/>
      <c r="C503" s="30"/>
      <c r="D503" s="30"/>
      <c r="E503" s="30"/>
      <c r="F503" s="30"/>
      <c r="I503" s="25"/>
    </row>
    <row r="504">
      <c r="A504" s="30"/>
      <c r="B504" s="30"/>
      <c r="C504" s="30"/>
      <c r="D504" s="30"/>
      <c r="E504" s="30"/>
      <c r="F504" s="30"/>
      <c r="I504" s="25"/>
    </row>
    <row r="505">
      <c r="A505" s="30"/>
      <c r="B505" s="30"/>
      <c r="C505" s="30"/>
      <c r="D505" s="30"/>
      <c r="E505" s="30"/>
      <c r="F505" s="30"/>
      <c r="I505" s="25"/>
    </row>
    <row r="506">
      <c r="A506" s="30"/>
      <c r="B506" s="30"/>
      <c r="C506" s="30"/>
      <c r="D506" s="30"/>
      <c r="E506" s="30"/>
      <c r="F506" s="30"/>
      <c r="I506" s="25"/>
    </row>
    <row r="507">
      <c r="A507" s="30"/>
      <c r="B507" s="30"/>
      <c r="C507" s="30"/>
      <c r="D507" s="30"/>
      <c r="E507" s="30"/>
      <c r="F507" s="30"/>
      <c r="I507" s="25"/>
    </row>
    <row r="508">
      <c r="A508" s="30"/>
      <c r="B508" s="30"/>
      <c r="C508" s="30"/>
      <c r="D508" s="30"/>
      <c r="E508" s="30"/>
      <c r="F508" s="30"/>
      <c r="I508" s="25"/>
    </row>
    <row r="509">
      <c r="A509" s="30"/>
      <c r="B509" s="30"/>
      <c r="C509" s="30"/>
      <c r="D509" s="30"/>
      <c r="E509" s="30"/>
      <c r="F509" s="30"/>
      <c r="I509" s="25"/>
    </row>
    <row r="510">
      <c r="A510" s="30"/>
      <c r="B510" s="30"/>
      <c r="C510" s="30"/>
      <c r="D510" s="30"/>
      <c r="E510" s="30"/>
      <c r="F510" s="30"/>
      <c r="I510" s="25"/>
    </row>
    <row r="511">
      <c r="A511" s="30"/>
      <c r="B511" s="30"/>
      <c r="C511" s="30"/>
      <c r="D511" s="30"/>
      <c r="E511" s="30"/>
      <c r="F511" s="30"/>
      <c r="I511" s="25"/>
    </row>
    <row r="512">
      <c r="A512" s="30"/>
      <c r="B512" s="30"/>
      <c r="C512" s="30"/>
      <c r="D512" s="30"/>
      <c r="E512" s="30"/>
      <c r="F512" s="30"/>
      <c r="I512" s="25"/>
    </row>
    <row r="513">
      <c r="A513" s="30"/>
      <c r="B513" s="30"/>
      <c r="C513" s="30"/>
      <c r="D513" s="30"/>
      <c r="E513" s="30"/>
      <c r="F513" s="30"/>
      <c r="I513" s="25"/>
    </row>
    <row r="514">
      <c r="A514" s="30"/>
      <c r="B514" s="30"/>
      <c r="C514" s="30"/>
      <c r="D514" s="30"/>
      <c r="E514" s="30"/>
      <c r="F514" s="30"/>
      <c r="I514" s="25"/>
    </row>
    <row r="515">
      <c r="A515" s="30"/>
      <c r="B515" s="30"/>
      <c r="C515" s="30"/>
      <c r="D515" s="30"/>
      <c r="E515" s="30"/>
      <c r="F515" s="30"/>
      <c r="I515" s="25"/>
    </row>
    <row r="516">
      <c r="A516" s="30"/>
      <c r="B516" s="30"/>
      <c r="C516" s="30"/>
      <c r="D516" s="30"/>
      <c r="E516" s="30"/>
      <c r="F516" s="30"/>
      <c r="I516" s="25"/>
    </row>
    <row r="517">
      <c r="A517" s="30"/>
      <c r="B517" s="30"/>
      <c r="C517" s="30"/>
      <c r="D517" s="30"/>
      <c r="E517" s="30"/>
      <c r="F517" s="30"/>
      <c r="I517" s="25"/>
    </row>
    <row r="518">
      <c r="A518" s="30"/>
      <c r="B518" s="30"/>
      <c r="C518" s="30"/>
      <c r="D518" s="30"/>
      <c r="E518" s="30"/>
      <c r="F518" s="30"/>
      <c r="I518" s="25"/>
    </row>
    <row r="519">
      <c r="A519" s="30"/>
      <c r="B519" s="30"/>
      <c r="C519" s="30"/>
      <c r="D519" s="30"/>
      <c r="E519" s="30"/>
      <c r="F519" s="30"/>
      <c r="I519" s="25"/>
    </row>
    <row r="520">
      <c r="A520" s="30"/>
      <c r="B520" s="30"/>
      <c r="C520" s="30"/>
      <c r="D520" s="30"/>
      <c r="E520" s="30"/>
      <c r="F520" s="30"/>
      <c r="I520" s="25"/>
    </row>
    <row r="521">
      <c r="A521" s="30"/>
      <c r="B521" s="30"/>
      <c r="C521" s="30"/>
      <c r="D521" s="30"/>
      <c r="E521" s="30"/>
      <c r="F521" s="30"/>
      <c r="I521" s="25"/>
    </row>
    <row r="522">
      <c r="A522" s="30"/>
      <c r="B522" s="30"/>
      <c r="C522" s="30"/>
      <c r="D522" s="30"/>
      <c r="E522" s="30"/>
      <c r="F522" s="30"/>
      <c r="I522" s="25"/>
    </row>
    <row r="523">
      <c r="A523" s="30"/>
      <c r="B523" s="30"/>
      <c r="C523" s="30"/>
      <c r="D523" s="30"/>
      <c r="E523" s="30"/>
      <c r="F523" s="30"/>
      <c r="I523" s="25"/>
    </row>
    <row r="524">
      <c r="A524" s="30"/>
      <c r="B524" s="30"/>
      <c r="C524" s="30"/>
      <c r="D524" s="30"/>
      <c r="E524" s="30"/>
      <c r="F524" s="30"/>
      <c r="I524" s="25"/>
    </row>
    <row r="525">
      <c r="A525" s="30"/>
      <c r="B525" s="30"/>
      <c r="C525" s="30"/>
      <c r="D525" s="30"/>
      <c r="E525" s="30"/>
      <c r="F525" s="30"/>
      <c r="I525" s="25"/>
    </row>
    <row r="526">
      <c r="A526" s="30"/>
      <c r="B526" s="30"/>
      <c r="C526" s="30"/>
      <c r="D526" s="30"/>
      <c r="E526" s="30"/>
      <c r="F526" s="30"/>
      <c r="I526" s="25"/>
    </row>
    <row r="527">
      <c r="A527" s="30"/>
      <c r="B527" s="30"/>
      <c r="C527" s="30"/>
      <c r="D527" s="30"/>
      <c r="E527" s="30"/>
      <c r="F527" s="30"/>
      <c r="I527" s="25"/>
    </row>
    <row r="528">
      <c r="A528" s="30"/>
      <c r="B528" s="30"/>
      <c r="C528" s="30"/>
      <c r="D528" s="30"/>
      <c r="E528" s="30"/>
      <c r="F528" s="30"/>
      <c r="I528" s="25"/>
    </row>
    <row r="529">
      <c r="A529" s="30"/>
      <c r="B529" s="30"/>
      <c r="C529" s="30"/>
      <c r="D529" s="30"/>
      <c r="E529" s="30"/>
      <c r="F529" s="30"/>
      <c r="I529" s="25"/>
    </row>
    <row r="530">
      <c r="A530" s="30"/>
      <c r="B530" s="30"/>
      <c r="C530" s="30"/>
      <c r="D530" s="30"/>
      <c r="E530" s="30"/>
      <c r="F530" s="30"/>
      <c r="I530" s="25"/>
    </row>
    <row r="531">
      <c r="A531" s="30"/>
      <c r="B531" s="30"/>
      <c r="C531" s="30"/>
      <c r="D531" s="30"/>
      <c r="E531" s="30"/>
      <c r="F531" s="30"/>
      <c r="I531" s="25"/>
    </row>
    <row r="532">
      <c r="A532" s="30"/>
      <c r="B532" s="30"/>
      <c r="C532" s="30"/>
      <c r="D532" s="30"/>
      <c r="E532" s="30"/>
      <c r="F532" s="30"/>
      <c r="I532" s="25"/>
    </row>
    <row r="533">
      <c r="A533" s="30"/>
      <c r="B533" s="30"/>
      <c r="C533" s="30"/>
      <c r="D533" s="30"/>
      <c r="E533" s="30"/>
      <c r="F533" s="30"/>
      <c r="I533" s="25"/>
    </row>
    <row r="534">
      <c r="A534" s="30"/>
      <c r="B534" s="30"/>
      <c r="C534" s="30"/>
      <c r="D534" s="30"/>
      <c r="E534" s="30"/>
      <c r="F534" s="30"/>
      <c r="I534" s="25"/>
    </row>
    <row r="535">
      <c r="A535" s="30"/>
      <c r="B535" s="30"/>
      <c r="C535" s="30"/>
      <c r="D535" s="30"/>
      <c r="E535" s="30"/>
      <c r="F535" s="30"/>
      <c r="I535" s="25"/>
    </row>
    <row r="536">
      <c r="A536" s="30"/>
      <c r="B536" s="30"/>
      <c r="C536" s="30"/>
      <c r="D536" s="30"/>
      <c r="E536" s="30"/>
      <c r="F536" s="30"/>
      <c r="I536" s="25"/>
    </row>
    <row r="537">
      <c r="A537" s="30"/>
      <c r="B537" s="30"/>
      <c r="C537" s="30"/>
      <c r="D537" s="30"/>
      <c r="E537" s="30"/>
      <c r="F537" s="30"/>
      <c r="I537" s="25"/>
    </row>
    <row r="538">
      <c r="A538" s="30"/>
      <c r="B538" s="30"/>
      <c r="C538" s="30"/>
      <c r="D538" s="30"/>
      <c r="E538" s="30"/>
      <c r="F538" s="30"/>
      <c r="I538" s="25"/>
    </row>
    <row r="539">
      <c r="A539" s="30"/>
      <c r="B539" s="30"/>
      <c r="C539" s="30"/>
      <c r="D539" s="30"/>
      <c r="E539" s="30"/>
      <c r="F539" s="30"/>
      <c r="I539" s="25"/>
    </row>
    <row r="540">
      <c r="A540" s="30"/>
      <c r="B540" s="30"/>
      <c r="C540" s="30"/>
      <c r="D540" s="30"/>
      <c r="E540" s="30"/>
      <c r="F540" s="30"/>
      <c r="I540" s="25"/>
    </row>
    <row r="541">
      <c r="A541" s="30"/>
      <c r="B541" s="30"/>
      <c r="C541" s="30"/>
      <c r="D541" s="30"/>
      <c r="E541" s="30"/>
      <c r="F541" s="30"/>
      <c r="I541" s="25"/>
    </row>
    <row r="542">
      <c r="A542" s="30"/>
      <c r="B542" s="30"/>
      <c r="C542" s="30"/>
      <c r="D542" s="30"/>
      <c r="E542" s="30"/>
      <c r="F542" s="30"/>
      <c r="I542" s="25"/>
    </row>
    <row r="543">
      <c r="A543" s="30"/>
      <c r="B543" s="30"/>
      <c r="C543" s="30"/>
      <c r="D543" s="30"/>
      <c r="E543" s="30"/>
      <c r="F543" s="30"/>
      <c r="I543" s="25"/>
    </row>
    <row r="544">
      <c r="A544" s="30"/>
      <c r="B544" s="30"/>
      <c r="C544" s="30"/>
      <c r="D544" s="30"/>
      <c r="E544" s="30"/>
      <c r="F544" s="30"/>
      <c r="I544" s="25"/>
    </row>
    <row r="545">
      <c r="A545" s="30"/>
      <c r="B545" s="30"/>
      <c r="C545" s="30"/>
      <c r="D545" s="30"/>
      <c r="E545" s="30"/>
      <c r="F545" s="30"/>
      <c r="I545" s="25"/>
    </row>
    <row r="546">
      <c r="A546" s="30"/>
      <c r="B546" s="30"/>
      <c r="C546" s="30"/>
      <c r="D546" s="30"/>
      <c r="E546" s="30"/>
      <c r="F546" s="30"/>
      <c r="I546" s="25"/>
    </row>
    <row r="547">
      <c r="A547" s="30"/>
      <c r="B547" s="30"/>
      <c r="C547" s="30"/>
      <c r="D547" s="30"/>
      <c r="E547" s="30"/>
      <c r="F547" s="30"/>
      <c r="I547" s="25"/>
    </row>
    <row r="548">
      <c r="A548" s="30"/>
      <c r="B548" s="30"/>
      <c r="C548" s="30"/>
      <c r="D548" s="30"/>
      <c r="E548" s="30"/>
      <c r="F548" s="30"/>
      <c r="I548" s="25"/>
    </row>
    <row r="549">
      <c r="A549" s="30"/>
      <c r="B549" s="30"/>
      <c r="C549" s="30"/>
      <c r="D549" s="30"/>
      <c r="E549" s="30"/>
      <c r="F549" s="30"/>
      <c r="I549" s="25"/>
    </row>
    <row r="550">
      <c r="A550" s="30"/>
      <c r="B550" s="30"/>
      <c r="C550" s="30"/>
      <c r="D550" s="30"/>
      <c r="E550" s="30"/>
      <c r="F550" s="30"/>
      <c r="I550" s="25"/>
    </row>
    <row r="551">
      <c r="A551" s="30"/>
      <c r="B551" s="30"/>
      <c r="C551" s="30"/>
      <c r="D551" s="30"/>
      <c r="E551" s="30"/>
      <c r="F551" s="30"/>
      <c r="I551" s="25"/>
    </row>
    <row r="552">
      <c r="A552" s="30"/>
      <c r="B552" s="30"/>
      <c r="C552" s="30"/>
      <c r="D552" s="30"/>
      <c r="E552" s="30"/>
      <c r="F552" s="30"/>
      <c r="I552" s="25"/>
    </row>
    <row r="553">
      <c r="A553" s="30"/>
      <c r="B553" s="30"/>
      <c r="C553" s="30"/>
      <c r="D553" s="30"/>
      <c r="E553" s="30"/>
      <c r="F553" s="30"/>
      <c r="I553" s="25"/>
    </row>
    <row r="554">
      <c r="A554" s="30"/>
      <c r="B554" s="30"/>
      <c r="C554" s="30"/>
      <c r="D554" s="30"/>
      <c r="E554" s="30"/>
      <c r="F554" s="30"/>
      <c r="I554" s="25"/>
    </row>
    <row r="555">
      <c r="A555" s="30"/>
      <c r="B555" s="30"/>
      <c r="C555" s="30"/>
      <c r="D555" s="30"/>
      <c r="E555" s="30"/>
      <c r="F555" s="30"/>
      <c r="I555" s="25"/>
    </row>
    <row r="556">
      <c r="A556" s="30"/>
      <c r="B556" s="30"/>
      <c r="C556" s="30"/>
      <c r="D556" s="30"/>
      <c r="E556" s="30"/>
      <c r="F556" s="30"/>
      <c r="I556" s="25"/>
    </row>
    <row r="557">
      <c r="A557" s="30"/>
      <c r="B557" s="30"/>
      <c r="C557" s="30"/>
      <c r="D557" s="30"/>
      <c r="E557" s="30"/>
      <c r="F557" s="30"/>
      <c r="I557" s="25"/>
    </row>
    <row r="558">
      <c r="A558" s="30"/>
      <c r="B558" s="30"/>
      <c r="C558" s="30"/>
      <c r="D558" s="30"/>
      <c r="E558" s="30"/>
      <c r="F558" s="30"/>
      <c r="I558" s="25"/>
    </row>
    <row r="559">
      <c r="A559" s="30"/>
      <c r="B559" s="30"/>
      <c r="C559" s="30"/>
      <c r="D559" s="30"/>
      <c r="E559" s="30"/>
      <c r="F559" s="30"/>
      <c r="I559" s="25"/>
    </row>
    <row r="560">
      <c r="A560" s="30"/>
      <c r="B560" s="30"/>
      <c r="C560" s="30"/>
      <c r="D560" s="30"/>
      <c r="E560" s="30"/>
      <c r="F560" s="30"/>
      <c r="I560" s="25"/>
    </row>
    <row r="561">
      <c r="A561" s="30"/>
      <c r="B561" s="30"/>
      <c r="C561" s="30"/>
      <c r="D561" s="30"/>
      <c r="E561" s="30"/>
      <c r="F561" s="30"/>
      <c r="I561" s="25"/>
    </row>
    <row r="562">
      <c r="A562" s="30"/>
      <c r="B562" s="30"/>
      <c r="C562" s="30"/>
      <c r="D562" s="30"/>
      <c r="E562" s="30"/>
      <c r="F562" s="30"/>
      <c r="I562" s="25"/>
    </row>
    <row r="563">
      <c r="A563" s="30"/>
      <c r="B563" s="30"/>
      <c r="C563" s="30"/>
      <c r="D563" s="30"/>
      <c r="E563" s="30"/>
      <c r="F563" s="30"/>
      <c r="I563" s="25"/>
    </row>
    <row r="564">
      <c r="A564" s="30"/>
      <c r="B564" s="30"/>
      <c r="C564" s="30"/>
      <c r="D564" s="30"/>
      <c r="E564" s="30"/>
      <c r="F564" s="30"/>
      <c r="I564" s="25"/>
    </row>
    <row r="565">
      <c r="A565" s="30"/>
      <c r="B565" s="30"/>
      <c r="C565" s="30"/>
      <c r="D565" s="30"/>
      <c r="E565" s="30"/>
      <c r="F565" s="30"/>
      <c r="I565" s="25"/>
    </row>
    <row r="566">
      <c r="A566" s="30"/>
      <c r="B566" s="30"/>
      <c r="C566" s="30"/>
      <c r="D566" s="30"/>
      <c r="E566" s="30"/>
      <c r="F566" s="30"/>
      <c r="I566" s="25"/>
    </row>
    <row r="567">
      <c r="A567" s="30"/>
      <c r="B567" s="30"/>
      <c r="C567" s="30"/>
      <c r="D567" s="30"/>
      <c r="E567" s="30"/>
      <c r="F567" s="30"/>
      <c r="I567" s="25"/>
    </row>
    <row r="568">
      <c r="A568" s="30"/>
      <c r="B568" s="30"/>
      <c r="C568" s="30"/>
      <c r="D568" s="30"/>
      <c r="E568" s="30"/>
      <c r="F568" s="30"/>
      <c r="I568" s="25"/>
    </row>
    <row r="569">
      <c r="A569" s="30"/>
      <c r="B569" s="30"/>
      <c r="C569" s="30"/>
      <c r="D569" s="30"/>
      <c r="E569" s="30"/>
      <c r="F569" s="30"/>
      <c r="I569" s="25"/>
    </row>
    <row r="570">
      <c r="A570" s="30"/>
      <c r="B570" s="30"/>
      <c r="C570" s="30"/>
      <c r="D570" s="30"/>
      <c r="E570" s="30"/>
      <c r="F570" s="30"/>
      <c r="I570" s="25"/>
    </row>
    <row r="571">
      <c r="A571" s="30"/>
      <c r="B571" s="30"/>
      <c r="C571" s="30"/>
      <c r="D571" s="30"/>
      <c r="E571" s="30"/>
      <c r="F571" s="30"/>
      <c r="I571" s="25"/>
    </row>
    <row r="572">
      <c r="A572" s="30"/>
      <c r="B572" s="30"/>
      <c r="C572" s="30"/>
      <c r="D572" s="30"/>
      <c r="E572" s="30"/>
      <c r="F572" s="30"/>
      <c r="I572" s="25"/>
    </row>
    <row r="573">
      <c r="A573" s="30"/>
      <c r="B573" s="30"/>
      <c r="C573" s="30"/>
      <c r="D573" s="30"/>
      <c r="E573" s="30"/>
      <c r="F573" s="30"/>
      <c r="I573" s="25"/>
    </row>
    <row r="574">
      <c r="A574" s="30"/>
      <c r="B574" s="30"/>
      <c r="C574" s="30"/>
      <c r="D574" s="30"/>
      <c r="E574" s="30"/>
      <c r="F574" s="30"/>
      <c r="I574" s="25"/>
    </row>
    <row r="575">
      <c r="A575" s="30"/>
      <c r="B575" s="30"/>
      <c r="C575" s="30"/>
      <c r="D575" s="30"/>
      <c r="E575" s="30"/>
      <c r="F575" s="30"/>
      <c r="I575" s="25"/>
    </row>
    <row r="576">
      <c r="A576" s="30"/>
      <c r="B576" s="30"/>
      <c r="C576" s="30"/>
      <c r="D576" s="30"/>
      <c r="E576" s="30"/>
      <c r="F576" s="30"/>
      <c r="I576" s="25"/>
    </row>
    <row r="577">
      <c r="A577" s="30"/>
      <c r="B577" s="30"/>
      <c r="C577" s="30"/>
      <c r="D577" s="30"/>
      <c r="E577" s="30"/>
      <c r="F577" s="30"/>
      <c r="I577" s="25"/>
    </row>
    <row r="578">
      <c r="A578" s="30"/>
      <c r="B578" s="30"/>
      <c r="C578" s="30"/>
      <c r="D578" s="30"/>
      <c r="E578" s="30"/>
      <c r="F578" s="30"/>
      <c r="I578" s="25"/>
    </row>
    <row r="579">
      <c r="A579" s="30"/>
      <c r="B579" s="30"/>
      <c r="C579" s="30"/>
      <c r="D579" s="30"/>
      <c r="E579" s="30"/>
      <c r="F579" s="30"/>
      <c r="I579" s="25"/>
    </row>
    <row r="580">
      <c r="A580" s="30"/>
      <c r="B580" s="30"/>
      <c r="C580" s="30"/>
      <c r="D580" s="30"/>
      <c r="E580" s="30"/>
      <c r="F580" s="30"/>
      <c r="I580" s="25"/>
    </row>
    <row r="581">
      <c r="A581" s="30"/>
      <c r="B581" s="30"/>
      <c r="C581" s="30"/>
      <c r="D581" s="30"/>
      <c r="E581" s="30"/>
      <c r="F581" s="30"/>
      <c r="I581" s="25"/>
    </row>
    <row r="582">
      <c r="A582" s="30"/>
      <c r="B582" s="30"/>
      <c r="C582" s="30"/>
      <c r="D582" s="30"/>
      <c r="E582" s="30"/>
      <c r="F582" s="30"/>
      <c r="I582" s="25"/>
    </row>
    <row r="583">
      <c r="A583" s="30"/>
      <c r="B583" s="30"/>
      <c r="C583" s="30"/>
      <c r="D583" s="30"/>
      <c r="E583" s="30"/>
      <c r="F583" s="30"/>
      <c r="I583" s="25"/>
    </row>
    <row r="584">
      <c r="A584" s="30"/>
      <c r="B584" s="30"/>
      <c r="C584" s="30"/>
      <c r="D584" s="30"/>
      <c r="E584" s="30"/>
      <c r="F584" s="30"/>
      <c r="I584" s="25"/>
    </row>
    <row r="585">
      <c r="A585" s="30"/>
      <c r="B585" s="30"/>
      <c r="C585" s="30"/>
      <c r="D585" s="30"/>
      <c r="E585" s="30"/>
      <c r="F585" s="30"/>
      <c r="I585" s="25"/>
    </row>
    <row r="586">
      <c r="A586" s="30"/>
      <c r="B586" s="30"/>
      <c r="C586" s="30"/>
      <c r="D586" s="30"/>
      <c r="E586" s="30"/>
      <c r="F586" s="30"/>
      <c r="I586" s="25"/>
    </row>
    <row r="587">
      <c r="A587" s="30"/>
      <c r="B587" s="30"/>
      <c r="C587" s="30"/>
      <c r="D587" s="30"/>
      <c r="E587" s="30"/>
      <c r="F587" s="30"/>
      <c r="I587" s="25"/>
    </row>
    <row r="588">
      <c r="A588" s="30"/>
      <c r="B588" s="30"/>
      <c r="C588" s="30"/>
      <c r="D588" s="30"/>
      <c r="E588" s="30"/>
      <c r="F588" s="30"/>
      <c r="I588" s="25"/>
    </row>
    <row r="589">
      <c r="A589" s="30"/>
      <c r="B589" s="30"/>
      <c r="C589" s="30"/>
      <c r="D589" s="30"/>
      <c r="E589" s="30"/>
      <c r="F589" s="30"/>
      <c r="I589" s="25"/>
    </row>
    <row r="590">
      <c r="A590" s="30"/>
      <c r="B590" s="30"/>
      <c r="C590" s="30"/>
      <c r="D590" s="30"/>
      <c r="E590" s="30"/>
      <c r="F590" s="30"/>
      <c r="I590" s="25"/>
    </row>
    <row r="591">
      <c r="A591" s="30"/>
      <c r="B591" s="30"/>
      <c r="C591" s="30"/>
      <c r="D591" s="30"/>
      <c r="E591" s="30"/>
      <c r="F591" s="30"/>
      <c r="I591" s="25"/>
    </row>
    <row r="592">
      <c r="A592" s="30"/>
      <c r="B592" s="30"/>
      <c r="C592" s="30"/>
      <c r="D592" s="30"/>
      <c r="E592" s="30"/>
      <c r="F592" s="30"/>
      <c r="I592" s="25"/>
    </row>
    <row r="593">
      <c r="A593" s="30"/>
      <c r="B593" s="30"/>
      <c r="C593" s="30"/>
      <c r="D593" s="30"/>
      <c r="E593" s="30"/>
      <c r="F593" s="30"/>
      <c r="I593" s="25"/>
    </row>
    <row r="594">
      <c r="A594" s="30"/>
      <c r="B594" s="30"/>
      <c r="C594" s="30"/>
      <c r="D594" s="30"/>
      <c r="E594" s="30"/>
      <c r="F594" s="30"/>
      <c r="I594" s="25"/>
    </row>
    <row r="595">
      <c r="A595" s="30"/>
      <c r="B595" s="30"/>
      <c r="C595" s="30"/>
      <c r="D595" s="30"/>
      <c r="E595" s="30"/>
      <c r="F595" s="30"/>
      <c r="I595" s="25"/>
    </row>
    <row r="596">
      <c r="A596" s="30"/>
      <c r="B596" s="30"/>
      <c r="C596" s="30"/>
      <c r="D596" s="30"/>
      <c r="E596" s="30"/>
      <c r="F596" s="30"/>
      <c r="I596" s="25"/>
    </row>
    <row r="597">
      <c r="A597" s="30"/>
      <c r="B597" s="30"/>
      <c r="C597" s="30"/>
      <c r="D597" s="30"/>
      <c r="E597" s="30"/>
      <c r="F597" s="30"/>
      <c r="I597" s="25"/>
    </row>
    <row r="598">
      <c r="A598" s="30"/>
      <c r="B598" s="30"/>
      <c r="C598" s="30"/>
      <c r="D598" s="30"/>
      <c r="E598" s="30"/>
      <c r="F598" s="30"/>
      <c r="I598" s="25"/>
    </row>
    <row r="599">
      <c r="A599" s="30"/>
      <c r="B599" s="30"/>
      <c r="C599" s="30"/>
      <c r="D599" s="30"/>
      <c r="E599" s="30"/>
      <c r="F599" s="30"/>
      <c r="I599" s="25"/>
    </row>
    <row r="600">
      <c r="A600" s="30"/>
      <c r="B600" s="30"/>
      <c r="C600" s="30"/>
      <c r="D600" s="30"/>
      <c r="E600" s="30"/>
      <c r="F600" s="30"/>
      <c r="I600" s="25"/>
    </row>
    <row r="601">
      <c r="A601" s="30"/>
      <c r="B601" s="30"/>
      <c r="C601" s="30"/>
      <c r="D601" s="30"/>
      <c r="E601" s="30"/>
      <c r="F601" s="30"/>
      <c r="I601" s="25"/>
    </row>
    <row r="602">
      <c r="A602" s="30"/>
      <c r="B602" s="30"/>
      <c r="C602" s="30"/>
      <c r="D602" s="30"/>
      <c r="E602" s="30"/>
      <c r="F602" s="30"/>
      <c r="I602" s="25"/>
    </row>
    <row r="603">
      <c r="A603" s="30"/>
      <c r="B603" s="30"/>
      <c r="C603" s="30"/>
      <c r="D603" s="30"/>
      <c r="E603" s="30"/>
      <c r="F603" s="30"/>
      <c r="I603" s="25"/>
    </row>
    <row r="604">
      <c r="A604" s="30"/>
      <c r="B604" s="30"/>
      <c r="C604" s="30"/>
      <c r="D604" s="30"/>
      <c r="E604" s="30"/>
      <c r="F604" s="30"/>
      <c r="I604" s="25"/>
    </row>
    <row r="605">
      <c r="A605" s="30"/>
      <c r="B605" s="30"/>
      <c r="C605" s="30"/>
      <c r="D605" s="30"/>
      <c r="E605" s="30"/>
      <c r="F605" s="30"/>
      <c r="I605" s="25"/>
    </row>
    <row r="606">
      <c r="A606" s="30"/>
      <c r="B606" s="30"/>
      <c r="C606" s="30"/>
      <c r="D606" s="30"/>
      <c r="E606" s="30"/>
      <c r="F606" s="30"/>
      <c r="I606" s="25"/>
    </row>
    <row r="607">
      <c r="A607" s="30"/>
      <c r="B607" s="30"/>
      <c r="C607" s="30"/>
      <c r="D607" s="30"/>
      <c r="E607" s="30"/>
      <c r="F607" s="30"/>
      <c r="I607" s="25"/>
    </row>
    <row r="608">
      <c r="A608" s="30"/>
      <c r="B608" s="30"/>
      <c r="C608" s="30"/>
      <c r="D608" s="30"/>
      <c r="E608" s="30"/>
      <c r="F608" s="30"/>
      <c r="I608" s="25"/>
    </row>
    <row r="609">
      <c r="A609" s="30"/>
      <c r="B609" s="30"/>
      <c r="C609" s="30"/>
      <c r="D609" s="30"/>
      <c r="E609" s="30"/>
      <c r="F609" s="30"/>
      <c r="I609" s="25"/>
    </row>
    <row r="610">
      <c r="A610" s="30"/>
      <c r="B610" s="30"/>
      <c r="C610" s="30"/>
      <c r="D610" s="30"/>
      <c r="E610" s="30"/>
      <c r="F610" s="30"/>
      <c r="I610" s="25"/>
    </row>
    <row r="611">
      <c r="A611" s="30"/>
      <c r="B611" s="30"/>
      <c r="C611" s="30"/>
      <c r="D611" s="30"/>
      <c r="E611" s="30"/>
      <c r="F611" s="30"/>
      <c r="I611" s="25"/>
    </row>
    <row r="612">
      <c r="A612" s="30"/>
      <c r="B612" s="30"/>
      <c r="C612" s="30"/>
      <c r="D612" s="30"/>
      <c r="E612" s="30"/>
      <c r="F612" s="30"/>
      <c r="I612" s="25"/>
    </row>
    <row r="613">
      <c r="A613" s="30"/>
      <c r="B613" s="30"/>
      <c r="C613" s="30"/>
      <c r="D613" s="30"/>
      <c r="E613" s="30"/>
      <c r="F613" s="30"/>
      <c r="I613" s="25"/>
    </row>
    <row r="614">
      <c r="A614" s="30"/>
      <c r="B614" s="30"/>
      <c r="C614" s="30"/>
      <c r="D614" s="30"/>
      <c r="E614" s="30"/>
      <c r="F614" s="30"/>
      <c r="I614" s="25"/>
    </row>
    <row r="615">
      <c r="A615" s="30"/>
      <c r="B615" s="30"/>
      <c r="C615" s="30"/>
      <c r="D615" s="30"/>
      <c r="E615" s="30"/>
      <c r="F615" s="30"/>
      <c r="I615" s="25"/>
    </row>
    <row r="616">
      <c r="A616" s="30"/>
      <c r="B616" s="30"/>
      <c r="C616" s="30"/>
      <c r="D616" s="30"/>
      <c r="E616" s="30"/>
      <c r="F616" s="30"/>
      <c r="I616" s="25"/>
    </row>
    <row r="617">
      <c r="A617" s="30"/>
      <c r="B617" s="30"/>
      <c r="C617" s="30"/>
      <c r="D617" s="30"/>
      <c r="E617" s="30"/>
      <c r="F617" s="30"/>
      <c r="I617" s="25"/>
    </row>
    <row r="618">
      <c r="A618" s="30"/>
      <c r="B618" s="30"/>
      <c r="C618" s="30"/>
      <c r="D618" s="30"/>
      <c r="E618" s="30"/>
      <c r="F618" s="30"/>
      <c r="I618" s="25"/>
    </row>
    <row r="619">
      <c r="A619" s="30"/>
      <c r="B619" s="30"/>
      <c r="C619" s="30"/>
      <c r="D619" s="30"/>
      <c r="E619" s="30"/>
      <c r="F619" s="30"/>
      <c r="I619" s="25"/>
    </row>
    <row r="620">
      <c r="A620" s="30"/>
      <c r="B620" s="30"/>
      <c r="C620" s="30"/>
      <c r="D620" s="30"/>
      <c r="E620" s="30"/>
      <c r="F620" s="30"/>
      <c r="I620" s="25"/>
    </row>
    <row r="621">
      <c r="A621" s="30"/>
      <c r="B621" s="30"/>
      <c r="C621" s="30"/>
      <c r="D621" s="30"/>
      <c r="E621" s="30"/>
      <c r="F621" s="30"/>
      <c r="I621" s="25"/>
    </row>
    <row r="622">
      <c r="A622" s="30"/>
      <c r="B622" s="30"/>
      <c r="C622" s="30"/>
      <c r="D622" s="30"/>
      <c r="E622" s="30"/>
      <c r="F622" s="30"/>
      <c r="I622" s="25"/>
    </row>
    <row r="623">
      <c r="A623" s="30"/>
      <c r="B623" s="30"/>
      <c r="C623" s="30"/>
      <c r="D623" s="30"/>
      <c r="E623" s="30"/>
      <c r="F623" s="30"/>
      <c r="I623" s="25"/>
    </row>
    <row r="624">
      <c r="A624" s="30"/>
      <c r="B624" s="30"/>
      <c r="C624" s="30"/>
      <c r="D624" s="30"/>
      <c r="E624" s="30"/>
      <c r="F624" s="30"/>
      <c r="I624" s="25"/>
    </row>
    <row r="625">
      <c r="A625" s="30"/>
      <c r="B625" s="30"/>
      <c r="C625" s="30"/>
      <c r="D625" s="30"/>
      <c r="E625" s="30"/>
      <c r="F625" s="30"/>
      <c r="I625" s="25"/>
    </row>
    <row r="626">
      <c r="A626" s="30"/>
      <c r="B626" s="30"/>
      <c r="C626" s="30"/>
      <c r="D626" s="30"/>
      <c r="E626" s="30"/>
      <c r="F626" s="30"/>
      <c r="I626" s="25"/>
    </row>
    <row r="627">
      <c r="A627" s="30"/>
      <c r="B627" s="30"/>
      <c r="C627" s="30"/>
      <c r="D627" s="30"/>
      <c r="E627" s="30"/>
      <c r="F627" s="30"/>
      <c r="I627" s="25"/>
    </row>
    <row r="628">
      <c r="A628" s="30"/>
      <c r="B628" s="30"/>
      <c r="C628" s="30"/>
      <c r="D628" s="30"/>
      <c r="E628" s="30"/>
      <c r="F628" s="30"/>
      <c r="I628" s="25"/>
    </row>
    <row r="629">
      <c r="A629" s="30"/>
      <c r="B629" s="30"/>
      <c r="C629" s="30"/>
      <c r="D629" s="30"/>
      <c r="E629" s="30"/>
      <c r="F629" s="30"/>
      <c r="I629" s="25"/>
    </row>
    <row r="630">
      <c r="A630" s="30"/>
      <c r="B630" s="30"/>
      <c r="C630" s="30"/>
      <c r="D630" s="30"/>
      <c r="E630" s="30"/>
      <c r="F630" s="30"/>
      <c r="I630" s="25"/>
    </row>
    <row r="631">
      <c r="A631" s="30"/>
      <c r="B631" s="30"/>
      <c r="C631" s="30"/>
      <c r="D631" s="30"/>
      <c r="E631" s="30"/>
      <c r="F631" s="30"/>
      <c r="I631" s="25"/>
    </row>
    <row r="632">
      <c r="A632" s="30"/>
      <c r="B632" s="30"/>
      <c r="C632" s="30"/>
      <c r="D632" s="30"/>
      <c r="E632" s="30"/>
      <c r="F632" s="30"/>
      <c r="I632" s="25"/>
    </row>
    <row r="633">
      <c r="A633" s="30"/>
      <c r="B633" s="30"/>
      <c r="C633" s="30"/>
      <c r="D633" s="30"/>
      <c r="E633" s="30"/>
      <c r="F633" s="30"/>
      <c r="I633" s="25"/>
    </row>
    <row r="634">
      <c r="A634" s="30"/>
      <c r="B634" s="30"/>
      <c r="C634" s="30"/>
      <c r="D634" s="30"/>
      <c r="E634" s="30"/>
      <c r="F634" s="30"/>
      <c r="I634" s="25"/>
    </row>
    <row r="635">
      <c r="A635" s="30"/>
      <c r="B635" s="30"/>
      <c r="C635" s="30"/>
      <c r="D635" s="30"/>
      <c r="E635" s="30"/>
      <c r="F635" s="30"/>
      <c r="I635" s="25"/>
    </row>
    <row r="636">
      <c r="A636" s="30"/>
      <c r="B636" s="30"/>
      <c r="C636" s="30"/>
      <c r="D636" s="30"/>
      <c r="E636" s="30"/>
      <c r="F636" s="30"/>
      <c r="I636" s="25"/>
    </row>
    <row r="637">
      <c r="A637" s="30"/>
      <c r="B637" s="30"/>
      <c r="C637" s="30"/>
      <c r="D637" s="30"/>
      <c r="E637" s="30"/>
      <c r="F637" s="30"/>
      <c r="I637" s="25"/>
    </row>
    <row r="638">
      <c r="A638" s="30"/>
      <c r="B638" s="30"/>
      <c r="C638" s="30"/>
      <c r="D638" s="30"/>
      <c r="E638" s="30"/>
      <c r="F638" s="30"/>
      <c r="I638" s="25"/>
    </row>
    <row r="639">
      <c r="A639" s="30"/>
      <c r="B639" s="30"/>
      <c r="C639" s="30"/>
      <c r="D639" s="30"/>
      <c r="E639" s="30"/>
      <c r="F639" s="30"/>
      <c r="I639" s="25"/>
    </row>
    <row r="640">
      <c r="A640" s="30"/>
      <c r="B640" s="30"/>
      <c r="C640" s="30"/>
      <c r="D640" s="30"/>
      <c r="E640" s="30"/>
      <c r="F640" s="30"/>
      <c r="I640" s="25"/>
    </row>
    <row r="641">
      <c r="A641" s="30"/>
      <c r="B641" s="30"/>
      <c r="C641" s="30"/>
      <c r="D641" s="30"/>
      <c r="E641" s="30"/>
      <c r="F641" s="30"/>
      <c r="I641" s="25"/>
    </row>
    <row r="642">
      <c r="A642" s="30"/>
      <c r="B642" s="30"/>
      <c r="C642" s="30"/>
      <c r="D642" s="30"/>
      <c r="E642" s="30"/>
      <c r="F642" s="30"/>
      <c r="I642" s="25"/>
    </row>
    <row r="643">
      <c r="A643" s="30"/>
      <c r="B643" s="30"/>
      <c r="C643" s="30"/>
      <c r="D643" s="30"/>
      <c r="E643" s="30"/>
      <c r="F643" s="30"/>
      <c r="I643" s="25"/>
    </row>
    <row r="644">
      <c r="A644" s="30"/>
      <c r="B644" s="30"/>
      <c r="C644" s="30"/>
      <c r="D644" s="30"/>
      <c r="E644" s="30"/>
      <c r="F644" s="30"/>
      <c r="I644" s="25"/>
    </row>
    <row r="645">
      <c r="A645" s="30"/>
      <c r="B645" s="30"/>
      <c r="C645" s="30"/>
      <c r="D645" s="30"/>
      <c r="E645" s="30"/>
      <c r="F645" s="30"/>
      <c r="I645" s="25"/>
    </row>
    <row r="646">
      <c r="A646" s="30"/>
      <c r="B646" s="30"/>
      <c r="C646" s="30"/>
      <c r="D646" s="30"/>
      <c r="E646" s="30"/>
      <c r="F646" s="30"/>
      <c r="I646" s="25"/>
    </row>
    <row r="647">
      <c r="A647" s="30"/>
      <c r="B647" s="30"/>
      <c r="C647" s="30"/>
      <c r="D647" s="30"/>
      <c r="E647" s="30"/>
      <c r="F647" s="30"/>
      <c r="I647" s="25"/>
    </row>
    <row r="648">
      <c r="A648" s="30"/>
      <c r="B648" s="30"/>
      <c r="C648" s="30"/>
      <c r="D648" s="30"/>
      <c r="E648" s="30"/>
      <c r="F648" s="30"/>
      <c r="I648" s="25"/>
    </row>
    <row r="649">
      <c r="A649" s="30"/>
      <c r="B649" s="30"/>
      <c r="C649" s="30"/>
      <c r="D649" s="30"/>
      <c r="E649" s="30"/>
      <c r="F649" s="30"/>
      <c r="I649" s="25"/>
    </row>
    <row r="650">
      <c r="A650" s="30"/>
      <c r="B650" s="30"/>
      <c r="C650" s="30"/>
      <c r="D650" s="30"/>
      <c r="E650" s="30"/>
      <c r="F650" s="30"/>
      <c r="I650" s="25"/>
    </row>
    <row r="651">
      <c r="A651" s="30"/>
      <c r="B651" s="30"/>
      <c r="C651" s="30"/>
      <c r="D651" s="30"/>
      <c r="E651" s="30"/>
      <c r="F651" s="30"/>
      <c r="I651" s="25"/>
    </row>
    <row r="652">
      <c r="A652" s="30"/>
      <c r="B652" s="30"/>
      <c r="C652" s="30"/>
      <c r="D652" s="30"/>
      <c r="E652" s="30"/>
      <c r="F652" s="30"/>
      <c r="I652" s="25"/>
    </row>
    <row r="653">
      <c r="A653" s="30"/>
      <c r="B653" s="30"/>
      <c r="C653" s="30"/>
      <c r="D653" s="30"/>
      <c r="E653" s="30"/>
      <c r="F653" s="30"/>
      <c r="I653" s="25"/>
    </row>
    <row r="654">
      <c r="A654" s="30"/>
      <c r="B654" s="30"/>
      <c r="C654" s="30"/>
      <c r="D654" s="30"/>
      <c r="E654" s="30"/>
      <c r="F654" s="30"/>
      <c r="I654" s="25"/>
    </row>
    <row r="655">
      <c r="A655" s="30"/>
      <c r="B655" s="30"/>
      <c r="C655" s="30"/>
      <c r="D655" s="30"/>
      <c r="E655" s="30"/>
      <c r="F655" s="30"/>
      <c r="I655" s="25"/>
    </row>
    <row r="656">
      <c r="A656" s="30"/>
      <c r="B656" s="30"/>
      <c r="C656" s="30"/>
      <c r="D656" s="30"/>
      <c r="E656" s="30"/>
      <c r="F656" s="30"/>
      <c r="I656" s="25"/>
    </row>
    <row r="657">
      <c r="A657" s="30"/>
      <c r="B657" s="30"/>
      <c r="C657" s="30"/>
      <c r="D657" s="30"/>
      <c r="E657" s="30"/>
      <c r="F657" s="30"/>
      <c r="I657" s="25"/>
    </row>
    <row r="658">
      <c r="A658" s="30"/>
      <c r="B658" s="30"/>
      <c r="C658" s="30"/>
      <c r="D658" s="30"/>
      <c r="E658" s="30"/>
      <c r="F658" s="30"/>
      <c r="I658" s="25"/>
    </row>
    <row r="659">
      <c r="A659" s="30"/>
      <c r="B659" s="30"/>
      <c r="C659" s="30"/>
      <c r="D659" s="30"/>
      <c r="E659" s="30"/>
      <c r="F659" s="30"/>
      <c r="I659" s="25"/>
    </row>
    <row r="660">
      <c r="A660" s="30"/>
      <c r="B660" s="30"/>
      <c r="C660" s="30"/>
      <c r="D660" s="30"/>
      <c r="E660" s="30"/>
      <c r="F660" s="30"/>
      <c r="I660" s="25"/>
    </row>
    <row r="661">
      <c r="A661" s="30"/>
      <c r="B661" s="30"/>
      <c r="C661" s="30"/>
      <c r="D661" s="30"/>
      <c r="E661" s="30"/>
      <c r="F661" s="30"/>
      <c r="I661" s="25"/>
    </row>
    <row r="662">
      <c r="A662" s="30"/>
      <c r="B662" s="30"/>
      <c r="C662" s="30"/>
      <c r="D662" s="30"/>
      <c r="E662" s="30"/>
      <c r="F662" s="30"/>
      <c r="I662" s="25"/>
    </row>
    <row r="663">
      <c r="A663" s="30"/>
      <c r="B663" s="30"/>
      <c r="C663" s="30"/>
      <c r="D663" s="30"/>
      <c r="E663" s="30"/>
      <c r="F663" s="30"/>
      <c r="I663" s="25"/>
    </row>
    <row r="664">
      <c r="A664" s="30"/>
      <c r="B664" s="30"/>
      <c r="C664" s="30"/>
      <c r="D664" s="30"/>
      <c r="E664" s="30"/>
      <c r="F664" s="30"/>
      <c r="I664" s="25"/>
    </row>
    <row r="665">
      <c r="A665" s="30"/>
      <c r="B665" s="30"/>
      <c r="C665" s="30"/>
      <c r="D665" s="30"/>
      <c r="E665" s="30"/>
      <c r="F665" s="30"/>
      <c r="I665" s="25"/>
    </row>
    <row r="666">
      <c r="A666" s="30"/>
      <c r="B666" s="30"/>
      <c r="C666" s="30"/>
      <c r="D666" s="30"/>
      <c r="E666" s="30"/>
      <c r="F666" s="30"/>
      <c r="I666" s="25"/>
    </row>
    <row r="667">
      <c r="A667" s="30"/>
      <c r="B667" s="30"/>
      <c r="C667" s="30"/>
      <c r="D667" s="30"/>
      <c r="E667" s="30"/>
      <c r="F667" s="30"/>
      <c r="I667" s="25"/>
    </row>
    <row r="668">
      <c r="A668" s="30"/>
      <c r="B668" s="30"/>
      <c r="C668" s="30"/>
      <c r="D668" s="30"/>
      <c r="E668" s="30"/>
      <c r="F668" s="30"/>
      <c r="I668" s="25"/>
    </row>
    <row r="669">
      <c r="A669" s="30"/>
      <c r="B669" s="30"/>
      <c r="C669" s="30"/>
      <c r="D669" s="30"/>
      <c r="E669" s="30"/>
      <c r="F669" s="30"/>
      <c r="I669" s="25"/>
    </row>
    <row r="670">
      <c r="A670" s="30"/>
      <c r="B670" s="30"/>
      <c r="C670" s="30"/>
      <c r="D670" s="30"/>
      <c r="E670" s="30"/>
      <c r="F670" s="30"/>
      <c r="I670" s="25"/>
    </row>
    <row r="671">
      <c r="A671" s="30"/>
      <c r="B671" s="30"/>
      <c r="C671" s="30"/>
      <c r="D671" s="30"/>
      <c r="E671" s="30"/>
      <c r="F671" s="30"/>
      <c r="I671" s="25"/>
    </row>
    <row r="672">
      <c r="A672" s="30"/>
      <c r="B672" s="30"/>
      <c r="C672" s="30"/>
      <c r="D672" s="30"/>
      <c r="E672" s="30"/>
      <c r="F672" s="30"/>
      <c r="I672" s="25"/>
    </row>
    <row r="673">
      <c r="A673" s="30"/>
      <c r="B673" s="30"/>
      <c r="C673" s="30"/>
      <c r="D673" s="30"/>
      <c r="E673" s="30"/>
      <c r="F673" s="30"/>
      <c r="I673" s="25"/>
    </row>
    <row r="674">
      <c r="A674" s="30"/>
      <c r="B674" s="30"/>
      <c r="C674" s="30"/>
      <c r="D674" s="30"/>
      <c r="E674" s="30"/>
      <c r="F674" s="30"/>
      <c r="I674" s="25"/>
    </row>
    <row r="675">
      <c r="A675" s="30"/>
      <c r="B675" s="30"/>
      <c r="C675" s="30"/>
      <c r="D675" s="30"/>
      <c r="E675" s="30"/>
      <c r="F675" s="30"/>
      <c r="I675" s="25"/>
    </row>
    <row r="676">
      <c r="A676" s="30"/>
      <c r="B676" s="30"/>
      <c r="C676" s="30"/>
      <c r="D676" s="30"/>
      <c r="E676" s="30"/>
      <c r="F676" s="30"/>
      <c r="I676" s="25"/>
    </row>
    <row r="677">
      <c r="A677" s="30"/>
      <c r="B677" s="30"/>
      <c r="C677" s="30"/>
      <c r="D677" s="30"/>
      <c r="E677" s="30"/>
      <c r="F677" s="30"/>
      <c r="I677" s="25"/>
    </row>
    <row r="678">
      <c r="A678" s="30"/>
      <c r="B678" s="30"/>
      <c r="C678" s="30"/>
      <c r="D678" s="30"/>
      <c r="E678" s="30"/>
      <c r="F678" s="30"/>
      <c r="I678" s="25"/>
    </row>
    <row r="679">
      <c r="A679" s="30"/>
      <c r="B679" s="30"/>
      <c r="C679" s="30"/>
      <c r="D679" s="30"/>
      <c r="E679" s="30"/>
      <c r="F679" s="30"/>
      <c r="I679" s="25"/>
    </row>
    <row r="680">
      <c r="A680" s="30"/>
      <c r="B680" s="30"/>
      <c r="C680" s="30"/>
      <c r="D680" s="30"/>
      <c r="E680" s="30"/>
      <c r="F680" s="30"/>
      <c r="I680" s="25"/>
    </row>
    <row r="681">
      <c r="A681" s="30"/>
      <c r="B681" s="30"/>
      <c r="C681" s="30"/>
      <c r="D681" s="30"/>
      <c r="E681" s="30"/>
      <c r="F681" s="30"/>
      <c r="I681" s="25"/>
    </row>
    <row r="682">
      <c r="A682" s="30"/>
      <c r="B682" s="30"/>
      <c r="C682" s="30"/>
      <c r="D682" s="30"/>
      <c r="E682" s="30"/>
      <c r="F682" s="30"/>
      <c r="I682" s="25"/>
    </row>
    <row r="683">
      <c r="A683" s="30"/>
      <c r="B683" s="30"/>
      <c r="C683" s="30"/>
      <c r="D683" s="30"/>
      <c r="E683" s="30"/>
      <c r="F683" s="30"/>
      <c r="I683" s="25"/>
    </row>
    <row r="684">
      <c r="A684" s="30"/>
      <c r="B684" s="30"/>
      <c r="C684" s="30"/>
      <c r="D684" s="30"/>
      <c r="E684" s="30"/>
      <c r="F684" s="30"/>
      <c r="I684" s="25"/>
    </row>
    <row r="685">
      <c r="A685" s="30"/>
      <c r="B685" s="30"/>
      <c r="C685" s="30"/>
      <c r="D685" s="30"/>
      <c r="E685" s="30"/>
      <c r="F685" s="30"/>
      <c r="I685" s="25"/>
    </row>
    <row r="686">
      <c r="A686" s="30"/>
      <c r="B686" s="30"/>
      <c r="C686" s="30"/>
      <c r="D686" s="30"/>
      <c r="E686" s="30"/>
      <c r="F686" s="30"/>
      <c r="I686" s="25"/>
    </row>
    <row r="687">
      <c r="A687" s="30"/>
      <c r="B687" s="30"/>
      <c r="C687" s="30"/>
      <c r="D687" s="30"/>
      <c r="E687" s="30"/>
      <c r="F687" s="30"/>
      <c r="I687" s="25"/>
    </row>
    <row r="688">
      <c r="A688" s="30"/>
      <c r="B688" s="30"/>
      <c r="C688" s="30"/>
      <c r="D688" s="30"/>
      <c r="E688" s="30"/>
      <c r="F688" s="30"/>
      <c r="I688" s="25"/>
    </row>
    <row r="689">
      <c r="A689" s="30"/>
      <c r="B689" s="30"/>
      <c r="C689" s="30"/>
      <c r="D689" s="30"/>
      <c r="E689" s="30"/>
      <c r="F689" s="30"/>
      <c r="I689" s="25"/>
    </row>
    <row r="690">
      <c r="A690" s="30"/>
      <c r="B690" s="30"/>
      <c r="C690" s="30"/>
      <c r="D690" s="30"/>
      <c r="E690" s="30"/>
      <c r="F690" s="30"/>
      <c r="I690" s="25"/>
    </row>
    <row r="691">
      <c r="A691" s="30"/>
      <c r="B691" s="30"/>
      <c r="C691" s="30"/>
      <c r="D691" s="30"/>
      <c r="E691" s="30"/>
      <c r="F691" s="30"/>
      <c r="I691" s="25"/>
    </row>
    <row r="692">
      <c r="A692" s="30"/>
      <c r="B692" s="30"/>
      <c r="C692" s="30"/>
      <c r="D692" s="30"/>
      <c r="E692" s="30"/>
      <c r="F692" s="30"/>
      <c r="I692" s="25"/>
    </row>
    <row r="693">
      <c r="A693" s="30"/>
      <c r="B693" s="30"/>
      <c r="C693" s="30"/>
      <c r="D693" s="30"/>
      <c r="E693" s="30"/>
      <c r="F693" s="30"/>
      <c r="I693" s="25"/>
    </row>
    <row r="694">
      <c r="A694" s="30"/>
      <c r="B694" s="30"/>
      <c r="C694" s="30"/>
      <c r="D694" s="30"/>
      <c r="E694" s="30"/>
      <c r="F694" s="30"/>
      <c r="I694" s="25"/>
    </row>
    <row r="695">
      <c r="A695" s="30"/>
      <c r="B695" s="30"/>
      <c r="C695" s="30"/>
      <c r="D695" s="30"/>
      <c r="E695" s="30"/>
      <c r="F695" s="30"/>
      <c r="I695" s="25"/>
    </row>
    <row r="696">
      <c r="A696" s="30"/>
      <c r="B696" s="30"/>
      <c r="C696" s="30"/>
      <c r="D696" s="30"/>
      <c r="E696" s="30"/>
      <c r="F696" s="30"/>
      <c r="I696" s="25"/>
    </row>
    <row r="697">
      <c r="A697" s="30"/>
      <c r="B697" s="30"/>
      <c r="C697" s="30"/>
      <c r="D697" s="30"/>
      <c r="E697" s="30"/>
      <c r="F697" s="30"/>
      <c r="I697" s="25"/>
    </row>
    <row r="698">
      <c r="A698" s="30"/>
      <c r="B698" s="30"/>
      <c r="C698" s="30"/>
      <c r="D698" s="30"/>
      <c r="E698" s="30"/>
      <c r="F698" s="30"/>
      <c r="I698" s="25"/>
    </row>
    <row r="699">
      <c r="A699" s="30"/>
      <c r="B699" s="30"/>
      <c r="C699" s="30"/>
      <c r="D699" s="30"/>
      <c r="E699" s="30"/>
      <c r="F699" s="30"/>
      <c r="I699" s="25"/>
    </row>
    <row r="700">
      <c r="A700" s="30"/>
      <c r="B700" s="30"/>
      <c r="C700" s="30"/>
      <c r="D700" s="30"/>
      <c r="E700" s="30"/>
      <c r="F700" s="30"/>
      <c r="I700" s="25"/>
    </row>
    <row r="701">
      <c r="A701" s="30"/>
      <c r="B701" s="30"/>
      <c r="C701" s="30"/>
      <c r="D701" s="30"/>
      <c r="E701" s="30"/>
      <c r="F701" s="30"/>
      <c r="I701" s="25"/>
    </row>
    <row r="702">
      <c r="A702" s="30"/>
      <c r="B702" s="30"/>
      <c r="C702" s="30"/>
      <c r="D702" s="30"/>
      <c r="E702" s="30"/>
      <c r="F702" s="30"/>
      <c r="I702" s="25"/>
    </row>
    <row r="703">
      <c r="A703" s="30"/>
      <c r="B703" s="30"/>
      <c r="C703" s="30"/>
      <c r="D703" s="30"/>
      <c r="E703" s="30"/>
      <c r="F703" s="30"/>
      <c r="I703" s="25"/>
    </row>
    <row r="704">
      <c r="A704" s="30"/>
      <c r="B704" s="30"/>
      <c r="C704" s="30"/>
      <c r="D704" s="30"/>
      <c r="E704" s="30"/>
      <c r="F704" s="30"/>
      <c r="I704" s="25"/>
    </row>
    <row r="705">
      <c r="A705" s="30"/>
      <c r="B705" s="30"/>
      <c r="C705" s="30"/>
      <c r="D705" s="30"/>
      <c r="E705" s="30"/>
      <c r="F705" s="30"/>
      <c r="I705" s="25"/>
    </row>
    <row r="706">
      <c r="A706" s="30"/>
      <c r="B706" s="30"/>
      <c r="C706" s="30"/>
      <c r="D706" s="30"/>
      <c r="E706" s="30"/>
      <c r="F706" s="30"/>
      <c r="I706" s="25"/>
    </row>
    <row r="707">
      <c r="A707" s="30"/>
      <c r="B707" s="30"/>
      <c r="C707" s="30"/>
      <c r="D707" s="30"/>
      <c r="E707" s="30"/>
      <c r="F707" s="30"/>
      <c r="I707" s="25"/>
    </row>
    <row r="708">
      <c r="A708" s="30"/>
      <c r="B708" s="30"/>
      <c r="C708" s="30"/>
      <c r="D708" s="30"/>
      <c r="E708" s="30"/>
      <c r="F708" s="30"/>
      <c r="I708" s="25"/>
    </row>
    <row r="709">
      <c r="A709" s="30"/>
      <c r="B709" s="30"/>
      <c r="C709" s="30"/>
      <c r="D709" s="30"/>
      <c r="E709" s="30"/>
      <c r="F709" s="30"/>
      <c r="I709" s="25"/>
    </row>
    <row r="710">
      <c r="A710" s="30"/>
      <c r="B710" s="30"/>
      <c r="C710" s="30"/>
      <c r="D710" s="30"/>
      <c r="E710" s="30"/>
      <c r="F710" s="30"/>
      <c r="I710" s="25"/>
    </row>
    <row r="711">
      <c r="A711" s="30"/>
      <c r="B711" s="30"/>
      <c r="C711" s="30"/>
      <c r="D711" s="30"/>
      <c r="E711" s="30"/>
      <c r="F711" s="30"/>
      <c r="I711" s="25"/>
    </row>
    <row r="712">
      <c r="A712" s="30"/>
      <c r="B712" s="30"/>
      <c r="C712" s="30"/>
      <c r="D712" s="30"/>
      <c r="E712" s="30"/>
      <c r="F712" s="30"/>
      <c r="I712" s="25"/>
    </row>
    <row r="713">
      <c r="A713" s="30"/>
      <c r="B713" s="30"/>
      <c r="C713" s="30"/>
      <c r="D713" s="30"/>
      <c r="E713" s="30"/>
      <c r="F713" s="30"/>
      <c r="I713" s="25"/>
    </row>
    <row r="714">
      <c r="A714" s="30"/>
      <c r="B714" s="30"/>
      <c r="C714" s="30"/>
      <c r="D714" s="30"/>
      <c r="E714" s="30"/>
      <c r="F714" s="30"/>
      <c r="I714" s="25"/>
    </row>
    <row r="715">
      <c r="A715" s="30"/>
      <c r="B715" s="30"/>
      <c r="C715" s="30"/>
      <c r="D715" s="30"/>
      <c r="E715" s="30"/>
      <c r="F715" s="30"/>
      <c r="I715" s="25"/>
    </row>
    <row r="716">
      <c r="A716" s="30"/>
      <c r="B716" s="30"/>
      <c r="C716" s="30"/>
      <c r="D716" s="30"/>
      <c r="E716" s="30"/>
      <c r="F716" s="30"/>
      <c r="I716" s="25"/>
    </row>
    <row r="717">
      <c r="A717" s="30"/>
      <c r="B717" s="30"/>
      <c r="C717" s="30"/>
      <c r="D717" s="30"/>
      <c r="E717" s="30"/>
      <c r="F717" s="30"/>
      <c r="I717" s="25"/>
    </row>
    <row r="718">
      <c r="A718" s="30"/>
      <c r="B718" s="30"/>
      <c r="C718" s="30"/>
      <c r="D718" s="30"/>
      <c r="E718" s="30"/>
      <c r="F718" s="30"/>
      <c r="I718" s="25"/>
    </row>
    <row r="719">
      <c r="A719" s="30"/>
      <c r="B719" s="30"/>
      <c r="C719" s="30"/>
      <c r="D719" s="30"/>
      <c r="E719" s="30"/>
      <c r="F719" s="30"/>
      <c r="I719" s="25"/>
    </row>
    <row r="720">
      <c r="A720" s="30"/>
      <c r="B720" s="30"/>
      <c r="C720" s="30"/>
      <c r="D720" s="30"/>
      <c r="E720" s="30"/>
      <c r="F720" s="30"/>
      <c r="I720" s="25"/>
    </row>
    <row r="721">
      <c r="A721" s="30"/>
      <c r="B721" s="30"/>
      <c r="C721" s="30"/>
      <c r="D721" s="30"/>
      <c r="E721" s="30"/>
      <c r="F721" s="30"/>
      <c r="I721" s="25"/>
    </row>
    <row r="722">
      <c r="A722" s="30"/>
      <c r="B722" s="30"/>
      <c r="C722" s="30"/>
      <c r="D722" s="30"/>
      <c r="E722" s="30"/>
      <c r="F722" s="30"/>
      <c r="I722" s="25"/>
    </row>
    <row r="723">
      <c r="A723" s="30"/>
      <c r="B723" s="30"/>
      <c r="C723" s="30"/>
      <c r="D723" s="30"/>
      <c r="E723" s="30"/>
      <c r="F723" s="30"/>
      <c r="I723" s="25"/>
    </row>
    <row r="724">
      <c r="A724" s="30"/>
      <c r="B724" s="30"/>
      <c r="C724" s="30"/>
      <c r="D724" s="30"/>
      <c r="E724" s="30"/>
      <c r="F724" s="30"/>
      <c r="I724" s="25"/>
    </row>
    <row r="725">
      <c r="A725" s="30"/>
      <c r="B725" s="30"/>
      <c r="C725" s="30"/>
      <c r="D725" s="30"/>
      <c r="E725" s="30"/>
      <c r="F725" s="30"/>
      <c r="I725" s="25"/>
    </row>
    <row r="726">
      <c r="A726" s="30"/>
      <c r="B726" s="30"/>
      <c r="C726" s="30"/>
      <c r="D726" s="30"/>
      <c r="E726" s="30"/>
      <c r="F726" s="30"/>
      <c r="I726" s="25"/>
    </row>
    <row r="727">
      <c r="A727" s="30"/>
      <c r="B727" s="30"/>
      <c r="C727" s="30"/>
      <c r="D727" s="30"/>
      <c r="E727" s="30"/>
      <c r="F727" s="30"/>
      <c r="I727" s="25"/>
    </row>
    <row r="728">
      <c r="A728" s="30"/>
      <c r="B728" s="30"/>
      <c r="C728" s="30"/>
      <c r="D728" s="30"/>
      <c r="E728" s="30"/>
      <c r="F728" s="30"/>
      <c r="I728" s="25"/>
    </row>
    <row r="729">
      <c r="A729" s="30"/>
      <c r="B729" s="30"/>
      <c r="C729" s="30"/>
      <c r="D729" s="30"/>
      <c r="E729" s="30"/>
      <c r="F729" s="30"/>
      <c r="I729" s="25"/>
    </row>
    <row r="730">
      <c r="A730" s="30"/>
      <c r="B730" s="30"/>
      <c r="C730" s="30"/>
      <c r="D730" s="30"/>
      <c r="E730" s="30"/>
      <c r="F730" s="30"/>
      <c r="I730" s="25"/>
    </row>
    <row r="731">
      <c r="A731" s="30"/>
      <c r="B731" s="30"/>
      <c r="C731" s="30"/>
      <c r="D731" s="30"/>
      <c r="E731" s="30"/>
      <c r="F731" s="30"/>
      <c r="I731" s="25"/>
    </row>
    <row r="732">
      <c r="A732" s="30"/>
      <c r="B732" s="30"/>
      <c r="C732" s="30"/>
      <c r="D732" s="30"/>
      <c r="E732" s="30"/>
      <c r="F732" s="30"/>
      <c r="I732" s="25"/>
    </row>
    <row r="733">
      <c r="A733" s="30"/>
      <c r="B733" s="30"/>
      <c r="C733" s="30"/>
      <c r="D733" s="30"/>
      <c r="E733" s="30"/>
      <c r="F733" s="30"/>
      <c r="I733" s="25"/>
    </row>
    <row r="734">
      <c r="A734" s="30"/>
      <c r="B734" s="30"/>
      <c r="C734" s="30"/>
      <c r="D734" s="30"/>
      <c r="E734" s="30"/>
      <c r="F734" s="30"/>
      <c r="I734" s="25"/>
    </row>
    <row r="735">
      <c r="A735" s="30"/>
      <c r="B735" s="30"/>
      <c r="C735" s="30"/>
      <c r="D735" s="30"/>
      <c r="E735" s="30"/>
      <c r="F735" s="30"/>
      <c r="I735" s="25"/>
    </row>
    <row r="736">
      <c r="A736" s="30"/>
      <c r="B736" s="30"/>
      <c r="C736" s="30"/>
      <c r="D736" s="30"/>
      <c r="E736" s="30"/>
      <c r="F736" s="30"/>
      <c r="I736" s="25"/>
    </row>
    <row r="737">
      <c r="A737" s="30"/>
      <c r="B737" s="30"/>
      <c r="C737" s="30"/>
      <c r="D737" s="30"/>
      <c r="E737" s="30"/>
      <c r="F737" s="30"/>
      <c r="I737" s="25"/>
    </row>
    <row r="738">
      <c r="A738" s="30"/>
      <c r="B738" s="30"/>
      <c r="C738" s="30"/>
      <c r="D738" s="30"/>
      <c r="E738" s="30"/>
      <c r="F738" s="30"/>
      <c r="I738" s="25"/>
    </row>
    <row r="739">
      <c r="A739" s="30"/>
      <c r="B739" s="30"/>
      <c r="C739" s="30"/>
      <c r="D739" s="30"/>
      <c r="E739" s="30"/>
      <c r="F739" s="30"/>
      <c r="I739" s="25"/>
    </row>
    <row r="740">
      <c r="A740" s="30"/>
      <c r="B740" s="30"/>
      <c r="C740" s="30"/>
      <c r="D740" s="30"/>
      <c r="E740" s="30"/>
      <c r="F740" s="30"/>
      <c r="I740" s="25"/>
    </row>
    <row r="741">
      <c r="A741" s="30"/>
      <c r="B741" s="30"/>
      <c r="C741" s="30"/>
      <c r="D741" s="30"/>
      <c r="E741" s="30"/>
      <c r="F741" s="30"/>
      <c r="I741" s="25"/>
    </row>
    <row r="742">
      <c r="A742" s="30"/>
      <c r="B742" s="30"/>
      <c r="C742" s="30"/>
      <c r="D742" s="30"/>
      <c r="E742" s="30"/>
      <c r="F742" s="30"/>
      <c r="I742" s="25"/>
    </row>
    <row r="743">
      <c r="A743" s="30"/>
      <c r="B743" s="30"/>
      <c r="C743" s="30"/>
      <c r="D743" s="30"/>
      <c r="E743" s="30"/>
      <c r="F743" s="30"/>
      <c r="I743" s="25"/>
    </row>
    <row r="744">
      <c r="A744" s="30"/>
      <c r="B744" s="30"/>
      <c r="C744" s="30"/>
      <c r="D744" s="30"/>
      <c r="E744" s="30"/>
      <c r="F744" s="30"/>
      <c r="I744" s="25"/>
    </row>
    <row r="745">
      <c r="A745" s="30"/>
      <c r="B745" s="30"/>
      <c r="C745" s="30"/>
      <c r="D745" s="30"/>
      <c r="E745" s="30"/>
      <c r="F745" s="30"/>
      <c r="I745" s="25"/>
    </row>
    <row r="746">
      <c r="A746" s="30"/>
      <c r="B746" s="30"/>
      <c r="C746" s="30"/>
      <c r="D746" s="30"/>
      <c r="E746" s="30"/>
      <c r="F746" s="30"/>
      <c r="I746" s="25"/>
    </row>
    <row r="747">
      <c r="A747" s="30"/>
      <c r="B747" s="30"/>
      <c r="C747" s="30"/>
      <c r="D747" s="30"/>
      <c r="E747" s="30"/>
      <c r="F747" s="30"/>
      <c r="I747" s="25"/>
    </row>
    <row r="748">
      <c r="A748" s="30"/>
      <c r="B748" s="30"/>
      <c r="C748" s="30"/>
      <c r="D748" s="30"/>
      <c r="E748" s="30"/>
      <c r="F748" s="30"/>
      <c r="I748" s="25"/>
    </row>
    <row r="749">
      <c r="A749" s="30"/>
      <c r="B749" s="30"/>
      <c r="C749" s="30"/>
      <c r="D749" s="30"/>
      <c r="E749" s="30"/>
      <c r="F749" s="30"/>
      <c r="I749" s="25"/>
    </row>
    <row r="750">
      <c r="A750" s="30"/>
      <c r="B750" s="30"/>
      <c r="C750" s="30"/>
      <c r="D750" s="30"/>
      <c r="E750" s="30"/>
      <c r="F750" s="30"/>
      <c r="I750" s="25"/>
    </row>
    <row r="751">
      <c r="A751" s="30"/>
      <c r="B751" s="30"/>
      <c r="C751" s="30"/>
      <c r="D751" s="30"/>
      <c r="E751" s="30"/>
      <c r="F751" s="30"/>
      <c r="I751" s="25"/>
    </row>
    <row r="752">
      <c r="A752" s="30"/>
      <c r="B752" s="30"/>
      <c r="C752" s="30"/>
      <c r="D752" s="30"/>
      <c r="E752" s="30"/>
      <c r="F752" s="30"/>
      <c r="I752" s="25"/>
    </row>
    <row r="753">
      <c r="A753" s="30"/>
      <c r="B753" s="30"/>
      <c r="C753" s="30"/>
      <c r="D753" s="30"/>
      <c r="E753" s="30"/>
      <c r="F753" s="30"/>
      <c r="I753" s="25"/>
    </row>
    <row r="754">
      <c r="A754" s="30"/>
      <c r="B754" s="30"/>
      <c r="C754" s="30"/>
      <c r="D754" s="30"/>
      <c r="E754" s="30"/>
      <c r="F754" s="30"/>
      <c r="I754" s="25"/>
    </row>
    <row r="755">
      <c r="A755" s="30"/>
      <c r="B755" s="30"/>
      <c r="C755" s="30"/>
      <c r="D755" s="30"/>
      <c r="E755" s="30"/>
      <c r="F755" s="30"/>
      <c r="I755" s="25"/>
    </row>
    <row r="756">
      <c r="A756" s="30"/>
      <c r="B756" s="30"/>
      <c r="C756" s="30"/>
      <c r="D756" s="30"/>
      <c r="E756" s="30"/>
      <c r="F756" s="30"/>
      <c r="I756" s="25"/>
    </row>
    <row r="757">
      <c r="A757" s="30"/>
      <c r="B757" s="30"/>
      <c r="C757" s="30"/>
      <c r="D757" s="30"/>
      <c r="E757" s="30"/>
      <c r="F757" s="30"/>
      <c r="I757" s="25"/>
    </row>
    <row r="758">
      <c r="A758" s="30"/>
      <c r="B758" s="30"/>
      <c r="C758" s="30"/>
      <c r="D758" s="30"/>
      <c r="E758" s="30"/>
      <c r="F758" s="30"/>
      <c r="I758" s="25"/>
    </row>
    <row r="759">
      <c r="A759" s="30"/>
      <c r="B759" s="30"/>
      <c r="C759" s="30"/>
      <c r="D759" s="30"/>
      <c r="E759" s="30"/>
      <c r="F759" s="30"/>
      <c r="I759" s="25"/>
    </row>
    <row r="760">
      <c r="A760" s="30"/>
      <c r="B760" s="30"/>
      <c r="C760" s="30"/>
      <c r="D760" s="30"/>
      <c r="E760" s="30"/>
      <c r="F760" s="30"/>
      <c r="I760" s="25"/>
    </row>
    <row r="761">
      <c r="A761" s="30"/>
      <c r="B761" s="30"/>
      <c r="C761" s="30"/>
      <c r="D761" s="30"/>
      <c r="E761" s="30"/>
      <c r="F761" s="30"/>
      <c r="I761" s="25"/>
    </row>
    <row r="762">
      <c r="A762" s="30"/>
      <c r="B762" s="30"/>
      <c r="C762" s="30"/>
      <c r="D762" s="30"/>
      <c r="E762" s="30"/>
      <c r="F762" s="30"/>
      <c r="I762" s="25"/>
    </row>
    <row r="763">
      <c r="A763" s="30"/>
      <c r="B763" s="30"/>
      <c r="C763" s="30"/>
      <c r="D763" s="30"/>
      <c r="E763" s="30"/>
      <c r="F763" s="30"/>
      <c r="I763" s="25"/>
    </row>
    <row r="764">
      <c r="A764" s="30"/>
      <c r="B764" s="30"/>
      <c r="C764" s="30"/>
      <c r="D764" s="30"/>
      <c r="E764" s="30"/>
      <c r="F764" s="30"/>
      <c r="I764" s="25"/>
    </row>
    <row r="765">
      <c r="A765" s="30"/>
      <c r="B765" s="30"/>
      <c r="C765" s="30"/>
      <c r="D765" s="30"/>
      <c r="E765" s="30"/>
      <c r="F765" s="30"/>
      <c r="I765" s="25"/>
    </row>
    <row r="766">
      <c r="A766" s="30"/>
      <c r="B766" s="30"/>
      <c r="C766" s="30"/>
      <c r="D766" s="30"/>
      <c r="E766" s="30"/>
      <c r="F766" s="30"/>
      <c r="I766" s="25"/>
    </row>
    <row r="767">
      <c r="A767" s="30"/>
      <c r="B767" s="30"/>
      <c r="C767" s="30"/>
      <c r="D767" s="30"/>
      <c r="E767" s="30"/>
      <c r="F767" s="30"/>
      <c r="I767" s="25"/>
    </row>
    <row r="768">
      <c r="A768" s="30"/>
      <c r="B768" s="30"/>
      <c r="C768" s="30"/>
      <c r="D768" s="30"/>
      <c r="E768" s="30"/>
      <c r="F768" s="30"/>
      <c r="I768" s="25"/>
    </row>
    <row r="769">
      <c r="A769" s="30"/>
      <c r="B769" s="30"/>
      <c r="C769" s="30"/>
      <c r="D769" s="30"/>
      <c r="E769" s="30"/>
      <c r="F769" s="30"/>
      <c r="I769" s="25"/>
    </row>
    <row r="770">
      <c r="A770" s="30"/>
      <c r="B770" s="30"/>
      <c r="C770" s="30"/>
      <c r="D770" s="30"/>
      <c r="E770" s="30"/>
      <c r="F770" s="30"/>
      <c r="I770" s="25"/>
    </row>
    <row r="771">
      <c r="A771" s="30"/>
      <c r="B771" s="30"/>
      <c r="C771" s="30"/>
      <c r="D771" s="30"/>
      <c r="E771" s="30"/>
      <c r="F771" s="30"/>
      <c r="I771" s="25"/>
    </row>
    <row r="772">
      <c r="A772" s="30"/>
      <c r="B772" s="30"/>
      <c r="C772" s="30"/>
      <c r="D772" s="30"/>
      <c r="E772" s="30"/>
      <c r="F772" s="30"/>
      <c r="I772" s="25"/>
    </row>
    <row r="773">
      <c r="A773" s="30"/>
      <c r="B773" s="30"/>
      <c r="C773" s="30"/>
      <c r="D773" s="30"/>
      <c r="E773" s="30"/>
      <c r="F773" s="30"/>
      <c r="I773" s="25"/>
    </row>
    <row r="774">
      <c r="A774" s="30"/>
      <c r="B774" s="30"/>
      <c r="C774" s="30"/>
      <c r="D774" s="30"/>
      <c r="E774" s="30"/>
      <c r="F774" s="30"/>
      <c r="I774" s="25"/>
    </row>
    <row r="775">
      <c r="A775" s="30"/>
      <c r="B775" s="30"/>
      <c r="C775" s="30"/>
      <c r="D775" s="30"/>
      <c r="E775" s="30"/>
      <c r="F775" s="30"/>
      <c r="I775" s="25"/>
    </row>
    <row r="776">
      <c r="A776" s="30"/>
      <c r="B776" s="30"/>
      <c r="C776" s="30"/>
      <c r="D776" s="30"/>
      <c r="E776" s="30"/>
      <c r="F776" s="30"/>
      <c r="I776" s="25"/>
    </row>
    <row r="777">
      <c r="A777" s="30"/>
      <c r="B777" s="30"/>
      <c r="C777" s="30"/>
      <c r="D777" s="30"/>
      <c r="E777" s="30"/>
      <c r="F777" s="30"/>
      <c r="I777" s="25"/>
    </row>
    <row r="778">
      <c r="A778" s="30"/>
      <c r="B778" s="30"/>
      <c r="C778" s="30"/>
      <c r="D778" s="30"/>
      <c r="E778" s="30"/>
      <c r="F778" s="30"/>
      <c r="I778" s="25"/>
    </row>
    <row r="779">
      <c r="A779" s="30"/>
      <c r="B779" s="30"/>
      <c r="C779" s="30"/>
      <c r="D779" s="30"/>
      <c r="E779" s="30"/>
      <c r="F779" s="30"/>
      <c r="I779" s="25"/>
    </row>
    <row r="780">
      <c r="A780" s="30"/>
      <c r="B780" s="30"/>
      <c r="C780" s="30"/>
      <c r="D780" s="30"/>
      <c r="E780" s="30"/>
      <c r="F780" s="30"/>
      <c r="I780" s="25"/>
    </row>
    <row r="781">
      <c r="A781" s="30"/>
      <c r="B781" s="30"/>
      <c r="C781" s="30"/>
      <c r="D781" s="30"/>
      <c r="E781" s="30"/>
      <c r="F781" s="30"/>
      <c r="I781" s="25"/>
    </row>
    <row r="782">
      <c r="A782" s="30"/>
      <c r="B782" s="30"/>
      <c r="C782" s="30"/>
      <c r="D782" s="30"/>
      <c r="E782" s="30"/>
      <c r="F782" s="30"/>
      <c r="I782" s="25"/>
    </row>
    <row r="783">
      <c r="A783" s="30"/>
      <c r="B783" s="30"/>
      <c r="C783" s="30"/>
      <c r="D783" s="30"/>
      <c r="E783" s="30"/>
      <c r="F783" s="30"/>
      <c r="I783" s="25"/>
    </row>
    <row r="784">
      <c r="A784" s="30"/>
      <c r="B784" s="30"/>
      <c r="C784" s="30"/>
      <c r="D784" s="30"/>
      <c r="E784" s="30"/>
      <c r="F784" s="30"/>
      <c r="I784" s="25"/>
    </row>
    <row r="785">
      <c r="A785" s="30"/>
      <c r="B785" s="30"/>
      <c r="C785" s="30"/>
      <c r="D785" s="30"/>
      <c r="E785" s="30"/>
      <c r="F785" s="30"/>
      <c r="I785" s="25"/>
    </row>
    <row r="786">
      <c r="A786" s="30"/>
      <c r="B786" s="30"/>
      <c r="C786" s="30"/>
      <c r="D786" s="30"/>
      <c r="E786" s="30"/>
      <c r="F786" s="30"/>
      <c r="I786" s="25"/>
    </row>
    <row r="787">
      <c r="A787" s="30"/>
      <c r="B787" s="30"/>
      <c r="C787" s="30"/>
      <c r="D787" s="30"/>
      <c r="E787" s="30"/>
      <c r="F787" s="30"/>
      <c r="I787" s="25"/>
    </row>
    <row r="788">
      <c r="A788" s="30"/>
      <c r="B788" s="30"/>
      <c r="C788" s="30"/>
      <c r="D788" s="30"/>
      <c r="E788" s="30"/>
      <c r="F788" s="30"/>
      <c r="I788" s="25"/>
    </row>
    <row r="789">
      <c r="A789" s="30"/>
      <c r="B789" s="30"/>
      <c r="C789" s="30"/>
      <c r="D789" s="30"/>
      <c r="E789" s="30"/>
      <c r="F789" s="30"/>
      <c r="I789" s="25"/>
    </row>
    <row r="790">
      <c r="A790" s="30"/>
      <c r="B790" s="30"/>
      <c r="C790" s="30"/>
      <c r="D790" s="30"/>
      <c r="E790" s="30"/>
      <c r="F790" s="30"/>
      <c r="I790" s="25"/>
    </row>
    <row r="791">
      <c r="A791" s="30"/>
      <c r="B791" s="30"/>
      <c r="C791" s="30"/>
      <c r="D791" s="30"/>
      <c r="E791" s="30"/>
      <c r="F791" s="30"/>
      <c r="I791" s="25"/>
    </row>
    <row r="792">
      <c r="A792" s="30"/>
      <c r="B792" s="30"/>
      <c r="C792" s="30"/>
      <c r="D792" s="30"/>
      <c r="E792" s="30"/>
      <c r="F792" s="30"/>
      <c r="I792" s="25"/>
    </row>
    <row r="793">
      <c r="A793" s="30"/>
      <c r="B793" s="30"/>
      <c r="C793" s="30"/>
      <c r="D793" s="30"/>
      <c r="E793" s="30"/>
      <c r="F793" s="30"/>
      <c r="I793" s="25"/>
    </row>
    <row r="794">
      <c r="A794" s="30"/>
      <c r="B794" s="30"/>
      <c r="C794" s="30"/>
      <c r="D794" s="30"/>
      <c r="E794" s="30"/>
      <c r="F794" s="30"/>
      <c r="I794" s="25"/>
    </row>
    <row r="795">
      <c r="A795" s="30"/>
      <c r="B795" s="30"/>
      <c r="C795" s="30"/>
      <c r="D795" s="30"/>
      <c r="E795" s="30"/>
      <c r="F795" s="30"/>
      <c r="I795" s="25"/>
    </row>
    <row r="796">
      <c r="A796" s="30"/>
      <c r="B796" s="30"/>
      <c r="C796" s="30"/>
      <c r="D796" s="30"/>
      <c r="E796" s="30"/>
      <c r="F796" s="30"/>
      <c r="I796" s="25"/>
    </row>
    <row r="797">
      <c r="A797" s="30"/>
      <c r="B797" s="30"/>
      <c r="C797" s="30"/>
      <c r="D797" s="30"/>
      <c r="E797" s="30"/>
      <c r="F797" s="30"/>
      <c r="I797" s="25"/>
    </row>
    <row r="798">
      <c r="A798" s="30"/>
      <c r="B798" s="30"/>
      <c r="C798" s="30"/>
      <c r="D798" s="30"/>
      <c r="E798" s="30"/>
      <c r="F798" s="30"/>
      <c r="I798" s="25"/>
    </row>
    <row r="799">
      <c r="A799" s="30"/>
      <c r="B799" s="30"/>
      <c r="C799" s="30"/>
      <c r="D799" s="30"/>
      <c r="E799" s="30"/>
      <c r="F799" s="30"/>
      <c r="I799" s="25"/>
    </row>
    <row r="800">
      <c r="A800" s="30"/>
      <c r="B800" s="30"/>
      <c r="C800" s="30"/>
      <c r="D800" s="30"/>
      <c r="E800" s="30"/>
      <c r="F800" s="30"/>
      <c r="I800" s="25"/>
    </row>
    <row r="801">
      <c r="A801" s="30"/>
      <c r="B801" s="30"/>
      <c r="C801" s="30"/>
      <c r="D801" s="30"/>
      <c r="E801" s="30"/>
      <c r="F801" s="30"/>
      <c r="I801" s="25"/>
    </row>
    <row r="802">
      <c r="A802" s="30"/>
      <c r="B802" s="30"/>
      <c r="C802" s="30"/>
      <c r="D802" s="30"/>
      <c r="E802" s="30"/>
      <c r="F802" s="30"/>
      <c r="I802" s="25"/>
    </row>
    <row r="803">
      <c r="A803" s="30"/>
      <c r="B803" s="30"/>
      <c r="C803" s="30"/>
      <c r="D803" s="30"/>
      <c r="E803" s="30"/>
      <c r="F803" s="30"/>
      <c r="I803" s="25"/>
    </row>
    <row r="804">
      <c r="A804" s="30"/>
      <c r="B804" s="30"/>
      <c r="C804" s="30"/>
      <c r="D804" s="30"/>
      <c r="E804" s="30"/>
      <c r="F804" s="30"/>
      <c r="I804" s="25"/>
    </row>
    <row r="805">
      <c r="A805" s="30"/>
      <c r="B805" s="30"/>
      <c r="C805" s="30"/>
      <c r="D805" s="30"/>
      <c r="E805" s="30"/>
      <c r="F805" s="30"/>
      <c r="I805" s="25"/>
    </row>
    <row r="806">
      <c r="A806" s="30"/>
      <c r="B806" s="30"/>
      <c r="C806" s="30"/>
      <c r="D806" s="30"/>
      <c r="E806" s="30"/>
      <c r="F806" s="30"/>
      <c r="I806" s="25"/>
    </row>
    <row r="807">
      <c r="A807" s="30"/>
      <c r="B807" s="30"/>
      <c r="C807" s="30"/>
      <c r="D807" s="30"/>
      <c r="E807" s="30"/>
      <c r="F807" s="30"/>
      <c r="I807" s="25"/>
    </row>
    <row r="808">
      <c r="A808" s="30"/>
      <c r="B808" s="30"/>
      <c r="C808" s="30"/>
      <c r="D808" s="30"/>
      <c r="E808" s="30"/>
      <c r="F808" s="30"/>
      <c r="I808" s="25"/>
    </row>
    <row r="809">
      <c r="A809" s="30"/>
      <c r="B809" s="30"/>
      <c r="C809" s="30"/>
      <c r="D809" s="30"/>
      <c r="E809" s="30"/>
      <c r="F809" s="30"/>
      <c r="I809" s="25"/>
    </row>
    <row r="810">
      <c r="A810" s="30"/>
      <c r="B810" s="30"/>
      <c r="C810" s="30"/>
      <c r="D810" s="30"/>
      <c r="E810" s="30"/>
      <c r="F810" s="30"/>
      <c r="I810" s="25"/>
    </row>
    <row r="811">
      <c r="A811" s="30"/>
      <c r="B811" s="30"/>
      <c r="C811" s="30"/>
      <c r="D811" s="30"/>
      <c r="E811" s="30"/>
      <c r="F811" s="30"/>
      <c r="I811" s="25"/>
    </row>
    <row r="812">
      <c r="A812" s="30"/>
      <c r="B812" s="30"/>
      <c r="C812" s="30"/>
      <c r="D812" s="30"/>
      <c r="E812" s="30"/>
      <c r="F812" s="30"/>
      <c r="I812" s="25"/>
    </row>
    <row r="813">
      <c r="A813" s="30"/>
      <c r="B813" s="30"/>
      <c r="C813" s="30"/>
      <c r="D813" s="30"/>
      <c r="E813" s="30"/>
      <c r="F813" s="30"/>
      <c r="I813" s="25"/>
    </row>
    <row r="814">
      <c r="A814" s="30"/>
      <c r="B814" s="30"/>
      <c r="C814" s="30"/>
      <c r="D814" s="30"/>
      <c r="E814" s="30"/>
      <c r="F814" s="30"/>
      <c r="I814" s="25"/>
    </row>
    <row r="815">
      <c r="A815" s="30"/>
      <c r="B815" s="30"/>
      <c r="C815" s="30"/>
      <c r="D815" s="30"/>
      <c r="E815" s="30"/>
      <c r="F815" s="30"/>
      <c r="I815" s="25"/>
    </row>
    <row r="816">
      <c r="A816" s="30"/>
      <c r="B816" s="30"/>
      <c r="C816" s="30"/>
      <c r="D816" s="30"/>
      <c r="E816" s="30"/>
      <c r="F816" s="30"/>
      <c r="I816" s="25"/>
    </row>
    <row r="817">
      <c r="A817" s="30"/>
      <c r="B817" s="30"/>
      <c r="C817" s="30"/>
      <c r="D817" s="30"/>
      <c r="E817" s="30"/>
      <c r="F817" s="30"/>
      <c r="I817" s="25"/>
    </row>
    <row r="818">
      <c r="A818" s="30"/>
      <c r="B818" s="30"/>
      <c r="C818" s="30"/>
      <c r="D818" s="30"/>
      <c r="E818" s="30"/>
      <c r="F818" s="30"/>
      <c r="I818" s="25"/>
    </row>
    <row r="819">
      <c r="A819" s="30"/>
      <c r="B819" s="30"/>
      <c r="C819" s="30"/>
      <c r="D819" s="30"/>
      <c r="E819" s="30"/>
      <c r="F819" s="30"/>
      <c r="I819" s="25"/>
    </row>
    <row r="820">
      <c r="A820" s="30"/>
      <c r="B820" s="30"/>
      <c r="C820" s="30"/>
      <c r="D820" s="30"/>
      <c r="E820" s="30"/>
      <c r="F820" s="30"/>
      <c r="I820" s="25"/>
    </row>
    <row r="821">
      <c r="A821" s="30"/>
      <c r="B821" s="30"/>
      <c r="C821" s="30"/>
      <c r="D821" s="30"/>
      <c r="E821" s="30"/>
      <c r="F821" s="30"/>
      <c r="I821" s="25"/>
    </row>
    <row r="822">
      <c r="A822" s="30"/>
      <c r="B822" s="30"/>
      <c r="C822" s="30"/>
      <c r="D822" s="30"/>
      <c r="E822" s="30"/>
      <c r="F822" s="30"/>
      <c r="I822" s="25"/>
    </row>
    <row r="823">
      <c r="A823" s="30"/>
      <c r="B823" s="30"/>
      <c r="C823" s="30"/>
      <c r="D823" s="30"/>
      <c r="E823" s="30"/>
      <c r="F823" s="30"/>
      <c r="I823" s="25"/>
    </row>
    <row r="824">
      <c r="A824" s="30"/>
      <c r="B824" s="30"/>
      <c r="C824" s="30"/>
      <c r="D824" s="30"/>
      <c r="E824" s="30"/>
      <c r="F824" s="30"/>
      <c r="I824" s="25"/>
    </row>
    <row r="825">
      <c r="A825" s="30"/>
      <c r="B825" s="30"/>
      <c r="C825" s="30"/>
      <c r="D825" s="30"/>
      <c r="E825" s="30"/>
      <c r="F825" s="30"/>
      <c r="I825" s="25"/>
    </row>
    <row r="826">
      <c r="A826" s="30"/>
      <c r="B826" s="30"/>
      <c r="C826" s="30"/>
      <c r="D826" s="30"/>
      <c r="E826" s="30"/>
      <c r="F826" s="30"/>
      <c r="I826" s="25"/>
    </row>
    <row r="827">
      <c r="A827" s="30"/>
      <c r="B827" s="30"/>
      <c r="C827" s="30"/>
      <c r="D827" s="30"/>
      <c r="E827" s="30"/>
      <c r="F827" s="30"/>
      <c r="I827" s="25"/>
    </row>
    <row r="828">
      <c r="A828" s="30"/>
      <c r="B828" s="30"/>
      <c r="C828" s="30"/>
      <c r="D828" s="30"/>
      <c r="E828" s="30"/>
      <c r="F828" s="30"/>
      <c r="I828" s="25"/>
    </row>
    <row r="829">
      <c r="A829" s="30"/>
      <c r="B829" s="30"/>
      <c r="C829" s="30"/>
      <c r="D829" s="30"/>
      <c r="E829" s="30"/>
      <c r="F829" s="30"/>
      <c r="I829" s="25"/>
    </row>
    <row r="830">
      <c r="A830" s="30"/>
      <c r="B830" s="30"/>
      <c r="C830" s="30"/>
      <c r="D830" s="30"/>
      <c r="E830" s="30"/>
      <c r="F830" s="30"/>
      <c r="I830" s="25"/>
    </row>
    <row r="831">
      <c r="A831" s="30"/>
      <c r="B831" s="30"/>
      <c r="C831" s="30"/>
      <c r="D831" s="30"/>
      <c r="E831" s="30"/>
      <c r="F831" s="30"/>
      <c r="I831" s="25"/>
    </row>
    <row r="832">
      <c r="A832" s="30"/>
      <c r="B832" s="30"/>
      <c r="C832" s="30"/>
      <c r="D832" s="30"/>
      <c r="E832" s="30"/>
      <c r="F832" s="30"/>
      <c r="I832" s="25"/>
    </row>
    <row r="833">
      <c r="A833" s="30"/>
      <c r="B833" s="30"/>
      <c r="C833" s="30"/>
      <c r="D833" s="30"/>
      <c r="E833" s="30"/>
      <c r="F833" s="30"/>
      <c r="I833" s="25"/>
    </row>
    <row r="834">
      <c r="A834" s="30"/>
      <c r="B834" s="30"/>
      <c r="C834" s="30"/>
      <c r="D834" s="30"/>
      <c r="E834" s="30"/>
      <c r="F834" s="30"/>
      <c r="I834" s="25"/>
    </row>
    <row r="835">
      <c r="A835" s="30"/>
      <c r="B835" s="30"/>
      <c r="C835" s="30"/>
      <c r="D835" s="30"/>
      <c r="E835" s="30"/>
      <c r="F835" s="30"/>
      <c r="I835" s="25"/>
    </row>
    <row r="836">
      <c r="A836" s="30"/>
      <c r="B836" s="30"/>
      <c r="C836" s="30"/>
      <c r="D836" s="30"/>
      <c r="E836" s="30"/>
      <c r="F836" s="30"/>
      <c r="I836" s="25"/>
    </row>
    <row r="837">
      <c r="A837" s="30"/>
      <c r="B837" s="30"/>
      <c r="C837" s="30"/>
      <c r="D837" s="30"/>
      <c r="E837" s="30"/>
      <c r="F837" s="30"/>
      <c r="I837" s="25"/>
    </row>
    <row r="838">
      <c r="A838" s="30"/>
      <c r="B838" s="30"/>
      <c r="C838" s="30"/>
      <c r="D838" s="30"/>
      <c r="E838" s="30"/>
      <c r="F838" s="30"/>
      <c r="I838" s="25"/>
    </row>
    <row r="839">
      <c r="A839" s="30"/>
      <c r="B839" s="30"/>
      <c r="C839" s="30"/>
      <c r="D839" s="30"/>
      <c r="E839" s="30"/>
      <c r="F839" s="30"/>
      <c r="I839" s="25"/>
    </row>
    <row r="840">
      <c r="A840" s="30"/>
      <c r="B840" s="30"/>
      <c r="C840" s="30"/>
      <c r="D840" s="30"/>
      <c r="E840" s="30"/>
      <c r="F840" s="30"/>
      <c r="I840" s="25"/>
    </row>
    <row r="841">
      <c r="A841" s="30"/>
      <c r="B841" s="30"/>
      <c r="C841" s="30"/>
      <c r="D841" s="30"/>
      <c r="E841" s="30"/>
      <c r="F841" s="30"/>
      <c r="I841" s="25"/>
    </row>
    <row r="842">
      <c r="A842" s="30"/>
      <c r="B842" s="30"/>
      <c r="C842" s="30"/>
      <c r="D842" s="30"/>
      <c r="E842" s="30"/>
      <c r="F842" s="30"/>
      <c r="I842" s="25"/>
    </row>
    <row r="843">
      <c r="A843" s="30"/>
      <c r="B843" s="30"/>
      <c r="C843" s="30"/>
      <c r="D843" s="30"/>
      <c r="E843" s="30"/>
      <c r="F843" s="30"/>
      <c r="I843" s="25"/>
    </row>
    <row r="844">
      <c r="A844" s="30"/>
      <c r="B844" s="30"/>
      <c r="C844" s="30"/>
      <c r="D844" s="30"/>
      <c r="E844" s="30"/>
      <c r="F844" s="30"/>
      <c r="I844" s="25"/>
    </row>
    <row r="845">
      <c r="A845" s="30"/>
      <c r="B845" s="30"/>
      <c r="C845" s="30"/>
      <c r="D845" s="30"/>
      <c r="E845" s="30"/>
      <c r="F845" s="30"/>
      <c r="I845" s="25"/>
    </row>
    <row r="846">
      <c r="A846" s="30"/>
      <c r="B846" s="30"/>
      <c r="C846" s="30"/>
      <c r="D846" s="30"/>
      <c r="E846" s="30"/>
      <c r="F846" s="30"/>
      <c r="I846" s="25"/>
    </row>
    <row r="847">
      <c r="A847" s="30"/>
      <c r="B847" s="30"/>
      <c r="C847" s="30"/>
      <c r="D847" s="30"/>
      <c r="E847" s="30"/>
      <c r="F847" s="30"/>
      <c r="I847" s="25"/>
    </row>
    <row r="848">
      <c r="A848" s="30"/>
      <c r="B848" s="30"/>
      <c r="C848" s="30"/>
      <c r="D848" s="30"/>
      <c r="E848" s="30"/>
      <c r="F848" s="30"/>
      <c r="I848" s="25"/>
    </row>
    <row r="849">
      <c r="A849" s="30"/>
      <c r="B849" s="30"/>
      <c r="C849" s="30"/>
      <c r="D849" s="30"/>
      <c r="E849" s="30"/>
      <c r="F849" s="30"/>
      <c r="I849" s="25"/>
    </row>
    <row r="850">
      <c r="A850" s="30"/>
      <c r="B850" s="30"/>
      <c r="C850" s="30"/>
      <c r="D850" s="30"/>
      <c r="E850" s="30"/>
      <c r="F850" s="30"/>
      <c r="I850" s="25"/>
    </row>
    <row r="851">
      <c r="A851" s="30"/>
      <c r="B851" s="30"/>
      <c r="C851" s="30"/>
      <c r="D851" s="30"/>
      <c r="E851" s="30"/>
      <c r="F851" s="30"/>
      <c r="I851" s="25"/>
    </row>
    <row r="852">
      <c r="A852" s="30"/>
      <c r="B852" s="30"/>
      <c r="C852" s="30"/>
      <c r="D852" s="30"/>
      <c r="E852" s="30"/>
      <c r="F852" s="30"/>
      <c r="I852" s="25"/>
    </row>
    <row r="853">
      <c r="A853" s="30"/>
      <c r="B853" s="30"/>
      <c r="C853" s="30"/>
      <c r="D853" s="30"/>
      <c r="E853" s="30"/>
      <c r="F853" s="30"/>
      <c r="I853" s="25"/>
    </row>
    <row r="854">
      <c r="A854" s="30"/>
      <c r="B854" s="30"/>
      <c r="C854" s="30"/>
      <c r="D854" s="30"/>
      <c r="E854" s="30"/>
      <c r="F854" s="30"/>
      <c r="I854" s="25"/>
    </row>
    <row r="855">
      <c r="A855" s="30"/>
      <c r="B855" s="30"/>
      <c r="C855" s="30"/>
      <c r="D855" s="30"/>
      <c r="E855" s="30"/>
      <c r="F855" s="30"/>
      <c r="I855" s="25"/>
    </row>
    <row r="856">
      <c r="A856" s="30"/>
      <c r="B856" s="30"/>
      <c r="C856" s="30"/>
      <c r="D856" s="30"/>
      <c r="E856" s="30"/>
      <c r="F856" s="30"/>
      <c r="I856" s="25"/>
    </row>
    <row r="857">
      <c r="A857" s="30"/>
      <c r="B857" s="30"/>
      <c r="C857" s="30"/>
      <c r="D857" s="30"/>
      <c r="E857" s="30"/>
      <c r="F857" s="30"/>
      <c r="I857" s="25"/>
    </row>
    <row r="858">
      <c r="A858" s="30"/>
      <c r="B858" s="30"/>
      <c r="C858" s="30"/>
      <c r="D858" s="30"/>
      <c r="E858" s="30"/>
      <c r="F858" s="30"/>
      <c r="I858" s="25"/>
    </row>
    <row r="859">
      <c r="A859" s="30"/>
      <c r="B859" s="30"/>
      <c r="C859" s="30"/>
      <c r="D859" s="30"/>
      <c r="E859" s="30"/>
      <c r="F859" s="30"/>
      <c r="I859" s="25"/>
    </row>
    <row r="860">
      <c r="A860" s="30"/>
      <c r="B860" s="30"/>
      <c r="C860" s="30"/>
      <c r="D860" s="30"/>
      <c r="E860" s="30"/>
      <c r="F860" s="30"/>
      <c r="I860" s="25"/>
    </row>
    <row r="861">
      <c r="A861" s="30"/>
      <c r="B861" s="30"/>
      <c r="C861" s="30"/>
      <c r="D861" s="30"/>
      <c r="E861" s="30"/>
      <c r="F861" s="30"/>
      <c r="I861" s="25"/>
    </row>
    <row r="862">
      <c r="A862" s="30"/>
      <c r="B862" s="30"/>
      <c r="C862" s="30"/>
      <c r="D862" s="30"/>
      <c r="E862" s="30"/>
      <c r="F862" s="30"/>
      <c r="I862" s="25"/>
    </row>
    <row r="863">
      <c r="A863" s="30"/>
      <c r="B863" s="30"/>
      <c r="C863" s="30"/>
      <c r="D863" s="30"/>
      <c r="E863" s="30"/>
      <c r="F863" s="30"/>
      <c r="I863" s="25"/>
    </row>
    <row r="864">
      <c r="A864" s="30"/>
      <c r="B864" s="30"/>
      <c r="C864" s="30"/>
      <c r="D864" s="30"/>
      <c r="E864" s="30"/>
      <c r="F864" s="30"/>
      <c r="I864" s="25"/>
    </row>
    <row r="865">
      <c r="A865" s="30"/>
      <c r="B865" s="30"/>
      <c r="C865" s="30"/>
      <c r="D865" s="30"/>
      <c r="E865" s="30"/>
      <c r="F865" s="30"/>
      <c r="I865" s="25"/>
    </row>
    <row r="866">
      <c r="A866" s="30"/>
      <c r="B866" s="30"/>
      <c r="C866" s="30"/>
      <c r="D866" s="30"/>
      <c r="E866" s="30"/>
      <c r="F866" s="30"/>
      <c r="I866" s="25"/>
    </row>
    <row r="867">
      <c r="A867" s="30"/>
      <c r="B867" s="30"/>
      <c r="C867" s="30"/>
      <c r="D867" s="30"/>
      <c r="E867" s="30"/>
      <c r="F867" s="30"/>
      <c r="I867" s="25"/>
    </row>
    <row r="868">
      <c r="A868" s="30"/>
      <c r="B868" s="30"/>
      <c r="C868" s="30"/>
      <c r="D868" s="30"/>
      <c r="E868" s="30"/>
      <c r="F868" s="30"/>
      <c r="I868" s="25"/>
    </row>
    <row r="869">
      <c r="A869" s="30"/>
      <c r="B869" s="30"/>
      <c r="C869" s="30"/>
      <c r="D869" s="30"/>
      <c r="E869" s="30"/>
      <c r="F869" s="30"/>
      <c r="I869" s="25"/>
    </row>
    <row r="870">
      <c r="A870" s="30"/>
      <c r="B870" s="30"/>
      <c r="C870" s="30"/>
      <c r="D870" s="30"/>
      <c r="E870" s="30"/>
      <c r="F870" s="30"/>
      <c r="I870" s="25"/>
    </row>
    <row r="871">
      <c r="A871" s="30"/>
      <c r="B871" s="30"/>
      <c r="C871" s="30"/>
      <c r="D871" s="30"/>
      <c r="E871" s="30"/>
      <c r="F871" s="30"/>
      <c r="I871" s="25"/>
    </row>
    <row r="872">
      <c r="A872" s="30"/>
      <c r="B872" s="30"/>
      <c r="C872" s="30"/>
      <c r="D872" s="30"/>
      <c r="E872" s="30"/>
      <c r="F872" s="30"/>
      <c r="I872" s="25"/>
    </row>
    <row r="873">
      <c r="A873" s="30"/>
      <c r="B873" s="30"/>
      <c r="C873" s="30"/>
      <c r="D873" s="30"/>
      <c r="E873" s="30"/>
      <c r="F873" s="30"/>
      <c r="I873" s="25"/>
    </row>
    <row r="874">
      <c r="A874" s="30"/>
      <c r="B874" s="30"/>
      <c r="C874" s="30"/>
      <c r="D874" s="30"/>
      <c r="E874" s="30"/>
      <c r="F874" s="30"/>
      <c r="I874" s="25"/>
    </row>
    <row r="875">
      <c r="A875" s="30"/>
      <c r="B875" s="30"/>
      <c r="C875" s="30"/>
      <c r="D875" s="30"/>
      <c r="E875" s="30"/>
      <c r="F875" s="30"/>
      <c r="I875" s="25"/>
    </row>
    <row r="876">
      <c r="A876" s="30"/>
      <c r="B876" s="30"/>
      <c r="C876" s="30"/>
      <c r="D876" s="30"/>
      <c r="E876" s="30"/>
      <c r="F876" s="30"/>
      <c r="I876" s="25"/>
    </row>
    <row r="877">
      <c r="A877" s="30"/>
      <c r="B877" s="30"/>
      <c r="C877" s="30"/>
      <c r="D877" s="30"/>
      <c r="E877" s="30"/>
      <c r="F877" s="30"/>
      <c r="I877" s="25"/>
    </row>
    <row r="878">
      <c r="A878" s="30"/>
      <c r="B878" s="30"/>
      <c r="C878" s="30"/>
      <c r="D878" s="30"/>
      <c r="E878" s="30"/>
      <c r="F878" s="30"/>
      <c r="I878" s="25"/>
    </row>
    <row r="879">
      <c r="A879" s="30"/>
      <c r="B879" s="30"/>
      <c r="C879" s="30"/>
      <c r="D879" s="30"/>
      <c r="E879" s="30"/>
      <c r="F879" s="30"/>
      <c r="I879" s="25"/>
    </row>
    <row r="880">
      <c r="A880" s="30"/>
      <c r="B880" s="30"/>
      <c r="C880" s="30"/>
      <c r="D880" s="30"/>
      <c r="E880" s="30"/>
      <c r="F880" s="30"/>
      <c r="I880" s="25"/>
    </row>
    <row r="881">
      <c r="A881" s="30"/>
      <c r="B881" s="30"/>
      <c r="C881" s="30"/>
      <c r="D881" s="30"/>
      <c r="E881" s="30"/>
      <c r="F881" s="30"/>
      <c r="I881" s="25"/>
    </row>
    <row r="882">
      <c r="A882" s="30"/>
      <c r="B882" s="30"/>
      <c r="C882" s="30"/>
      <c r="D882" s="30"/>
      <c r="E882" s="30"/>
      <c r="F882" s="30"/>
      <c r="I882" s="25"/>
    </row>
    <row r="883">
      <c r="A883" s="30"/>
      <c r="B883" s="30"/>
      <c r="C883" s="30"/>
      <c r="D883" s="30"/>
      <c r="E883" s="30"/>
      <c r="F883" s="30"/>
      <c r="I883" s="25"/>
    </row>
    <row r="884">
      <c r="A884" s="30"/>
      <c r="B884" s="30"/>
      <c r="C884" s="30"/>
      <c r="D884" s="30"/>
      <c r="E884" s="30"/>
      <c r="F884" s="30"/>
      <c r="I884" s="25"/>
    </row>
    <row r="885">
      <c r="A885" s="30"/>
      <c r="B885" s="30"/>
      <c r="C885" s="30"/>
      <c r="D885" s="30"/>
      <c r="E885" s="30"/>
      <c r="F885" s="30"/>
      <c r="I885" s="25"/>
    </row>
    <row r="886">
      <c r="A886" s="30"/>
      <c r="B886" s="30"/>
      <c r="C886" s="30"/>
      <c r="D886" s="30"/>
      <c r="E886" s="30"/>
      <c r="F886" s="30"/>
      <c r="I886" s="25"/>
    </row>
    <row r="887">
      <c r="A887" s="30"/>
      <c r="B887" s="30"/>
      <c r="C887" s="30"/>
      <c r="D887" s="30"/>
      <c r="E887" s="30"/>
      <c r="F887" s="30"/>
      <c r="I887" s="25"/>
    </row>
    <row r="888">
      <c r="A888" s="30"/>
      <c r="B888" s="30"/>
      <c r="C888" s="30"/>
      <c r="D888" s="30"/>
      <c r="E888" s="30"/>
      <c r="F888" s="30"/>
      <c r="I888" s="25"/>
    </row>
    <row r="889">
      <c r="A889" s="30"/>
      <c r="B889" s="30"/>
      <c r="C889" s="30"/>
      <c r="D889" s="30"/>
      <c r="E889" s="30"/>
      <c r="F889" s="30"/>
      <c r="I889" s="25"/>
    </row>
    <row r="890">
      <c r="A890" s="30"/>
      <c r="B890" s="30"/>
      <c r="C890" s="30"/>
      <c r="D890" s="30"/>
      <c r="E890" s="30"/>
      <c r="F890" s="30"/>
      <c r="I890" s="25"/>
    </row>
    <row r="891">
      <c r="A891" s="30"/>
      <c r="B891" s="30"/>
      <c r="C891" s="30"/>
      <c r="D891" s="30"/>
      <c r="E891" s="30"/>
      <c r="F891" s="30"/>
      <c r="I891" s="25"/>
    </row>
    <row r="892">
      <c r="A892" s="30"/>
      <c r="B892" s="30"/>
      <c r="C892" s="30"/>
      <c r="D892" s="30"/>
      <c r="E892" s="30"/>
      <c r="F892" s="30"/>
      <c r="I892" s="25"/>
    </row>
    <row r="893">
      <c r="A893" s="30"/>
      <c r="B893" s="30"/>
      <c r="C893" s="30"/>
      <c r="D893" s="30"/>
      <c r="E893" s="30"/>
      <c r="F893" s="30"/>
      <c r="I893" s="25"/>
    </row>
    <row r="894">
      <c r="A894" s="30"/>
      <c r="B894" s="30"/>
      <c r="C894" s="30"/>
      <c r="D894" s="30"/>
      <c r="E894" s="30"/>
      <c r="F894" s="30"/>
      <c r="I894" s="25"/>
    </row>
    <row r="895">
      <c r="A895" s="30"/>
      <c r="B895" s="30"/>
      <c r="C895" s="30"/>
      <c r="D895" s="30"/>
      <c r="E895" s="30"/>
      <c r="F895" s="30"/>
      <c r="I895" s="25"/>
    </row>
    <row r="896">
      <c r="A896" s="30"/>
      <c r="B896" s="30"/>
      <c r="C896" s="30"/>
      <c r="D896" s="30"/>
      <c r="E896" s="30"/>
      <c r="F896" s="30"/>
      <c r="I896" s="25"/>
    </row>
    <row r="897">
      <c r="A897" s="30"/>
      <c r="B897" s="30"/>
      <c r="C897" s="30"/>
      <c r="D897" s="30"/>
      <c r="E897" s="30"/>
      <c r="F897" s="30"/>
      <c r="I897" s="25"/>
    </row>
    <row r="898">
      <c r="A898" s="30"/>
      <c r="B898" s="30"/>
      <c r="C898" s="30"/>
      <c r="D898" s="30"/>
      <c r="E898" s="30"/>
      <c r="F898" s="30"/>
      <c r="I898" s="25"/>
    </row>
    <row r="899">
      <c r="A899" s="30"/>
      <c r="B899" s="30"/>
      <c r="C899" s="30"/>
      <c r="D899" s="30"/>
      <c r="E899" s="30"/>
      <c r="F899" s="30"/>
      <c r="I899" s="25"/>
    </row>
    <row r="900">
      <c r="A900" s="30"/>
      <c r="B900" s="30"/>
      <c r="C900" s="30"/>
      <c r="D900" s="30"/>
      <c r="E900" s="30"/>
      <c r="F900" s="30"/>
      <c r="I900" s="25"/>
    </row>
    <row r="901">
      <c r="A901" s="30"/>
      <c r="B901" s="30"/>
      <c r="C901" s="30"/>
      <c r="D901" s="30"/>
      <c r="E901" s="30"/>
      <c r="F901" s="30"/>
      <c r="I901" s="25"/>
    </row>
    <row r="902">
      <c r="A902" s="30"/>
      <c r="B902" s="30"/>
      <c r="C902" s="30"/>
      <c r="D902" s="30"/>
      <c r="E902" s="30"/>
      <c r="F902" s="30"/>
      <c r="I902" s="25"/>
    </row>
    <row r="903">
      <c r="A903" s="30"/>
      <c r="B903" s="30"/>
      <c r="C903" s="30"/>
      <c r="D903" s="30"/>
      <c r="E903" s="30"/>
      <c r="F903" s="30"/>
      <c r="I903" s="25"/>
    </row>
    <row r="904">
      <c r="A904" s="30"/>
      <c r="B904" s="30"/>
      <c r="C904" s="30"/>
      <c r="D904" s="30"/>
      <c r="E904" s="30"/>
      <c r="F904" s="30"/>
      <c r="I904" s="25"/>
    </row>
    <row r="905">
      <c r="A905" s="30"/>
      <c r="B905" s="30"/>
      <c r="C905" s="30"/>
      <c r="D905" s="30"/>
      <c r="E905" s="30"/>
      <c r="F905" s="30"/>
      <c r="I905" s="25"/>
    </row>
    <row r="906">
      <c r="A906" s="30"/>
      <c r="B906" s="30"/>
      <c r="C906" s="30"/>
      <c r="D906" s="30"/>
      <c r="E906" s="30"/>
      <c r="F906" s="30"/>
      <c r="I906" s="25"/>
    </row>
    <row r="907">
      <c r="A907" s="30"/>
      <c r="B907" s="30"/>
      <c r="C907" s="30"/>
      <c r="D907" s="30"/>
      <c r="E907" s="30"/>
      <c r="F907" s="30"/>
      <c r="I907" s="25"/>
    </row>
    <row r="908">
      <c r="A908" s="30"/>
      <c r="B908" s="30"/>
      <c r="C908" s="30"/>
      <c r="D908" s="30"/>
      <c r="E908" s="30"/>
      <c r="F908" s="30"/>
      <c r="I908" s="25"/>
    </row>
    <row r="909">
      <c r="A909" s="30"/>
      <c r="B909" s="30"/>
      <c r="C909" s="30"/>
      <c r="D909" s="30"/>
      <c r="E909" s="30"/>
      <c r="F909" s="30"/>
      <c r="I909" s="25"/>
    </row>
    <row r="910">
      <c r="A910" s="30"/>
      <c r="B910" s="30"/>
      <c r="C910" s="30"/>
      <c r="D910" s="30"/>
      <c r="E910" s="30"/>
      <c r="F910" s="30"/>
      <c r="I910" s="25"/>
    </row>
    <row r="911">
      <c r="A911" s="30"/>
      <c r="B911" s="30"/>
      <c r="C911" s="30"/>
      <c r="D911" s="30"/>
      <c r="E911" s="30"/>
      <c r="F911" s="30"/>
      <c r="I911" s="25"/>
    </row>
    <row r="912">
      <c r="A912" s="30"/>
      <c r="B912" s="30"/>
      <c r="C912" s="30"/>
      <c r="D912" s="30"/>
      <c r="E912" s="30"/>
      <c r="F912" s="30"/>
      <c r="I912" s="25"/>
    </row>
    <row r="913">
      <c r="A913" s="30"/>
      <c r="B913" s="30"/>
      <c r="C913" s="30"/>
      <c r="D913" s="30"/>
      <c r="E913" s="30"/>
      <c r="F913" s="30"/>
      <c r="I913" s="25"/>
    </row>
    <row r="914">
      <c r="A914" s="30"/>
      <c r="B914" s="30"/>
      <c r="C914" s="30"/>
      <c r="D914" s="30"/>
      <c r="E914" s="30"/>
      <c r="F914" s="30"/>
      <c r="I914" s="25"/>
    </row>
    <row r="915">
      <c r="A915" s="30"/>
      <c r="B915" s="30"/>
      <c r="C915" s="30"/>
      <c r="D915" s="30"/>
      <c r="E915" s="30"/>
      <c r="F915" s="30"/>
      <c r="I915" s="25"/>
    </row>
    <row r="916">
      <c r="A916" s="30"/>
      <c r="B916" s="30"/>
      <c r="C916" s="30"/>
      <c r="D916" s="30"/>
      <c r="E916" s="30"/>
      <c r="F916" s="30"/>
      <c r="I916" s="25"/>
    </row>
    <row r="917">
      <c r="A917" s="30"/>
      <c r="B917" s="30"/>
      <c r="C917" s="30"/>
      <c r="D917" s="30"/>
      <c r="E917" s="30"/>
      <c r="F917" s="30"/>
      <c r="I917" s="25"/>
    </row>
    <row r="918">
      <c r="A918" s="30"/>
      <c r="B918" s="30"/>
      <c r="C918" s="30"/>
      <c r="D918" s="30"/>
      <c r="E918" s="30"/>
      <c r="F918" s="30"/>
      <c r="I918" s="25"/>
    </row>
    <row r="919">
      <c r="A919" s="30"/>
      <c r="B919" s="30"/>
      <c r="C919" s="30"/>
      <c r="D919" s="30"/>
      <c r="E919" s="30"/>
      <c r="F919" s="30"/>
      <c r="I919" s="25"/>
    </row>
    <row r="920">
      <c r="A920" s="30"/>
      <c r="B920" s="30"/>
      <c r="C920" s="30"/>
      <c r="D920" s="30"/>
      <c r="E920" s="30"/>
      <c r="F920" s="30"/>
      <c r="I920" s="25"/>
    </row>
    <row r="921">
      <c r="A921" s="30"/>
      <c r="B921" s="30"/>
      <c r="C921" s="30"/>
      <c r="D921" s="30"/>
      <c r="E921" s="30"/>
      <c r="F921" s="30"/>
      <c r="I921" s="25"/>
    </row>
    <row r="922">
      <c r="A922" s="30"/>
      <c r="B922" s="30"/>
      <c r="C922" s="30"/>
      <c r="D922" s="30"/>
      <c r="E922" s="30"/>
      <c r="F922" s="30"/>
      <c r="I922" s="25"/>
    </row>
    <row r="923">
      <c r="A923" s="30"/>
      <c r="B923" s="30"/>
      <c r="C923" s="30"/>
      <c r="D923" s="30"/>
      <c r="E923" s="30"/>
      <c r="F923" s="30"/>
      <c r="I923" s="25"/>
    </row>
    <row r="924">
      <c r="A924" s="30"/>
      <c r="B924" s="30"/>
      <c r="C924" s="30"/>
      <c r="D924" s="30"/>
      <c r="E924" s="30"/>
      <c r="F924" s="30"/>
      <c r="I924" s="25"/>
    </row>
    <row r="925">
      <c r="A925" s="30"/>
      <c r="B925" s="30"/>
      <c r="C925" s="30"/>
      <c r="D925" s="30"/>
      <c r="E925" s="30"/>
      <c r="F925" s="30"/>
      <c r="I925" s="25"/>
    </row>
    <row r="926">
      <c r="A926" s="30"/>
      <c r="B926" s="30"/>
      <c r="C926" s="30"/>
      <c r="D926" s="30"/>
      <c r="E926" s="30"/>
      <c r="F926" s="30"/>
      <c r="I926" s="25"/>
    </row>
    <row r="927">
      <c r="A927" s="30"/>
      <c r="B927" s="30"/>
      <c r="C927" s="30"/>
      <c r="D927" s="30"/>
      <c r="E927" s="30"/>
      <c r="F927" s="30"/>
      <c r="I927" s="25"/>
    </row>
    <row r="928">
      <c r="A928" s="30"/>
      <c r="B928" s="30"/>
      <c r="C928" s="30"/>
      <c r="D928" s="30"/>
      <c r="E928" s="30"/>
      <c r="F928" s="30"/>
      <c r="I928" s="25"/>
    </row>
    <row r="929">
      <c r="A929" s="30"/>
      <c r="B929" s="30"/>
      <c r="C929" s="30"/>
      <c r="D929" s="30"/>
      <c r="E929" s="30"/>
      <c r="F929" s="30"/>
      <c r="I929" s="25"/>
    </row>
    <row r="930">
      <c r="A930" s="30"/>
      <c r="B930" s="30"/>
      <c r="C930" s="30"/>
      <c r="D930" s="30"/>
      <c r="E930" s="30"/>
      <c r="F930" s="30"/>
      <c r="I930" s="25"/>
    </row>
    <row r="931">
      <c r="A931" s="30"/>
      <c r="B931" s="30"/>
      <c r="C931" s="30"/>
      <c r="D931" s="30"/>
      <c r="E931" s="30"/>
      <c r="F931" s="30"/>
      <c r="I931" s="25"/>
    </row>
    <row r="932">
      <c r="A932" s="30"/>
      <c r="B932" s="30"/>
      <c r="C932" s="30"/>
      <c r="D932" s="30"/>
      <c r="E932" s="30"/>
      <c r="F932" s="30"/>
      <c r="I932" s="25"/>
    </row>
    <row r="933">
      <c r="A933" s="30"/>
      <c r="B933" s="30"/>
      <c r="C933" s="30"/>
      <c r="D933" s="30"/>
      <c r="E933" s="30"/>
      <c r="F933" s="30"/>
      <c r="I933" s="25"/>
    </row>
    <row r="934">
      <c r="A934" s="30"/>
      <c r="B934" s="30"/>
      <c r="C934" s="30"/>
      <c r="D934" s="30"/>
      <c r="E934" s="30"/>
      <c r="F934" s="30"/>
      <c r="I934" s="25"/>
    </row>
    <row r="935">
      <c r="A935" s="30"/>
      <c r="B935" s="30"/>
      <c r="C935" s="30"/>
      <c r="D935" s="30"/>
      <c r="E935" s="30"/>
      <c r="F935" s="30"/>
      <c r="I935" s="25"/>
    </row>
    <row r="936">
      <c r="A936" s="30"/>
      <c r="B936" s="30"/>
      <c r="C936" s="30"/>
      <c r="D936" s="30"/>
      <c r="E936" s="30"/>
      <c r="F936" s="30"/>
      <c r="I936" s="25"/>
    </row>
    <row r="937">
      <c r="A937" s="30"/>
      <c r="B937" s="30"/>
      <c r="C937" s="30"/>
      <c r="D937" s="30"/>
      <c r="E937" s="30"/>
      <c r="F937" s="30"/>
      <c r="I937" s="25"/>
    </row>
    <row r="938">
      <c r="A938" s="30"/>
      <c r="B938" s="30"/>
      <c r="C938" s="30"/>
      <c r="D938" s="30"/>
      <c r="E938" s="30"/>
      <c r="F938" s="30"/>
      <c r="I938" s="25"/>
    </row>
    <row r="939">
      <c r="A939" s="30"/>
      <c r="B939" s="30"/>
      <c r="C939" s="30"/>
      <c r="D939" s="30"/>
      <c r="E939" s="30"/>
      <c r="F939" s="30"/>
      <c r="I939" s="25"/>
    </row>
    <row r="940">
      <c r="A940" s="30"/>
      <c r="B940" s="30"/>
      <c r="C940" s="30"/>
      <c r="D940" s="30"/>
      <c r="E940" s="30"/>
      <c r="F940" s="30"/>
      <c r="I940" s="25"/>
    </row>
    <row r="941">
      <c r="A941" s="30"/>
      <c r="B941" s="30"/>
      <c r="C941" s="30"/>
      <c r="D941" s="30"/>
      <c r="E941" s="30"/>
      <c r="F941" s="30"/>
      <c r="I941" s="25"/>
    </row>
    <row r="942">
      <c r="A942" s="30"/>
      <c r="B942" s="30"/>
      <c r="C942" s="30"/>
      <c r="D942" s="30"/>
      <c r="E942" s="30"/>
      <c r="F942" s="30"/>
      <c r="I942" s="25"/>
    </row>
    <row r="943">
      <c r="A943" s="30"/>
      <c r="B943" s="30"/>
      <c r="C943" s="30"/>
      <c r="D943" s="30"/>
      <c r="E943" s="30"/>
      <c r="F943" s="30"/>
      <c r="I943" s="25"/>
    </row>
    <row r="944">
      <c r="A944" s="30"/>
      <c r="B944" s="30"/>
      <c r="C944" s="30"/>
      <c r="D944" s="30"/>
      <c r="E944" s="30"/>
      <c r="F944" s="30"/>
      <c r="I944" s="25"/>
    </row>
    <row r="945">
      <c r="A945" s="30"/>
      <c r="B945" s="30"/>
      <c r="C945" s="30"/>
      <c r="D945" s="30"/>
      <c r="E945" s="30"/>
      <c r="F945" s="30"/>
      <c r="I945" s="25"/>
    </row>
    <row r="946">
      <c r="A946" s="30"/>
      <c r="B946" s="30"/>
      <c r="C946" s="30"/>
      <c r="D946" s="30"/>
      <c r="E946" s="30"/>
      <c r="F946" s="30"/>
      <c r="I946" s="25"/>
    </row>
    <row r="947">
      <c r="A947" s="30"/>
      <c r="B947" s="30"/>
      <c r="C947" s="30"/>
      <c r="D947" s="30"/>
      <c r="E947" s="30"/>
      <c r="F947" s="30"/>
      <c r="I947" s="25"/>
    </row>
    <row r="948">
      <c r="A948" s="30"/>
      <c r="B948" s="30"/>
      <c r="C948" s="30"/>
      <c r="D948" s="30"/>
      <c r="E948" s="30"/>
      <c r="F948" s="30"/>
      <c r="I948" s="25"/>
    </row>
    <row r="949">
      <c r="A949" s="30"/>
      <c r="B949" s="30"/>
      <c r="C949" s="30"/>
      <c r="D949" s="30"/>
      <c r="E949" s="30"/>
      <c r="F949" s="30"/>
      <c r="I949" s="25"/>
    </row>
    <row r="950">
      <c r="A950" s="30"/>
      <c r="B950" s="30"/>
      <c r="C950" s="30"/>
      <c r="D950" s="30"/>
      <c r="E950" s="30"/>
      <c r="F950" s="30"/>
      <c r="I950" s="25"/>
    </row>
    <row r="951">
      <c r="A951" s="30"/>
      <c r="B951" s="30"/>
      <c r="C951" s="30"/>
      <c r="D951" s="30"/>
      <c r="E951" s="30"/>
      <c r="F951" s="30"/>
      <c r="I951" s="25"/>
    </row>
    <row r="952">
      <c r="A952" s="30"/>
      <c r="B952" s="30"/>
      <c r="C952" s="30"/>
      <c r="D952" s="30"/>
      <c r="E952" s="30"/>
      <c r="F952" s="30"/>
      <c r="I952" s="25"/>
    </row>
    <row r="953">
      <c r="A953" s="30"/>
      <c r="B953" s="30"/>
      <c r="C953" s="30"/>
      <c r="D953" s="30"/>
      <c r="E953" s="30"/>
      <c r="F953" s="30"/>
      <c r="I953" s="25"/>
    </row>
    <row r="954">
      <c r="A954" s="30"/>
      <c r="B954" s="30"/>
      <c r="C954" s="30"/>
      <c r="D954" s="30"/>
      <c r="E954" s="30"/>
      <c r="F954" s="30"/>
      <c r="I954" s="25"/>
    </row>
    <row r="955">
      <c r="A955" s="30"/>
      <c r="B955" s="30"/>
      <c r="C955" s="30"/>
      <c r="D955" s="30"/>
      <c r="E955" s="30"/>
      <c r="F955" s="30"/>
      <c r="I955" s="25"/>
    </row>
    <row r="956">
      <c r="A956" s="30"/>
      <c r="B956" s="30"/>
      <c r="C956" s="30"/>
      <c r="D956" s="30"/>
      <c r="E956" s="30"/>
      <c r="F956" s="30"/>
      <c r="I956" s="25"/>
    </row>
    <row r="957">
      <c r="A957" s="30"/>
      <c r="B957" s="30"/>
      <c r="C957" s="30"/>
      <c r="D957" s="30"/>
      <c r="E957" s="30"/>
      <c r="F957" s="30"/>
      <c r="I957" s="25"/>
    </row>
    <row r="958">
      <c r="A958" s="30"/>
      <c r="B958" s="30"/>
      <c r="C958" s="30"/>
      <c r="D958" s="30"/>
      <c r="E958" s="30"/>
      <c r="F958" s="30"/>
      <c r="I958" s="25"/>
    </row>
    <row r="959">
      <c r="A959" s="30"/>
      <c r="B959" s="30"/>
      <c r="C959" s="30"/>
      <c r="D959" s="30"/>
      <c r="E959" s="30"/>
      <c r="F959" s="30"/>
      <c r="I959" s="25"/>
    </row>
    <row r="960">
      <c r="A960" s="30"/>
      <c r="B960" s="30"/>
      <c r="C960" s="30"/>
      <c r="D960" s="30"/>
      <c r="E960" s="30"/>
      <c r="F960" s="30"/>
      <c r="I960" s="25"/>
    </row>
    <row r="961">
      <c r="A961" s="30"/>
      <c r="B961" s="30"/>
      <c r="C961" s="30"/>
      <c r="D961" s="30"/>
      <c r="E961" s="30"/>
      <c r="F961" s="30"/>
      <c r="I961" s="25"/>
    </row>
    <row r="962">
      <c r="A962" s="30"/>
      <c r="B962" s="30"/>
      <c r="C962" s="30"/>
      <c r="D962" s="30"/>
      <c r="E962" s="30"/>
      <c r="F962" s="30"/>
      <c r="I962" s="25"/>
    </row>
    <row r="963">
      <c r="A963" s="30"/>
      <c r="B963" s="30"/>
      <c r="C963" s="30"/>
      <c r="D963" s="30"/>
      <c r="E963" s="30"/>
      <c r="F963" s="30"/>
      <c r="I963" s="25"/>
    </row>
    <row r="964">
      <c r="A964" s="30"/>
      <c r="B964" s="30"/>
      <c r="C964" s="30"/>
      <c r="D964" s="30"/>
      <c r="E964" s="30"/>
      <c r="F964" s="30"/>
      <c r="I964" s="25"/>
    </row>
    <row r="965">
      <c r="A965" s="30"/>
      <c r="B965" s="30"/>
      <c r="C965" s="30"/>
      <c r="D965" s="30"/>
      <c r="E965" s="30"/>
      <c r="F965" s="30"/>
      <c r="I965" s="25"/>
    </row>
    <row r="966">
      <c r="A966" s="30"/>
      <c r="B966" s="30"/>
      <c r="C966" s="30"/>
      <c r="D966" s="30"/>
      <c r="E966" s="30"/>
      <c r="F966" s="30"/>
      <c r="I966" s="25"/>
    </row>
    <row r="967">
      <c r="A967" s="30"/>
      <c r="B967" s="30"/>
      <c r="C967" s="30"/>
      <c r="D967" s="30"/>
      <c r="E967" s="30"/>
      <c r="F967" s="30"/>
      <c r="I967" s="25"/>
    </row>
    <row r="968">
      <c r="A968" s="30"/>
      <c r="B968" s="30"/>
      <c r="C968" s="30"/>
      <c r="D968" s="30"/>
      <c r="E968" s="30"/>
      <c r="F968" s="30"/>
      <c r="I968" s="25"/>
    </row>
    <row r="969">
      <c r="A969" s="30"/>
      <c r="B969" s="30"/>
      <c r="C969" s="30"/>
      <c r="D969" s="30"/>
      <c r="E969" s="30"/>
      <c r="F969" s="30"/>
      <c r="I969" s="25"/>
    </row>
    <row r="970">
      <c r="A970" s="30"/>
      <c r="B970" s="30"/>
      <c r="C970" s="30"/>
      <c r="D970" s="30"/>
      <c r="E970" s="30"/>
      <c r="F970" s="30"/>
      <c r="I970" s="25"/>
    </row>
    <row r="971">
      <c r="A971" s="30"/>
      <c r="B971" s="30"/>
      <c r="C971" s="30"/>
      <c r="D971" s="30"/>
      <c r="E971" s="30"/>
      <c r="F971" s="30"/>
      <c r="I971" s="25"/>
    </row>
    <row r="972">
      <c r="A972" s="30"/>
      <c r="B972" s="30"/>
      <c r="C972" s="30"/>
      <c r="D972" s="30"/>
      <c r="E972" s="30"/>
      <c r="F972" s="30"/>
      <c r="I972" s="25"/>
    </row>
    <row r="973">
      <c r="A973" s="30"/>
      <c r="B973" s="30"/>
      <c r="C973" s="30"/>
      <c r="D973" s="30"/>
      <c r="E973" s="30"/>
      <c r="F973" s="30"/>
      <c r="I973" s="25"/>
    </row>
    <row r="974">
      <c r="A974" s="30"/>
      <c r="B974" s="30"/>
      <c r="C974" s="30"/>
      <c r="D974" s="30"/>
      <c r="E974" s="30"/>
      <c r="F974" s="30"/>
      <c r="I974" s="25"/>
    </row>
    <row r="975">
      <c r="A975" s="30"/>
      <c r="B975" s="30"/>
      <c r="C975" s="30"/>
      <c r="D975" s="30"/>
      <c r="E975" s="30"/>
      <c r="F975" s="30"/>
      <c r="I975" s="25"/>
    </row>
    <row r="976">
      <c r="A976" s="30"/>
      <c r="B976" s="30"/>
      <c r="C976" s="30"/>
      <c r="D976" s="30"/>
      <c r="E976" s="30"/>
      <c r="F976" s="30"/>
      <c r="I976" s="25"/>
    </row>
    <row r="977">
      <c r="A977" s="30"/>
      <c r="B977" s="30"/>
      <c r="C977" s="30"/>
      <c r="D977" s="30"/>
      <c r="E977" s="30"/>
      <c r="F977" s="30"/>
      <c r="I977" s="25"/>
    </row>
    <row r="978">
      <c r="A978" s="30"/>
      <c r="B978" s="30"/>
      <c r="C978" s="30"/>
      <c r="D978" s="30"/>
      <c r="E978" s="30"/>
      <c r="F978" s="30"/>
      <c r="I978" s="25"/>
    </row>
    <row r="979">
      <c r="A979" s="30"/>
      <c r="B979" s="30"/>
      <c r="C979" s="30"/>
      <c r="D979" s="30"/>
      <c r="E979" s="30"/>
      <c r="F979" s="30"/>
      <c r="I979" s="25"/>
    </row>
    <row r="980">
      <c r="A980" s="30"/>
      <c r="B980" s="30"/>
      <c r="C980" s="30"/>
      <c r="D980" s="30"/>
      <c r="E980" s="30"/>
      <c r="F980" s="30"/>
      <c r="I980" s="25"/>
    </row>
    <row r="981">
      <c r="A981" s="30"/>
      <c r="B981" s="30"/>
      <c r="C981" s="30"/>
      <c r="D981" s="30"/>
      <c r="E981" s="30"/>
      <c r="F981" s="30"/>
      <c r="I981" s="25"/>
    </row>
    <row r="982">
      <c r="A982" s="30"/>
      <c r="B982" s="30"/>
      <c r="C982" s="30"/>
      <c r="D982" s="30"/>
      <c r="E982" s="30"/>
      <c r="F982" s="30"/>
      <c r="I982" s="25"/>
    </row>
    <row r="983">
      <c r="A983" s="30"/>
      <c r="B983" s="30"/>
      <c r="C983" s="30"/>
      <c r="D983" s="30"/>
      <c r="E983" s="30"/>
      <c r="F983" s="30"/>
      <c r="I983" s="25"/>
    </row>
    <row r="984">
      <c r="A984" s="30"/>
      <c r="B984" s="30"/>
      <c r="C984" s="30"/>
      <c r="D984" s="30"/>
      <c r="E984" s="30"/>
      <c r="F984" s="30"/>
      <c r="I984" s="25"/>
    </row>
    <row r="985">
      <c r="A985" s="30"/>
      <c r="B985" s="30"/>
      <c r="C985" s="30"/>
      <c r="D985" s="30"/>
      <c r="E985" s="30"/>
      <c r="F985" s="30"/>
      <c r="I985" s="25"/>
    </row>
    <row r="986">
      <c r="A986" s="30"/>
      <c r="B986" s="30"/>
      <c r="C986" s="30"/>
      <c r="D986" s="30"/>
      <c r="E986" s="30"/>
      <c r="F986" s="30"/>
      <c r="I986" s="25"/>
    </row>
    <row r="987">
      <c r="A987" s="30"/>
      <c r="B987" s="30"/>
      <c r="C987" s="30"/>
      <c r="D987" s="30"/>
      <c r="E987" s="30"/>
      <c r="F987" s="30"/>
      <c r="I987" s="25"/>
    </row>
    <row r="988">
      <c r="A988" s="30"/>
      <c r="B988" s="30"/>
      <c r="C988" s="30"/>
      <c r="D988" s="30"/>
      <c r="E988" s="30"/>
      <c r="F988" s="30"/>
      <c r="I988" s="25"/>
    </row>
    <row r="989">
      <c r="A989" s="30"/>
      <c r="B989" s="30"/>
      <c r="C989" s="30"/>
      <c r="D989" s="30"/>
      <c r="E989" s="30"/>
      <c r="F989" s="30"/>
      <c r="I989" s="25"/>
    </row>
    <row r="990">
      <c r="A990" s="30"/>
      <c r="B990" s="30"/>
      <c r="C990" s="30"/>
      <c r="D990" s="30"/>
      <c r="E990" s="30"/>
      <c r="F990" s="30"/>
      <c r="I990" s="25"/>
    </row>
    <row r="991">
      <c r="A991" s="30"/>
      <c r="B991" s="30"/>
      <c r="C991" s="30"/>
      <c r="D991" s="30"/>
      <c r="E991" s="30"/>
      <c r="F991" s="30"/>
      <c r="I991" s="25"/>
    </row>
    <row r="992">
      <c r="A992" s="30"/>
      <c r="B992" s="30"/>
      <c r="C992" s="30"/>
      <c r="D992" s="30"/>
      <c r="E992" s="30"/>
      <c r="F992" s="30"/>
      <c r="I992" s="25"/>
    </row>
    <row r="993">
      <c r="A993" s="30"/>
      <c r="B993" s="30"/>
      <c r="C993" s="30"/>
      <c r="D993" s="30"/>
      <c r="E993" s="30"/>
      <c r="F993" s="30"/>
      <c r="I993" s="25"/>
    </row>
    <row r="994">
      <c r="A994" s="30"/>
      <c r="B994" s="30"/>
      <c r="C994" s="30"/>
      <c r="D994" s="30"/>
      <c r="E994" s="30"/>
      <c r="F994" s="30"/>
      <c r="I994" s="25"/>
    </row>
    <row r="995">
      <c r="A995" s="30"/>
      <c r="B995" s="30"/>
      <c r="C995" s="30"/>
      <c r="D995" s="30"/>
      <c r="E995" s="30"/>
      <c r="F995" s="30"/>
      <c r="I995" s="25"/>
    </row>
    <row r="996">
      <c r="A996" s="30"/>
      <c r="B996" s="30"/>
      <c r="C996" s="30"/>
      <c r="D996" s="30"/>
      <c r="E996" s="30"/>
      <c r="F996" s="30"/>
      <c r="I996" s="25"/>
    </row>
    <row r="997">
      <c r="A997" s="30"/>
      <c r="B997" s="30"/>
      <c r="C997" s="30"/>
      <c r="D997" s="30"/>
      <c r="E997" s="30"/>
      <c r="F997" s="30"/>
      <c r="I997" s="25"/>
    </row>
    <row r="998">
      <c r="A998" s="30"/>
      <c r="B998" s="30"/>
      <c r="C998" s="30"/>
      <c r="D998" s="30"/>
      <c r="E998" s="30"/>
      <c r="F998" s="30"/>
      <c r="I998" s="25"/>
    </row>
    <row r="999">
      <c r="A999" s="30"/>
      <c r="B999" s="30"/>
      <c r="C999" s="30"/>
      <c r="D999" s="30"/>
      <c r="E999" s="30"/>
      <c r="F999" s="30"/>
      <c r="I999" s="25"/>
    </row>
    <row r="1000">
      <c r="A1000" s="30"/>
      <c r="B1000" s="30"/>
      <c r="C1000" s="30"/>
      <c r="D1000" s="30"/>
      <c r="E1000" s="30"/>
      <c r="F1000" s="30"/>
      <c r="I1000" s="25"/>
    </row>
    <row r="1001">
      <c r="A1001" s="30"/>
      <c r="B1001" s="30"/>
      <c r="C1001" s="30"/>
      <c r="D1001" s="30"/>
      <c r="E1001" s="30"/>
      <c r="F1001" s="30"/>
      <c r="I1001" s="25"/>
    </row>
  </sheetData>
  <mergeCells count="2">
    <mergeCell ref="J1:N1"/>
    <mergeCell ref="O1:Q1"/>
  </mergeCells>
  <dataValidations>
    <dataValidation type="list" allowBlank="1" showErrorMessage="1" sqref="A3:A1001">
      <formula1>'List of Chargers'!$A$2:$A$6</formula1>
    </dataValidation>
    <dataValidation type="list" allowBlank="1" showErrorMessage="1" sqref="I3:I104">
      <formula1>"Operational,Construction,Blocked"</formula1>
    </dataValidation>
    <dataValidation type="list" allowBlank="1" showErrorMessage="1" sqref="I105:I1001">
      <formula1>"Operational"</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0"/>
    <col customWidth="1" min="6" max="6" width="16.75"/>
    <col customWidth="1" min="7" max="7" width="74.13"/>
  </cols>
  <sheetData>
    <row r="2">
      <c r="B2" s="13" t="s">
        <v>840</v>
      </c>
      <c r="C2" s="45" t="s">
        <v>841</v>
      </c>
      <c r="D2" s="13" t="s">
        <v>842</v>
      </c>
    </row>
    <row r="4">
      <c r="B4" s="88" t="s">
        <v>843</v>
      </c>
      <c r="C4" s="88" t="s">
        <v>844</v>
      </c>
      <c r="D4" s="88" t="s">
        <v>845</v>
      </c>
      <c r="E4" s="13" t="s">
        <v>73</v>
      </c>
      <c r="F4" s="13" t="s">
        <v>250</v>
      </c>
      <c r="G4" s="13" t="s">
        <v>846</v>
      </c>
    </row>
    <row r="5">
      <c r="E5" s="13" t="s">
        <v>847</v>
      </c>
      <c r="F5" s="13" t="s">
        <v>346</v>
      </c>
      <c r="G5" s="13" t="s">
        <v>848</v>
      </c>
    </row>
    <row r="6">
      <c r="E6" s="13" t="s">
        <v>849</v>
      </c>
      <c r="F6" s="13" t="s">
        <v>850</v>
      </c>
      <c r="G6" s="13" t="s">
        <v>851</v>
      </c>
    </row>
    <row r="7">
      <c r="E7" s="13" t="s">
        <v>852</v>
      </c>
      <c r="F7" s="89" t="s">
        <v>853</v>
      </c>
      <c r="G7" s="13" t="s">
        <v>854</v>
      </c>
    </row>
    <row r="8">
      <c r="E8" s="54">
        <v>2.0</v>
      </c>
      <c r="F8" s="13" t="s">
        <v>855</v>
      </c>
      <c r="G8" s="13" t="s">
        <v>856</v>
      </c>
    </row>
    <row r="10">
      <c r="B10" s="90" t="s">
        <v>857</v>
      </c>
    </row>
    <row r="12">
      <c r="B12" s="88" t="s">
        <v>249</v>
      </c>
      <c r="C12" s="88" t="s">
        <v>844</v>
      </c>
      <c r="D12" s="88" t="s">
        <v>858</v>
      </c>
      <c r="E12" s="13" t="s">
        <v>73</v>
      </c>
      <c r="F12" s="13" t="s">
        <v>250</v>
      </c>
      <c r="G12" s="13" t="s">
        <v>846</v>
      </c>
    </row>
    <row r="13">
      <c r="E13" s="13" t="s">
        <v>847</v>
      </c>
      <c r="F13" s="13" t="s">
        <v>346</v>
      </c>
      <c r="G13" s="13" t="s">
        <v>848</v>
      </c>
    </row>
    <row r="14">
      <c r="E14" s="13" t="s">
        <v>849</v>
      </c>
      <c r="F14" s="13" t="s">
        <v>850</v>
      </c>
      <c r="G14" s="13" t="s">
        <v>851</v>
      </c>
    </row>
    <row r="15">
      <c r="E15" s="13" t="s">
        <v>859</v>
      </c>
      <c r="F15" s="89" t="s">
        <v>860</v>
      </c>
      <c r="G15" s="13" t="s">
        <v>854</v>
      </c>
    </row>
    <row r="16">
      <c r="E16" s="54">
        <v>16.0</v>
      </c>
      <c r="F16" s="13" t="s">
        <v>861</v>
      </c>
      <c r="G16" s="13" t="s">
        <v>856</v>
      </c>
    </row>
    <row r="18">
      <c r="B18" s="90" t="s">
        <v>862</v>
      </c>
    </row>
  </sheetData>
  <hyperlinks>
    <hyperlink r:id="rId1" ref="C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0"/>
    <col customWidth="1" min="2" max="2" width="8.88"/>
    <col customWidth="1" min="3" max="3" width="23.25"/>
  </cols>
  <sheetData>
    <row r="1">
      <c r="A1" s="91" t="s">
        <v>863</v>
      </c>
      <c r="B1" s="92"/>
      <c r="C1" s="93" t="s">
        <v>864</v>
      </c>
    </row>
    <row r="2">
      <c r="A2" s="94"/>
      <c r="C2" s="95" t="s">
        <v>249</v>
      </c>
    </row>
    <row r="3">
      <c r="A3" s="94"/>
      <c r="C3" s="96" t="s">
        <v>865</v>
      </c>
    </row>
    <row r="4">
      <c r="A4" s="94"/>
      <c r="C4" s="97" t="str">
        <f>VLOOKUP(C3,'RH - KE'!H:N,7,FALSE)</f>
        <v>Roam Hub - Roam Park</v>
      </c>
    </row>
    <row r="5">
      <c r="A5" s="94"/>
      <c r="C5" s="95" t="s">
        <v>866</v>
      </c>
    </row>
    <row r="6">
      <c r="A6" s="94"/>
      <c r="C6" s="98">
        <v>1.0</v>
      </c>
    </row>
    <row r="7">
      <c r="A7" s="94"/>
      <c r="C7" s="95" t="s">
        <v>867</v>
      </c>
    </row>
    <row r="8">
      <c r="A8" s="99"/>
      <c r="B8" s="100"/>
      <c r="C8" s="98">
        <v>18.0</v>
      </c>
    </row>
    <row r="9">
      <c r="A9" s="101"/>
      <c r="B9" s="102"/>
      <c r="C9" s="103"/>
    </row>
    <row r="10">
      <c r="A10" s="104" t="s">
        <v>868</v>
      </c>
      <c r="C10" s="105"/>
    </row>
    <row r="11">
      <c r="A11" s="106" t="str">
        <f t="shared" ref="A11:A12" si="1">C3</f>
        <v>#RH-KE-A-16</v>
      </c>
      <c r="C11" s="105"/>
    </row>
    <row r="12">
      <c r="A12" s="107" t="str">
        <f t="shared" si="1"/>
        <v>Roam Hub - Roam Park</v>
      </c>
      <c r="C12" s="105"/>
    </row>
    <row r="13">
      <c r="A13" s="108"/>
      <c r="B13" s="109"/>
      <c r="C13" s="110"/>
    </row>
    <row r="14">
      <c r="A14" s="111" t="str">
        <f>IMAGE("https://api.qrserver.com/v1/create-qr-code/?size=150x150&amp;data="&amp;ENCODEURL(A11))</f>
        <v/>
      </c>
      <c r="C14" s="105"/>
    </row>
    <row r="15">
      <c r="A15" s="94"/>
      <c r="C15" s="105"/>
    </row>
    <row r="16">
      <c r="A16" s="94"/>
      <c r="C16" s="105"/>
    </row>
    <row r="17">
      <c r="A17" s="112"/>
      <c r="B17" s="113"/>
      <c r="C17" s="114"/>
    </row>
    <row r="18">
      <c r="A18" s="101"/>
      <c r="B18" s="102"/>
      <c r="C18" s="103"/>
    </row>
    <row r="19">
      <c r="A19" s="115"/>
      <c r="B19" s="116" t="s">
        <v>869</v>
      </c>
      <c r="C19" s="117"/>
    </row>
    <row r="20">
      <c r="A20" s="108"/>
      <c r="B20" s="13" t="s">
        <v>870</v>
      </c>
      <c r="C20" s="97" t="str">
        <f>CONCATENATE("KE*ROA*E",$C$3,"*",B22)</f>
        <v>KE*ROA*E#RH-KE-A-16*1</v>
      </c>
    </row>
    <row r="21">
      <c r="A21" s="108"/>
      <c r="B21" s="13"/>
      <c r="C21" s="97"/>
    </row>
    <row r="22">
      <c r="A22" s="108"/>
      <c r="B22" s="109">
        <f>C6</f>
        <v>1</v>
      </c>
      <c r="C22" s="118" t="str">
        <f>IMAGE("https://api.qrserver.com/v1/create-qr-code/?size=150x150&amp;data="&amp;ENCODEURL(C20))</f>
        <v/>
      </c>
    </row>
    <row r="23">
      <c r="A23" s="108"/>
      <c r="C23" s="105"/>
    </row>
    <row r="24">
      <c r="A24" s="108"/>
      <c r="C24" s="105"/>
    </row>
    <row r="25">
      <c r="A25" s="108"/>
      <c r="C25" s="105"/>
    </row>
    <row r="26">
      <c r="A26" s="112"/>
      <c r="B26" s="113"/>
      <c r="C26" s="114"/>
    </row>
    <row r="27">
      <c r="A27" s="101"/>
      <c r="B27" s="102"/>
      <c r="C27" s="103"/>
    </row>
    <row r="28">
      <c r="A28" s="115"/>
      <c r="B28" s="116" t="str">
        <f>IF(B31&lt;&gt;"","SLOT CONTROLLER","")</f>
        <v>SLOT CONTROLLER</v>
      </c>
      <c r="C28" s="117"/>
    </row>
    <row r="29">
      <c r="A29" s="108"/>
      <c r="B29" s="13" t="str">
        <f>IF(B31&lt;&gt;"","EVSE ID ","")</f>
        <v>EVSE ID </v>
      </c>
      <c r="C29" s="97" t="str">
        <f>IF(B31&lt;&gt;"",CONCATENATE("KE*ROA*E",$C$3,"*",B31),"")</f>
        <v>KE*ROA*E#RH-KE-A-16*2</v>
      </c>
    </row>
    <row r="30">
      <c r="A30" s="108"/>
      <c r="B30" s="13"/>
      <c r="C30" s="97"/>
    </row>
    <row r="31">
      <c r="A31" s="108"/>
      <c r="B31" s="109">
        <f>IF(B22&lt;$C$8,B22+1,"")</f>
        <v>2</v>
      </c>
      <c r="C31" s="118" t="str">
        <f>IMAGE("https://api.qrserver.com/v1/create-qr-code/?size=150x150&amp;data="&amp;ENCODEURL(C29))</f>
        <v/>
      </c>
    </row>
    <row r="32">
      <c r="A32" s="108"/>
      <c r="C32" s="105"/>
    </row>
    <row r="33">
      <c r="A33" s="108"/>
      <c r="C33" s="105"/>
    </row>
    <row r="34">
      <c r="A34" s="108"/>
      <c r="C34" s="105"/>
    </row>
    <row r="35">
      <c r="A35" s="112"/>
      <c r="B35" s="113"/>
      <c r="C35" s="114"/>
    </row>
    <row r="36">
      <c r="A36" s="101"/>
      <c r="B36" s="102"/>
      <c r="C36" s="103"/>
    </row>
    <row r="37">
      <c r="A37" s="115"/>
      <c r="B37" s="116" t="str">
        <f>IF(B40&lt;&gt;"","SLOT CONTROLLER","")</f>
        <v>SLOT CONTROLLER</v>
      </c>
      <c r="C37" s="117"/>
    </row>
    <row r="38">
      <c r="A38" s="108"/>
      <c r="B38" s="13" t="str">
        <f>IF(B40&lt;&gt;"","EVSE ID ","")</f>
        <v>EVSE ID </v>
      </c>
      <c r="C38" s="97" t="str">
        <f>IF(B40&lt;&gt;"",CONCATENATE("KE*ROA*E",$C$3,"*",B40),"")</f>
        <v>KE*ROA*E#RH-KE-A-16*3</v>
      </c>
    </row>
    <row r="39">
      <c r="A39" s="108"/>
      <c r="B39" s="13"/>
      <c r="C39" s="97"/>
    </row>
    <row r="40">
      <c r="A40" s="108"/>
      <c r="B40" s="109">
        <f>IF(B31&lt;$C$8,B31+1,"")</f>
        <v>3</v>
      </c>
      <c r="C40" s="118" t="str">
        <f>IMAGE("https://api.qrserver.com/v1/create-qr-code/?size=150x150&amp;data="&amp;ENCODEURL(C38))</f>
        <v/>
      </c>
    </row>
    <row r="41">
      <c r="A41" s="108"/>
      <c r="C41" s="105"/>
    </row>
    <row r="42">
      <c r="A42" s="108"/>
      <c r="C42" s="105"/>
    </row>
    <row r="43">
      <c r="A43" s="108"/>
      <c r="C43" s="105"/>
    </row>
    <row r="44">
      <c r="A44" s="112"/>
      <c r="B44" s="113"/>
      <c r="C44" s="114"/>
    </row>
    <row r="45">
      <c r="A45" s="101"/>
      <c r="B45" s="102"/>
      <c r="C45" s="103"/>
    </row>
    <row r="46">
      <c r="A46" s="115"/>
      <c r="B46" s="116" t="str">
        <f>IF(B49&lt;&gt;"","SLOT CONTROLLER","")</f>
        <v>SLOT CONTROLLER</v>
      </c>
      <c r="C46" s="117"/>
    </row>
    <row r="47">
      <c r="A47" s="108"/>
      <c r="B47" s="13" t="str">
        <f>IF(B49&lt;&gt;"","EVSE ID ","")</f>
        <v>EVSE ID </v>
      </c>
      <c r="C47" s="97" t="str">
        <f>IF(B49&lt;&gt;"",CONCATENATE("KE*ROA*E",$C$3,"*",B49),"")</f>
        <v>KE*ROA*E#RH-KE-A-16*4</v>
      </c>
    </row>
    <row r="48">
      <c r="A48" s="108"/>
      <c r="B48" s="13"/>
      <c r="C48" s="97"/>
    </row>
    <row r="49">
      <c r="A49" s="108"/>
      <c r="B49" s="109">
        <f>IF(B40&lt;$C$8,B40+1,"")</f>
        <v>4</v>
      </c>
      <c r="C49" s="118" t="str">
        <f>IMAGE("https://api.qrserver.com/v1/create-qr-code/?size=150x150&amp;data="&amp;ENCODEURL(C47))</f>
        <v/>
      </c>
    </row>
    <row r="50">
      <c r="A50" s="108"/>
      <c r="C50" s="105"/>
    </row>
    <row r="51">
      <c r="A51" s="108"/>
      <c r="C51" s="105"/>
    </row>
    <row r="52">
      <c r="A52" s="108"/>
      <c r="C52" s="105"/>
    </row>
    <row r="53">
      <c r="A53" s="112"/>
      <c r="B53" s="113"/>
      <c r="C53" s="114"/>
    </row>
    <row r="54">
      <c r="A54" s="101"/>
      <c r="B54" s="102"/>
      <c r="C54" s="103"/>
    </row>
    <row r="55">
      <c r="A55" s="115"/>
      <c r="B55" s="116" t="str">
        <f>IF(B58&lt;&gt;"","SLOT CONTROLLER","")</f>
        <v>SLOT CONTROLLER</v>
      </c>
      <c r="C55" s="117"/>
    </row>
    <row r="56">
      <c r="A56" s="108"/>
      <c r="B56" s="13" t="str">
        <f>IF(B58&lt;&gt;"","EVSE ID ","")</f>
        <v>EVSE ID </v>
      </c>
      <c r="C56" s="97" t="str">
        <f>IF(B58&lt;&gt;"",CONCATENATE("KE*ROA*E",$C$3,"*",B58),"")</f>
        <v>KE*ROA*E#RH-KE-A-16*5</v>
      </c>
    </row>
    <row r="57">
      <c r="A57" s="108"/>
      <c r="B57" s="13"/>
      <c r="C57" s="97"/>
    </row>
    <row r="58">
      <c r="A58" s="108"/>
      <c r="B58" s="109">
        <f>IF(B49&lt;$C$8,B49+1,"")</f>
        <v>5</v>
      </c>
      <c r="C58" s="118" t="str">
        <f>IMAGE("https://api.qrserver.com/v1/create-qr-code/?size=150x150&amp;data="&amp;ENCODEURL(C56))</f>
        <v/>
      </c>
    </row>
    <row r="59">
      <c r="A59" s="108"/>
      <c r="C59" s="105"/>
    </row>
    <row r="60">
      <c r="A60" s="108"/>
      <c r="C60" s="105"/>
    </row>
    <row r="61">
      <c r="A61" s="108"/>
      <c r="C61" s="105"/>
    </row>
    <row r="62">
      <c r="A62" s="112"/>
      <c r="B62" s="113"/>
      <c r="C62" s="114"/>
    </row>
    <row r="63">
      <c r="A63" s="101"/>
      <c r="B63" s="102"/>
      <c r="C63" s="103"/>
    </row>
    <row r="64">
      <c r="A64" s="115"/>
      <c r="B64" s="116" t="str">
        <f>IF(B67&lt;&gt;"","SLOT CONTROLLER","")</f>
        <v>SLOT CONTROLLER</v>
      </c>
      <c r="C64" s="117"/>
    </row>
    <row r="65">
      <c r="A65" s="108"/>
      <c r="B65" s="13" t="str">
        <f>IF(B67&lt;&gt;"","EVSE ID ","")</f>
        <v>EVSE ID </v>
      </c>
      <c r="C65" s="97" t="str">
        <f>IF(B67&lt;&gt;"",CONCATENATE("KE*ROA*E",$C$3,"*",B67),"")</f>
        <v>KE*ROA*E#RH-KE-A-16*6</v>
      </c>
    </row>
    <row r="66">
      <c r="A66" s="108"/>
      <c r="B66" s="13"/>
      <c r="C66" s="97"/>
    </row>
    <row r="67">
      <c r="A67" s="108"/>
      <c r="B67" s="109">
        <f>IF(B58&lt;$C$8,B58+1,"")</f>
        <v>6</v>
      </c>
      <c r="C67" s="118" t="str">
        <f>IMAGE("https://api.qrserver.com/v1/create-qr-code/?size=150x150&amp;data="&amp;ENCODEURL(C65))</f>
        <v/>
      </c>
    </row>
    <row r="68">
      <c r="A68" s="108"/>
      <c r="C68" s="105"/>
    </row>
    <row r="69">
      <c r="A69" s="108"/>
      <c r="C69" s="105"/>
    </row>
    <row r="70">
      <c r="A70" s="108"/>
      <c r="C70" s="105"/>
    </row>
    <row r="71">
      <c r="A71" s="112"/>
      <c r="B71" s="113"/>
      <c r="C71" s="114"/>
    </row>
    <row r="72">
      <c r="A72" s="101"/>
      <c r="B72" s="102"/>
      <c r="C72" s="103"/>
    </row>
    <row r="73">
      <c r="A73" s="115"/>
      <c r="B73" s="116" t="str">
        <f>IF(B76&lt;&gt;"","SLOT CONTROLLER","")</f>
        <v>SLOT CONTROLLER</v>
      </c>
      <c r="C73" s="117"/>
    </row>
    <row r="74">
      <c r="A74" s="108"/>
      <c r="B74" s="13" t="str">
        <f>IF(B76&lt;&gt;"","EVSE ID ","")</f>
        <v>EVSE ID </v>
      </c>
      <c r="C74" s="97" t="str">
        <f>IF(B76&lt;&gt;"",CONCATENATE("KE*ROA*E",$C$3,"*",B76),"")</f>
        <v>KE*ROA*E#RH-KE-A-16*7</v>
      </c>
    </row>
    <row r="75">
      <c r="A75" s="108"/>
      <c r="B75" s="13"/>
      <c r="C75" s="97"/>
    </row>
    <row r="76">
      <c r="A76" s="108"/>
      <c r="B76" s="109">
        <f>IF(B67&lt;$C$8,B67+1,"")</f>
        <v>7</v>
      </c>
      <c r="C76" s="118" t="str">
        <f>IMAGE("https://api.qrserver.com/v1/create-qr-code/?size=150x150&amp;data="&amp;ENCODEURL(C74))</f>
        <v/>
      </c>
    </row>
    <row r="77">
      <c r="A77" s="108"/>
      <c r="C77" s="105"/>
    </row>
    <row r="78">
      <c r="A78" s="108"/>
      <c r="C78" s="105"/>
    </row>
    <row r="79">
      <c r="A79" s="108"/>
      <c r="C79" s="105"/>
    </row>
    <row r="80">
      <c r="A80" s="112"/>
      <c r="B80" s="113"/>
      <c r="C80" s="114"/>
    </row>
    <row r="81">
      <c r="A81" s="101"/>
      <c r="B81" s="102"/>
      <c r="C81" s="103"/>
    </row>
    <row r="82">
      <c r="A82" s="115"/>
      <c r="B82" s="116" t="str">
        <f>IF(B85&lt;&gt;"","SLOT CONTROLLER","")</f>
        <v>SLOT CONTROLLER</v>
      </c>
      <c r="C82" s="117"/>
    </row>
    <row r="83">
      <c r="A83" s="108"/>
      <c r="B83" s="13" t="str">
        <f>IF(B85&lt;&gt;"","EVSE ID ","")</f>
        <v>EVSE ID </v>
      </c>
      <c r="C83" s="97" t="str">
        <f>IF(B85&lt;&gt;"",CONCATENATE("KE*ROA*E",$C$3,"*",B85),"")</f>
        <v>KE*ROA*E#RH-KE-A-16*8</v>
      </c>
    </row>
    <row r="84">
      <c r="A84" s="108"/>
      <c r="B84" s="13"/>
      <c r="C84" s="97"/>
    </row>
    <row r="85">
      <c r="A85" s="108"/>
      <c r="B85" s="109">
        <f>IF(B76&lt;$C$8,B76+1,"")</f>
        <v>8</v>
      </c>
      <c r="C85" s="118" t="str">
        <f>IMAGE("https://api.qrserver.com/v1/create-qr-code/?size=150x150&amp;data="&amp;ENCODEURL(C83))</f>
        <v/>
      </c>
    </row>
    <row r="86">
      <c r="A86" s="108"/>
      <c r="C86" s="105"/>
    </row>
    <row r="87">
      <c r="A87" s="108"/>
      <c r="C87" s="105"/>
    </row>
    <row r="88">
      <c r="A88" s="108"/>
      <c r="C88" s="105"/>
    </row>
    <row r="89">
      <c r="A89" s="112"/>
      <c r="B89" s="113"/>
      <c r="C89" s="114"/>
    </row>
    <row r="90">
      <c r="A90" s="101"/>
      <c r="B90" s="102"/>
      <c r="C90" s="103"/>
    </row>
    <row r="91">
      <c r="A91" s="115"/>
      <c r="B91" s="116" t="str">
        <f>IF(B94&lt;&gt;"","SLOT CONTROLLER","")</f>
        <v>SLOT CONTROLLER</v>
      </c>
      <c r="C91" s="117"/>
    </row>
    <row r="92">
      <c r="A92" s="108"/>
      <c r="B92" s="13" t="str">
        <f>IF(B94&lt;&gt;"","EVSE ID ","")</f>
        <v>EVSE ID </v>
      </c>
      <c r="C92" s="97" t="str">
        <f>IF(B94&lt;&gt;"",CONCATENATE("KE*ROA*E",$C$3,"*",B94),"")</f>
        <v>KE*ROA*E#RH-KE-A-16*9</v>
      </c>
    </row>
    <row r="93">
      <c r="A93" s="108"/>
      <c r="B93" s="13"/>
      <c r="C93" s="97"/>
    </row>
    <row r="94">
      <c r="A94" s="108"/>
      <c r="B94" s="109">
        <f>IF(B85&lt;$C$8,B85+1,"")</f>
        <v>9</v>
      </c>
      <c r="C94" s="118" t="str">
        <f>IMAGE("https://api.qrserver.com/v1/create-qr-code/?size=150x150&amp;data="&amp;ENCODEURL(C92))</f>
        <v/>
      </c>
    </row>
    <row r="95">
      <c r="A95" s="108"/>
      <c r="C95" s="105"/>
    </row>
    <row r="96">
      <c r="A96" s="108"/>
      <c r="C96" s="105"/>
    </row>
    <row r="97">
      <c r="A97" s="108"/>
      <c r="C97" s="105"/>
    </row>
    <row r="98">
      <c r="A98" s="112"/>
      <c r="B98" s="113"/>
      <c r="C98" s="114"/>
    </row>
    <row r="99">
      <c r="A99" s="101"/>
      <c r="B99" s="102"/>
      <c r="C99" s="103"/>
    </row>
    <row r="100">
      <c r="A100" s="115"/>
      <c r="B100" s="116" t="str">
        <f>IF(B103&lt;&gt;"","SLOT CONTROLLER","")</f>
        <v>SLOT CONTROLLER</v>
      </c>
      <c r="C100" s="117"/>
    </row>
    <row r="101">
      <c r="A101" s="108"/>
      <c r="B101" s="13" t="str">
        <f>IF(B103&lt;&gt;"","EVSE ID ","")</f>
        <v>EVSE ID </v>
      </c>
      <c r="C101" s="97" t="str">
        <f>IF(B103&lt;&gt;"",CONCATENATE("KE*ROA*E",$C$3,"*",B103),"")</f>
        <v>KE*ROA*E#RH-KE-A-16*10</v>
      </c>
    </row>
    <row r="102">
      <c r="A102" s="108"/>
      <c r="B102" s="13"/>
      <c r="C102" s="97"/>
    </row>
    <row r="103">
      <c r="A103" s="108"/>
      <c r="B103" s="109">
        <f>IF(B94&lt;$C$8,B94+1,"")</f>
        <v>10</v>
      </c>
      <c r="C103" s="118" t="str">
        <f>IMAGE("https://api.qrserver.com/v1/create-qr-code/?size=150x150&amp;data="&amp;ENCODEURL(C101))</f>
        <v/>
      </c>
    </row>
    <row r="104">
      <c r="A104" s="108"/>
      <c r="C104" s="105"/>
    </row>
    <row r="105">
      <c r="A105" s="108"/>
      <c r="C105" s="105"/>
    </row>
    <row r="106">
      <c r="A106" s="108"/>
      <c r="C106" s="105"/>
    </row>
    <row r="107">
      <c r="A107" s="112"/>
      <c r="B107" s="113"/>
      <c r="C107" s="114"/>
    </row>
    <row r="108">
      <c r="A108" s="101"/>
      <c r="B108" s="102"/>
      <c r="C108" s="103"/>
    </row>
    <row r="109">
      <c r="A109" s="115"/>
      <c r="B109" s="116" t="str">
        <f>IF(B112&lt;&gt;"","SLOT CONTROLLER","")</f>
        <v>SLOT CONTROLLER</v>
      </c>
      <c r="C109" s="117"/>
    </row>
    <row r="110">
      <c r="A110" s="108"/>
      <c r="B110" s="13" t="str">
        <f>IF(B112&lt;&gt;"","EVSE ID ","")</f>
        <v>EVSE ID </v>
      </c>
      <c r="C110" s="97" t="str">
        <f>IF(B112&lt;&gt;"",CONCATENATE("KE*ROA*E",$C$3,"*",B112),"")</f>
        <v>KE*ROA*E#RH-KE-A-16*11</v>
      </c>
    </row>
    <row r="111">
      <c r="A111" s="108"/>
      <c r="B111" s="13"/>
      <c r="C111" s="97"/>
    </row>
    <row r="112">
      <c r="A112" s="108"/>
      <c r="B112" s="109">
        <f>IF(B103&lt;$C$8,B103+1,"")</f>
        <v>11</v>
      </c>
      <c r="C112" s="118" t="str">
        <f>IMAGE("https://api.qrserver.com/v1/create-qr-code/?size=150x150&amp;data="&amp;ENCODEURL(C110))</f>
        <v/>
      </c>
    </row>
    <row r="113">
      <c r="A113" s="108"/>
      <c r="C113" s="105"/>
    </row>
    <row r="114">
      <c r="A114" s="108"/>
      <c r="C114" s="105"/>
    </row>
    <row r="115">
      <c r="A115" s="108"/>
      <c r="C115" s="105"/>
    </row>
    <row r="116">
      <c r="A116" s="112"/>
      <c r="B116" s="113"/>
      <c r="C116" s="114"/>
    </row>
    <row r="117">
      <c r="A117" s="101"/>
      <c r="B117" s="102"/>
      <c r="C117" s="103"/>
    </row>
    <row r="118">
      <c r="A118" s="115"/>
      <c r="B118" s="116" t="str">
        <f>IF(B121&lt;&gt;"","SLOT CONTROLLER","")</f>
        <v>SLOT CONTROLLER</v>
      </c>
      <c r="C118" s="117"/>
    </row>
    <row r="119">
      <c r="A119" s="108"/>
      <c r="B119" s="13" t="str">
        <f>IF(B121&lt;&gt;"","EVSE ID ","")</f>
        <v>EVSE ID </v>
      </c>
      <c r="C119" s="97" t="str">
        <f>IF(B121&lt;&gt;"",CONCATENATE("KE*ROA*E",$C$3,"*",B121),"")</f>
        <v>KE*ROA*E#RH-KE-A-16*12</v>
      </c>
    </row>
    <row r="120">
      <c r="A120" s="108"/>
      <c r="B120" s="13"/>
      <c r="C120" s="97"/>
    </row>
    <row r="121">
      <c r="A121" s="108"/>
      <c r="B121" s="109">
        <f>IF(B112&lt;$C$8,B112+1,"")</f>
        <v>12</v>
      </c>
      <c r="C121" s="118" t="str">
        <f>IMAGE("https://api.qrserver.com/v1/create-qr-code/?size=150x150&amp;data="&amp;ENCODEURL(C119))</f>
        <v/>
      </c>
    </row>
    <row r="122">
      <c r="A122" s="108"/>
      <c r="C122" s="105"/>
    </row>
    <row r="123">
      <c r="A123" s="108"/>
      <c r="C123" s="105"/>
    </row>
    <row r="124">
      <c r="A124" s="108"/>
      <c r="C124" s="105"/>
    </row>
    <row r="125">
      <c r="A125" s="112"/>
      <c r="B125" s="113"/>
      <c r="C125" s="114"/>
    </row>
    <row r="126">
      <c r="A126" s="101"/>
      <c r="B126" s="102"/>
      <c r="C126" s="103"/>
    </row>
    <row r="127">
      <c r="A127" s="115"/>
      <c r="B127" s="116" t="str">
        <f>IF(B130&lt;&gt;"","SLOT CONTROLLER","")</f>
        <v>SLOT CONTROLLER</v>
      </c>
      <c r="C127" s="117"/>
    </row>
    <row r="128">
      <c r="A128" s="108"/>
      <c r="B128" s="13" t="str">
        <f>IF(B130&lt;&gt;"","EVSE ID ","")</f>
        <v>EVSE ID </v>
      </c>
      <c r="C128" s="97" t="str">
        <f>IF(B130&lt;&gt;"",CONCATENATE("KE*ROA*E",$C$3,"*",B130),"")</f>
        <v>KE*ROA*E#RH-KE-A-16*13</v>
      </c>
    </row>
    <row r="129">
      <c r="A129" s="108"/>
      <c r="B129" s="13"/>
      <c r="C129" s="97"/>
    </row>
    <row r="130">
      <c r="A130" s="108"/>
      <c r="B130" s="109">
        <f>IF(B121&lt;$C$8,B121+1,"")</f>
        <v>13</v>
      </c>
      <c r="C130" s="118" t="str">
        <f>IMAGE("https://api.qrserver.com/v1/create-qr-code/?size=150x150&amp;data="&amp;ENCODEURL(C128))</f>
        <v/>
      </c>
    </row>
    <row r="131">
      <c r="A131" s="108"/>
      <c r="C131" s="105"/>
    </row>
    <row r="132">
      <c r="A132" s="108"/>
      <c r="C132" s="105"/>
    </row>
    <row r="133">
      <c r="A133" s="108"/>
      <c r="C133" s="105"/>
    </row>
    <row r="134">
      <c r="A134" s="112"/>
      <c r="B134" s="113"/>
      <c r="C134" s="114"/>
    </row>
    <row r="135">
      <c r="A135" s="101"/>
      <c r="B135" s="102"/>
      <c r="C135" s="103"/>
    </row>
    <row r="136">
      <c r="A136" s="115"/>
      <c r="B136" s="116" t="str">
        <f>IF(B139&lt;&gt;"","SLOT CONTROLLER","")</f>
        <v>SLOT CONTROLLER</v>
      </c>
      <c r="C136" s="117"/>
    </row>
    <row r="137">
      <c r="A137" s="108"/>
      <c r="B137" s="13" t="str">
        <f>IF(B139&lt;&gt;"","EVSE ID ","")</f>
        <v>EVSE ID </v>
      </c>
      <c r="C137" s="97" t="str">
        <f>IF(B139&lt;&gt;"",CONCATENATE("KE*ROA*E",$C$3,"*",B139),"")</f>
        <v>KE*ROA*E#RH-KE-A-16*14</v>
      </c>
    </row>
    <row r="138">
      <c r="A138" s="108"/>
      <c r="B138" s="13"/>
      <c r="C138" s="97"/>
    </row>
    <row r="139">
      <c r="A139" s="108"/>
      <c r="B139" s="109">
        <f>IF(B130&lt;$C$8,B130+1,"")</f>
        <v>14</v>
      </c>
      <c r="C139" s="118" t="str">
        <f>IMAGE("https://api.qrserver.com/v1/create-qr-code/?size=150x150&amp;data="&amp;ENCODEURL(C137))</f>
        <v/>
      </c>
    </row>
    <row r="140">
      <c r="A140" s="108"/>
      <c r="C140" s="105"/>
    </row>
    <row r="141">
      <c r="A141" s="108"/>
      <c r="C141" s="105"/>
    </row>
    <row r="142">
      <c r="A142" s="108"/>
      <c r="C142" s="105"/>
    </row>
    <row r="143">
      <c r="A143" s="112"/>
      <c r="B143" s="113"/>
      <c r="C143" s="114"/>
    </row>
    <row r="144">
      <c r="A144" s="101"/>
      <c r="B144" s="102"/>
      <c r="C144" s="103"/>
    </row>
    <row r="145">
      <c r="A145" s="115"/>
      <c r="B145" s="116" t="str">
        <f>IF(B148&lt;&gt;"","SLOT CONTROLLER","")</f>
        <v>SLOT CONTROLLER</v>
      </c>
      <c r="C145" s="117"/>
    </row>
    <row r="146">
      <c r="A146" s="108"/>
      <c r="B146" s="13" t="str">
        <f>IF(B148&lt;&gt;"","EVSE ID ","")</f>
        <v>EVSE ID </v>
      </c>
      <c r="C146" s="97" t="str">
        <f>IF(B148&lt;&gt;"",CONCATENATE("KE*ROA*E",$C$3,"*",B148),"")</f>
        <v>KE*ROA*E#RH-KE-A-16*15</v>
      </c>
    </row>
    <row r="147">
      <c r="A147" s="108"/>
      <c r="B147" s="13"/>
      <c r="C147" s="97"/>
    </row>
    <row r="148">
      <c r="A148" s="108"/>
      <c r="B148" s="109">
        <f>IF(B139&lt;$C$8,B139+1,"")</f>
        <v>15</v>
      </c>
      <c r="C148" s="118" t="str">
        <f>IMAGE("https://api.qrserver.com/v1/create-qr-code/?size=150x150&amp;data="&amp;ENCODEURL(C146))</f>
        <v/>
      </c>
    </row>
    <row r="149">
      <c r="A149" s="108"/>
      <c r="C149" s="105"/>
    </row>
    <row r="150">
      <c r="A150" s="108"/>
      <c r="C150" s="105"/>
    </row>
    <row r="151">
      <c r="A151" s="108"/>
      <c r="C151" s="105"/>
    </row>
    <row r="152">
      <c r="A152" s="112"/>
      <c r="B152" s="113"/>
      <c r="C152" s="114"/>
    </row>
    <row r="153">
      <c r="A153" s="101"/>
      <c r="B153" s="102"/>
      <c r="C153" s="103"/>
    </row>
    <row r="154">
      <c r="A154" s="115"/>
      <c r="B154" s="116" t="str">
        <f>IF(B157&lt;&gt;"","SLOT CONTROLLER","")</f>
        <v>SLOT CONTROLLER</v>
      </c>
      <c r="C154" s="117"/>
    </row>
    <row r="155">
      <c r="A155" s="108"/>
      <c r="B155" s="13" t="str">
        <f>IF(B157&lt;&gt;"","EVSE ID ","")</f>
        <v>EVSE ID </v>
      </c>
      <c r="C155" s="97" t="str">
        <f>IF(B157&lt;&gt;"",CONCATENATE("KE*ROA*E",$C$3,"*",B157),"")</f>
        <v>KE*ROA*E#RH-KE-A-16*16</v>
      </c>
    </row>
    <row r="156">
      <c r="A156" s="108"/>
      <c r="B156" s="13"/>
      <c r="C156" s="97"/>
    </row>
    <row r="157">
      <c r="A157" s="108"/>
      <c r="B157" s="109">
        <f>IF(B148&lt;$C$8,B148+1,"")</f>
        <v>16</v>
      </c>
      <c r="C157" s="118" t="str">
        <f>IMAGE("https://api.qrserver.com/v1/create-qr-code/?size=150x150&amp;data="&amp;ENCODEURL(C155))</f>
        <v/>
      </c>
    </row>
    <row r="158">
      <c r="A158" s="108"/>
      <c r="C158" s="105"/>
    </row>
    <row r="159">
      <c r="A159" s="108"/>
      <c r="C159" s="105"/>
    </row>
    <row r="160">
      <c r="A160" s="108"/>
      <c r="C160" s="105"/>
    </row>
    <row r="161">
      <c r="A161" s="112"/>
      <c r="B161" s="113"/>
      <c r="C161" s="114"/>
    </row>
    <row r="162">
      <c r="A162" s="101"/>
      <c r="B162" s="102"/>
      <c r="C162" s="103"/>
    </row>
    <row r="163">
      <c r="A163" s="115"/>
      <c r="B163" s="116" t="str">
        <f>IF(B166&lt;&gt;"","SLOT CONTROLLER","")</f>
        <v>SLOT CONTROLLER</v>
      </c>
      <c r="C163" s="117"/>
    </row>
    <row r="164">
      <c r="A164" s="108"/>
      <c r="B164" s="13" t="str">
        <f>IF(B166&lt;&gt;"","EVSE ID ","")</f>
        <v>EVSE ID </v>
      </c>
      <c r="C164" s="97" t="str">
        <f>IF(B166&lt;&gt;"",CONCATENATE("KE*ROA*E",$C$3,"*",B166),"")</f>
        <v>KE*ROA*E#RH-KE-A-16*17</v>
      </c>
    </row>
    <row r="165">
      <c r="A165" s="108"/>
      <c r="B165" s="13"/>
      <c r="C165" s="97"/>
    </row>
    <row r="166">
      <c r="A166" s="108"/>
      <c r="B166" s="109">
        <f>IF(B157&lt;$C$8,B157+1,"")</f>
        <v>17</v>
      </c>
      <c r="C166" s="118" t="str">
        <f>IMAGE("https://api.qrserver.com/v1/create-qr-code/?size=150x150&amp;data="&amp;ENCODEURL(C164))</f>
        <v/>
      </c>
    </row>
    <row r="167">
      <c r="A167" s="108"/>
      <c r="C167" s="105"/>
    </row>
    <row r="168">
      <c r="A168" s="108"/>
      <c r="C168" s="105"/>
    </row>
    <row r="169">
      <c r="A169" s="108"/>
      <c r="C169" s="105"/>
    </row>
    <row r="170">
      <c r="A170" s="112"/>
      <c r="B170" s="113"/>
      <c r="C170" s="114"/>
    </row>
    <row r="171">
      <c r="A171" s="101"/>
      <c r="B171" s="102"/>
      <c r="C171" s="103"/>
    </row>
    <row r="172">
      <c r="A172" s="115"/>
      <c r="B172" s="116" t="str">
        <f>IF(B175&lt;&gt;"","SLOT CONTROLLER","")</f>
        <v>SLOT CONTROLLER</v>
      </c>
      <c r="C172" s="117"/>
    </row>
    <row r="173">
      <c r="A173" s="108"/>
      <c r="B173" s="13" t="str">
        <f>IF(B175&lt;&gt;"","EVSE ID ","")</f>
        <v>EVSE ID </v>
      </c>
      <c r="C173" s="97" t="str">
        <f>IF(B175&lt;&gt;"",CONCATENATE("KE*ROA*E",$C$3,"*",B175),"")</f>
        <v>KE*ROA*E#RH-KE-A-16*18</v>
      </c>
    </row>
    <row r="174">
      <c r="A174" s="108"/>
      <c r="B174" s="13"/>
      <c r="C174" s="97"/>
    </row>
    <row r="175">
      <c r="A175" s="108"/>
      <c r="B175" s="109">
        <f>IF(B166&lt;$C$8,B166+1,"")</f>
        <v>18</v>
      </c>
      <c r="C175" s="118" t="str">
        <f>IMAGE("https://api.qrserver.com/v1/create-qr-code/?size=150x150&amp;data="&amp;ENCODEURL(C173))</f>
        <v/>
      </c>
    </row>
    <row r="176">
      <c r="A176" s="108"/>
      <c r="C176" s="105"/>
    </row>
    <row r="177">
      <c r="A177" s="108"/>
      <c r="C177" s="105"/>
    </row>
    <row r="178">
      <c r="A178" s="108"/>
      <c r="C178" s="105"/>
    </row>
    <row r="179">
      <c r="A179" s="112"/>
      <c r="B179" s="113"/>
      <c r="C179" s="114"/>
    </row>
    <row r="180">
      <c r="A180" s="101"/>
      <c r="B180" s="102"/>
      <c r="C180" s="103"/>
    </row>
    <row r="181">
      <c r="A181" s="115"/>
      <c r="B181" s="116" t="str">
        <f>IF(B184&lt;&gt;"","SLOT CONTROLLER","")</f>
        <v/>
      </c>
      <c r="C181" s="117"/>
    </row>
    <row r="182">
      <c r="A182" s="108"/>
      <c r="B182" s="13" t="str">
        <f>IF(B184&lt;&gt;"","EVSE ID ","")</f>
        <v/>
      </c>
      <c r="C182" s="97" t="str">
        <f>IF(B184&lt;&gt;"",CONCATENATE("KE*ROA*E",$C$3,"*",B184),"")</f>
        <v/>
      </c>
    </row>
    <row r="183">
      <c r="A183" s="108"/>
      <c r="B183" s="13"/>
      <c r="C183" s="97"/>
    </row>
    <row r="184">
      <c r="A184" s="108"/>
      <c r="B184" s="109" t="str">
        <f>IF(B175&lt;$C$8,B175+1,"")</f>
        <v/>
      </c>
      <c r="C184" s="118" t="str">
        <f>IMAGE("https://api.qrserver.com/v1/create-qr-code/?size=150x150&amp;data="&amp;ENCODEURL(C182))</f>
        <v/>
      </c>
    </row>
    <row r="185">
      <c r="A185" s="108"/>
      <c r="C185" s="105"/>
    </row>
    <row r="186">
      <c r="A186" s="108"/>
      <c r="C186" s="105"/>
    </row>
    <row r="187">
      <c r="A187" s="108"/>
      <c r="C187" s="105"/>
    </row>
    <row r="188">
      <c r="A188" s="112"/>
      <c r="B188" s="113"/>
      <c r="C188" s="114"/>
    </row>
    <row r="189">
      <c r="A189" s="101"/>
      <c r="B189" s="102"/>
      <c r="C189" s="103"/>
    </row>
    <row r="190">
      <c r="A190" s="115"/>
      <c r="B190" s="116" t="str">
        <f>IF(B193&lt;&gt;"","SLOT CONTROLLER","")</f>
        <v/>
      </c>
      <c r="C190" s="117"/>
    </row>
    <row r="191">
      <c r="A191" s="108"/>
      <c r="B191" s="13" t="str">
        <f>IF(B193&lt;&gt;"","EVSE ID ","")</f>
        <v/>
      </c>
      <c r="C191" s="97" t="str">
        <f>IF(B193&lt;&gt;"",CONCATENATE("KE*ROA*E",$C$3,"*",B193),"")</f>
        <v/>
      </c>
    </row>
    <row r="192">
      <c r="A192" s="108"/>
      <c r="B192" s="13"/>
      <c r="C192" s="97"/>
    </row>
    <row r="193">
      <c r="A193" s="108"/>
      <c r="B193" s="109" t="str">
        <f>IF(B184&lt;$C$8,B184+1,"")</f>
        <v/>
      </c>
      <c r="C193" s="118" t="str">
        <f>IMAGE("https://api.qrserver.com/v1/create-qr-code/?size=150x150&amp;data="&amp;ENCODEURL(C191))</f>
        <v/>
      </c>
    </row>
    <row r="194">
      <c r="A194" s="108"/>
      <c r="C194" s="105"/>
    </row>
    <row r="195">
      <c r="A195" s="108"/>
      <c r="C195" s="105"/>
    </row>
    <row r="196">
      <c r="A196" s="108"/>
      <c r="C196" s="105"/>
    </row>
    <row r="197">
      <c r="A197" s="112"/>
      <c r="B197" s="113"/>
      <c r="C197" s="114"/>
    </row>
    <row r="198">
      <c r="A198" s="101"/>
      <c r="B198" s="102"/>
      <c r="C198" s="103"/>
    </row>
    <row r="199">
      <c r="A199" s="115"/>
      <c r="B199" s="116" t="str">
        <f>IF(B202&lt;&gt;"","SLOT CONTROLLER","")</f>
        <v/>
      </c>
      <c r="C199" s="117"/>
    </row>
    <row r="200">
      <c r="A200" s="108"/>
      <c r="B200" s="13" t="str">
        <f>IF(B202&lt;&gt;"","EVSE ID ","")</f>
        <v/>
      </c>
      <c r="C200" s="97" t="str">
        <f>IF(B202&lt;&gt;"",CONCATENATE("KE*ROA*E",$C$3,"*",B202),"")</f>
        <v/>
      </c>
    </row>
    <row r="201">
      <c r="A201" s="108"/>
      <c r="B201" s="13"/>
      <c r="C201" s="97"/>
    </row>
    <row r="202">
      <c r="A202" s="108"/>
      <c r="B202" s="109" t="str">
        <f>IF(B193&lt;$C$8,B193+1,"")</f>
        <v/>
      </c>
      <c r="C202" s="118" t="str">
        <f>IMAGE("https://api.qrserver.com/v1/create-qr-code/?size=150x150&amp;data="&amp;ENCODEURL(C200))</f>
        <v/>
      </c>
    </row>
    <row r="203">
      <c r="A203" s="108"/>
      <c r="C203" s="105"/>
    </row>
    <row r="204">
      <c r="A204" s="108"/>
      <c r="C204" s="105"/>
    </row>
    <row r="205">
      <c r="A205" s="108"/>
      <c r="C205" s="105"/>
    </row>
    <row r="206">
      <c r="A206" s="112"/>
      <c r="B206" s="113"/>
      <c r="C206" s="114"/>
    </row>
    <row r="207">
      <c r="A207" s="101"/>
      <c r="B207" s="102"/>
      <c r="C207" s="103"/>
    </row>
    <row r="208">
      <c r="A208" s="115"/>
      <c r="B208" s="116" t="str">
        <f>IF(B211&lt;&gt;"","SLOT CONTROLLER","")</f>
        <v/>
      </c>
      <c r="C208" s="117"/>
    </row>
    <row r="209">
      <c r="A209" s="108"/>
      <c r="B209" s="13" t="str">
        <f>IF(B211&lt;&gt;"","EVSE ID ","")</f>
        <v/>
      </c>
      <c r="C209" s="97" t="str">
        <f>IF(B211&lt;&gt;"",CONCATENATE("KE*ROA*E",$C$3,"*",B211),"")</f>
        <v/>
      </c>
    </row>
    <row r="210">
      <c r="A210" s="108"/>
      <c r="B210" s="13"/>
      <c r="C210" s="97"/>
    </row>
    <row r="211">
      <c r="A211" s="108"/>
      <c r="B211" s="109" t="str">
        <f>IF(B202&lt;$C$8,B202+1,"")</f>
        <v/>
      </c>
      <c r="C211" s="118" t="str">
        <f>IMAGE("https://api.qrserver.com/v1/create-qr-code/?size=150x150&amp;data="&amp;ENCODEURL(C209))</f>
        <v/>
      </c>
    </row>
    <row r="212">
      <c r="A212" s="108"/>
      <c r="C212" s="105"/>
    </row>
    <row r="213">
      <c r="A213" s="108"/>
      <c r="C213" s="105"/>
    </row>
    <row r="214">
      <c r="A214" s="108"/>
      <c r="C214" s="105"/>
    </row>
    <row r="215">
      <c r="A215" s="112"/>
      <c r="B215" s="113"/>
      <c r="C215" s="114"/>
    </row>
    <row r="216">
      <c r="A216" s="101"/>
      <c r="B216" s="102"/>
      <c r="C216" s="103"/>
    </row>
    <row r="217">
      <c r="A217" s="115"/>
      <c r="B217" s="116" t="str">
        <f>IF(B220&lt;&gt;"","SLOT CONTROLLER","")</f>
        <v/>
      </c>
      <c r="C217" s="117"/>
    </row>
    <row r="218">
      <c r="A218" s="108"/>
      <c r="B218" s="13" t="str">
        <f>IF(B220&lt;&gt;"","EVSE ID ","")</f>
        <v/>
      </c>
      <c r="C218" s="97" t="str">
        <f>IF(B220&lt;&gt;"",CONCATENATE("KE*ROA*E",$C$3,"*",B220),"")</f>
        <v/>
      </c>
    </row>
    <row r="219">
      <c r="A219" s="108"/>
      <c r="B219" s="13"/>
      <c r="C219" s="97"/>
    </row>
    <row r="220">
      <c r="A220" s="108"/>
      <c r="B220" s="109" t="str">
        <f>IF(B211&lt;$C$8,B211+1,"")</f>
        <v/>
      </c>
      <c r="C220" s="118" t="str">
        <f>IMAGE("https://api.qrserver.com/v1/create-qr-code/?size=150x150&amp;data="&amp;ENCODEURL(C218))</f>
        <v/>
      </c>
    </row>
    <row r="221">
      <c r="A221" s="108"/>
      <c r="C221" s="105"/>
    </row>
    <row r="222">
      <c r="A222" s="108"/>
      <c r="C222" s="105"/>
    </row>
    <row r="223">
      <c r="A223" s="108"/>
      <c r="C223" s="105"/>
    </row>
    <row r="224">
      <c r="A224" s="112"/>
      <c r="B224" s="113"/>
      <c r="C224" s="114"/>
    </row>
    <row r="225">
      <c r="A225" s="101"/>
      <c r="B225" s="102"/>
      <c r="C225" s="103"/>
    </row>
    <row r="226">
      <c r="A226" s="115"/>
      <c r="B226" s="116" t="str">
        <f>IF(B229&lt;&gt;"","SLOT CONTROLLER","")</f>
        <v/>
      </c>
      <c r="C226" s="117"/>
    </row>
    <row r="227">
      <c r="A227" s="108"/>
      <c r="B227" s="13" t="str">
        <f>IF(B229&lt;&gt;"","EVSE ID ","")</f>
        <v/>
      </c>
      <c r="C227" s="97" t="str">
        <f>IF(B229&lt;&gt;"",CONCATENATE("KE*ROA*E",$C$3,"*",B229),"")</f>
        <v/>
      </c>
    </row>
    <row r="228">
      <c r="A228" s="108"/>
      <c r="B228" s="13"/>
      <c r="C228" s="97"/>
    </row>
    <row r="229">
      <c r="A229" s="108"/>
      <c r="B229" s="109" t="str">
        <f>IF(B220&lt;$C$8,B220+1,"")</f>
        <v/>
      </c>
      <c r="C229" s="118" t="str">
        <f>IMAGE("https://api.qrserver.com/v1/create-qr-code/?size=150x150&amp;data="&amp;ENCODEURL(C227))</f>
        <v/>
      </c>
    </row>
    <row r="230">
      <c r="A230" s="108"/>
      <c r="C230" s="105"/>
    </row>
    <row r="231">
      <c r="A231" s="108"/>
      <c r="C231" s="105"/>
    </row>
    <row r="232">
      <c r="A232" s="108"/>
      <c r="C232" s="105"/>
    </row>
    <row r="233">
      <c r="A233" s="112"/>
      <c r="B233" s="113"/>
      <c r="C233" s="114"/>
    </row>
    <row r="234">
      <c r="A234" s="101"/>
      <c r="B234" s="102"/>
      <c r="C234" s="103"/>
    </row>
    <row r="235">
      <c r="A235" s="115"/>
      <c r="B235" s="116" t="str">
        <f>IF(B238&lt;&gt;"","SLOT CONTROLLER","")</f>
        <v/>
      </c>
      <c r="C235" s="117"/>
    </row>
    <row r="236">
      <c r="A236" s="108"/>
      <c r="B236" s="13" t="str">
        <f>IF(B238&lt;&gt;"","EVSE ID ","")</f>
        <v/>
      </c>
      <c r="C236" s="97" t="str">
        <f>IF(B238&lt;&gt;"",CONCATENATE("KE*ROA*E",$C$3,"*",B238),"")</f>
        <v/>
      </c>
    </row>
    <row r="237">
      <c r="A237" s="108"/>
      <c r="B237" s="13"/>
      <c r="C237" s="97"/>
    </row>
    <row r="238">
      <c r="A238" s="108"/>
      <c r="B238" s="109" t="str">
        <f>IF(B229&lt;$C$8,B229+1,"")</f>
        <v/>
      </c>
      <c r="C238" s="118" t="str">
        <f>IMAGE("https://api.qrserver.com/v1/create-qr-code/?size=150x150&amp;data="&amp;ENCODEURL(C236))</f>
        <v/>
      </c>
    </row>
    <row r="239">
      <c r="A239" s="108"/>
      <c r="C239" s="105"/>
    </row>
    <row r="240">
      <c r="A240" s="108"/>
      <c r="C240" s="105"/>
    </row>
    <row r="241">
      <c r="A241" s="108"/>
      <c r="C241" s="105"/>
    </row>
    <row r="242">
      <c r="A242" s="112"/>
      <c r="B242" s="113"/>
      <c r="C242" s="114"/>
    </row>
    <row r="243">
      <c r="A243" s="101"/>
      <c r="B243" s="102"/>
      <c r="C243" s="103"/>
    </row>
    <row r="244">
      <c r="A244" s="115"/>
      <c r="B244" s="116" t="str">
        <f>IF(B247&lt;&gt;"","SLOT CONTROLLER","")</f>
        <v/>
      </c>
      <c r="C244" s="117"/>
    </row>
    <row r="245">
      <c r="A245" s="108"/>
      <c r="B245" s="13" t="str">
        <f>IF(B247&lt;&gt;"","EVSE ID ","")</f>
        <v/>
      </c>
      <c r="C245" s="97" t="str">
        <f>IF(B247&lt;&gt;"",CONCATENATE("KE*ROA*E",$C$3,"*",B247),"")</f>
        <v/>
      </c>
    </row>
    <row r="246">
      <c r="A246" s="108"/>
      <c r="B246" s="13"/>
      <c r="C246" s="97"/>
    </row>
    <row r="247">
      <c r="A247" s="108"/>
      <c r="B247" s="109" t="str">
        <f>IF(B238&lt;$C$8,B238+1,"")</f>
        <v/>
      </c>
      <c r="C247" s="118" t="str">
        <f>IMAGE("https://api.qrserver.com/v1/create-qr-code/?size=150x150&amp;data="&amp;ENCODEURL(C245))</f>
        <v/>
      </c>
    </row>
    <row r="248">
      <c r="A248" s="108"/>
      <c r="C248" s="105"/>
    </row>
    <row r="249">
      <c r="A249" s="108"/>
      <c r="C249" s="105"/>
    </row>
    <row r="250">
      <c r="A250" s="108"/>
      <c r="C250" s="105"/>
    </row>
    <row r="251">
      <c r="A251" s="112"/>
      <c r="B251" s="113"/>
      <c r="C251" s="114"/>
    </row>
    <row r="252">
      <c r="A252" s="101"/>
      <c r="B252" s="102"/>
      <c r="C252" s="103"/>
    </row>
    <row r="253">
      <c r="A253" s="115"/>
      <c r="B253" s="116" t="str">
        <f>IF(B256&lt;&gt;"","SLOT CONTROLLER","")</f>
        <v/>
      </c>
      <c r="C253" s="117"/>
    </row>
    <row r="254">
      <c r="A254" s="108"/>
      <c r="B254" s="13" t="str">
        <f>IF(B256&lt;&gt;"","EVSE ID ","")</f>
        <v/>
      </c>
      <c r="C254" s="97" t="str">
        <f>IF(B256&lt;&gt;"",CONCATENATE("KE*ROA*E",$C$3,"*",B256),"")</f>
        <v/>
      </c>
    </row>
    <row r="255">
      <c r="A255" s="108"/>
      <c r="B255" s="13"/>
      <c r="C255" s="97"/>
    </row>
    <row r="256">
      <c r="A256" s="108"/>
      <c r="B256" s="109" t="str">
        <f>IF(B247&lt;$C$8,B247+1,"")</f>
        <v/>
      </c>
      <c r="C256" s="118" t="str">
        <f>IMAGE("https://api.qrserver.com/v1/create-qr-code/?size=150x150&amp;data="&amp;ENCODEURL(C254))</f>
        <v/>
      </c>
    </row>
    <row r="257">
      <c r="A257" s="108"/>
      <c r="C257" s="105"/>
    </row>
    <row r="258">
      <c r="A258" s="108"/>
      <c r="C258" s="105"/>
    </row>
    <row r="259">
      <c r="A259" s="108"/>
      <c r="C259" s="105"/>
    </row>
    <row r="260">
      <c r="A260" s="112"/>
      <c r="B260" s="113"/>
      <c r="C260" s="114"/>
    </row>
    <row r="261">
      <c r="A261" s="101"/>
      <c r="B261" s="102"/>
      <c r="C261" s="103"/>
    </row>
    <row r="262">
      <c r="A262" s="115"/>
      <c r="B262" s="116" t="str">
        <f>IF(B265&lt;&gt;"","SLOT CONTROLLER","")</f>
        <v/>
      </c>
      <c r="C262" s="117"/>
    </row>
    <row r="263">
      <c r="A263" s="108"/>
      <c r="B263" s="13" t="str">
        <f>IF(B265&lt;&gt;"","EVSE ID ","")</f>
        <v/>
      </c>
      <c r="C263" s="97" t="str">
        <f>IF(B265&lt;&gt;"",CONCATENATE("KE*ROA*E",$C$3,"*",B265),"")</f>
        <v/>
      </c>
    </row>
    <row r="264">
      <c r="A264" s="108"/>
      <c r="B264" s="13"/>
      <c r="C264" s="97"/>
    </row>
    <row r="265">
      <c r="A265" s="108"/>
      <c r="B265" s="109" t="str">
        <f>IF(B256&lt;$C$8,B256+1,"")</f>
        <v/>
      </c>
      <c r="C265" s="118" t="str">
        <f>IMAGE("https://api.qrserver.com/v1/create-qr-code/?size=150x150&amp;data="&amp;ENCODEURL(C263))</f>
        <v/>
      </c>
    </row>
    <row r="266">
      <c r="A266" s="108"/>
      <c r="C266" s="105"/>
    </row>
    <row r="267">
      <c r="A267" s="108"/>
      <c r="C267" s="105"/>
    </row>
    <row r="268">
      <c r="A268" s="108"/>
      <c r="C268" s="105"/>
    </row>
    <row r="269">
      <c r="A269" s="112"/>
      <c r="B269" s="113"/>
      <c r="C269" s="114"/>
    </row>
    <row r="270">
      <c r="A270" s="101"/>
      <c r="B270" s="102"/>
      <c r="C270" s="103"/>
    </row>
    <row r="271">
      <c r="A271" s="115"/>
      <c r="B271" s="116" t="str">
        <f>IF(B274&lt;&gt;"","SLOT CONTROLLER","")</f>
        <v/>
      </c>
      <c r="C271" s="117"/>
    </row>
    <row r="272">
      <c r="A272" s="108"/>
      <c r="B272" s="13" t="str">
        <f>IF(B274&lt;&gt;"","EVSE ID ","")</f>
        <v/>
      </c>
      <c r="C272" s="97" t="str">
        <f>IF(B274&lt;&gt;"",CONCATENATE("KE*ROA*E",$C$3,"*",B274),"")</f>
        <v/>
      </c>
    </row>
    <row r="273">
      <c r="A273" s="108"/>
      <c r="B273" s="13"/>
      <c r="C273" s="97"/>
    </row>
    <row r="274">
      <c r="A274" s="108"/>
      <c r="B274" s="109" t="str">
        <f>IF(B265&lt;$C$8,B265+1,"")</f>
        <v/>
      </c>
      <c r="C274" s="118" t="str">
        <f>IMAGE("https://api.qrserver.com/v1/create-qr-code/?size=150x150&amp;data="&amp;ENCODEURL(C272))</f>
        <v/>
      </c>
    </row>
    <row r="275">
      <c r="A275" s="108"/>
      <c r="C275" s="105"/>
    </row>
    <row r="276">
      <c r="A276" s="108"/>
      <c r="C276" s="105"/>
    </row>
    <row r="277">
      <c r="A277" s="108"/>
      <c r="C277" s="105"/>
    </row>
    <row r="278">
      <c r="A278" s="112"/>
      <c r="B278" s="113"/>
      <c r="C278" s="114"/>
    </row>
    <row r="279">
      <c r="A279" s="101"/>
      <c r="B279" s="102"/>
      <c r="C279" s="103"/>
    </row>
    <row r="280">
      <c r="A280" s="115"/>
      <c r="B280" s="116" t="str">
        <f>IF(B283&lt;&gt;"","SLOT CONTROLLER","")</f>
        <v/>
      </c>
      <c r="C280" s="117"/>
    </row>
    <row r="281">
      <c r="A281" s="108"/>
      <c r="B281" s="13" t="str">
        <f>IF(B283&lt;&gt;"","EVSE ID ","")</f>
        <v/>
      </c>
      <c r="C281" s="97" t="str">
        <f>IF(B283&lt;&gt;"",CONCATENATE("KE*ROA*E",$C$3,"*",B283),"")</f>
        <v/>
      </c>
    </row>
    <row r="282">
      <c r="A282" s="108"/>
      <c r="B282" s="13"/>
      <c r="C282" s="97"/>
    </row>
    <row r="283">
      <c r="A283" s="108"/>
      <c r="B283" s="109" t="str">
        <f>IF(B274&lt;$C$8,B274+1,"")</f>
        <v/>
      </c>
      <c r="C283" s="118" t="str">
        <f>IMAGE("https://api.qrserver.com/v1/create-qr-code/?size=150x150&amp;data="&amp;ENCODEURL(C281))</f>
        <v/>
      </c>
    </row>
    <row r="284">
      <c r="A284" s="108"/>
      <c r="C284" s="105"/>
    </row>
    <row r="285">
      <c r="A285" s="108"/>
      <c r="C285" s="105"/>
    </row>
    <row r="286">
      <c r="A286" s="108"/>
      <c r="C286" s="105"/>
    </row>
    <row r="287">
      <c r="A287" s="112"/>
      <c r="B287" s="113"/>
      <c r="C287" s="114"/>
    </row>
    <row r="288">
      <c r="A288" s="101"/>
      <c r="B288" s="102"/>
      <c r="C288" s="103"/>
    </row>
    <row r="289">
      <c r="A289" s="115"/>
      <c r="B289" s="116" t="str">
        <f>IF(B292&lt;&gt;"","SLOT CONTROLLER","")</f>
        <v/>
      </c>
      <c r="C289" s="117"/>
    </row>
    <row r="290">
      <c r="A290" s="108"/>
      <c r="B290" s="13" t="str">
        <f>IF(B292&lt;&gt;"","EVSE ID ","")</f>
        <v/>
      </c>
      <c r="C290" s="97" t="str">
        <f>IF(B292&lt;&gt;"",CONCATENATE("KE*ROA*E",$C$3,"*",B292),"")</f>
        <v/>
      </c>
    </row>
    <row r="291">
      <c r="A291" s="108"/>
      <c r="B291" s="13"/>
      <c r="C291" s="97"/>
    </row>
    <row r="292">
      <c r="A292" s="108"/>
      <c r="B292" s="109" t="str">
        <f>IF(B283&lt;$C$8,B283+1,"")</f>
        <v/>
      </c>
      <c r="C292" s="118" t="str">
        <f>IMAGE("https://api.qrserver.com/v1/create-qr-code/?size=150x150&amp;data="&amp;ENCODEURL(C290))</f>
        <v/>
      </c>
    </row>
    <row r="293">
      <c r="A293" s="108"/>
      <c r="C293" s="105"/>
    </row>
    <row r="294">
      <c r="A294" s="108"/>
      <c r="C294" s="105"/>
    </row>
    <row r="295">
      <c r="A295" s="108"/>
      <c r="C295" s="105"/>
    </row>
    <row r="296">
      <c r="A296" s="112"/>
      <c r="B296" s="113"/>
      <c r="C296" s="114"/>
    </row>
    <row r="297">
      <c r="A297" s="101"/>
      <c r="B297" s="102"/>
      <c r="C297" s="103"/>
    </row>
    <row r="298">
      <c r="A298" s="115"/>
      <c r="B298" s="116" t="str">
        <f>IF(B301&lt;&gt;"","SLOT CONTROLLER","")</f>
        <v/>
      </c>
      <c r="C298" s="117"/>
    </row>
    <row r="299">
      <c r="A299" s="108"/>
      <c r="B299" s="13" t="str">
        <f>IF(B301&lt;&gt;"","EVSE ID ","")</f>
        <v/>
      </c>
      <c r="C299" s="97" t="str">
        <f>IF(B301&lt;&gt;"",CONCATENATE("KE*ROA*E",$C$3,"*",B301),"")</f>
        <v/>
      </c>
    </row>
    <row r="300">
      <c r="A300" s="108"/>
      <c r="B300" s="13"/>
      <c r="C300" s="97"/>
    </row>
    <row r="301">
      <c r="A301" s="108"/>
      <c r="B301" s="109" t="str">
        <f>IF(B292&lt;$C$8,B292+1,"")</f>
        <v/>
      </c>
      <c r="C301" s="118" t="str">
        <f>IMAGE("https://api.qrserver.com/v1/create-qr-code/?size=150x150&amp;data="&amp;ENCODEURL(C299))</f>
        <v/>
      </c>
    </row>
    <row r="302">
      <c r="A302" s="108"/>
      <c r="C302" s="105"/>
    </row>
    <row r="303">
      <c r="A303" s="108"/>
      <c r="C303" s="105"/>
    </row>
    <row r="304">
      <c r="A304" s="108"/>
      <c r="C304" s="105"/>
    </row>
    <row r="305">
      <c r="A305" s="112"/>
      <c r="B305" s="113"/>
      <c r="C305" s="114"/>
    </row>
    <row r="306">
      <c r="A306" s="101"/>
      <c r="B306" s="102"/>
      <c r="C306" s="103"/>
    </row>
    <row r="307">
      <c r="A307" s="115"/>
      <c r="B307" s="116" t="str">
        <f>IF(B310&lt;&gt;"","SLOT CONTROLLER","")</f>
        <v/>
      </c>
      <c r="C307" s="117"/>
    </row>
    <row r="308">
      <c r="A308" s="108"/>
      <c r="B308" s="13" t="str">
        <f>IF(B310&lt;&gt;"","EVSE ID ","")</f>
        <v/>
      </c>
      <c r="C308" s="97" t="str">
        <f>IF(B310&lt;&gt;"",CONCATENATE("KE*ROA*E",$C$3,"*",B310),"")</f>
        <v/>
      </c>
    </row>
    <row r="309">
      <c r="A309" s="108"/>
      <c r="B309" s="13"/>
      <c r="C309" s="97"/>
    </row>
    <row r="310">
      <c r="A310" s="108"/>
      <c r="B310" s="109" t="str">
        <f>IF(B301&lt;$C$8,B301+1,"")</f>
        <v/>
      </c>
      <c r="C310" s="118" t="str">
        <f>IMAGE("https://api.qrserver.com/v1/create-qr-code/?size=150x150&amp;data="&amp;ENCODEURL(C308))</f>
        <v/>
      </c>
    </row>
    <row r="311">
      <c r="A311" s="108"/>
      <c r="C311" s="105"/>
    </row>
    <row r="312">
      <c r="A312" s="108"/>
      <c r="C312" s="105"/>
    </row>
    <row r="313">
      <c r="A313" s="108"/>
      <c r="C313" s="105"/>
    </row>
    <row r="314">
      <c r="A314" s="112"/>
      <c r="B314" s="113"/>
      <c r="C314" s="114"/>
    </row>
    <row r="315">
      <c r="A315" s="101"/>
      <c r="B315" s="102"/>
      <c r="C315" s="103"/>
    </row>
    <row r="316">
      <c r="A316" s="115"/>
      <c r="B316" s="116" t="str">
        <f>IF(B319&lt;&gt;"","SLOT CONTROLLER","")</f>
        <v/>
      </c>
      <c r="C316" s="117"/>
    </row>
    <row r="317">
      <c r="A317" s="108"/>
      <c r="B317" s="13" t="str">
        <f>IF(B319&lt;&gt;"","EVSE ID ","")</f>
        <v/>
      </c>
      <c r="C317" s="97" t="str">
        <f>IF(B319&lt;&gt;"",CONCATENATE("KE*ROA*E",$C$3,"*",B319),"")</f>
        <v/>
      </c>
    </row>
    <row r="318">
      <c r="A318" s="108"/>
      <c r="B318" s="13"/>
      <c r="C318" s="97"/>
    </row>
    <row r="319">
      <c r="A319" s="108"/>
      <c r="B319" s="109" t="str">
        <f>IF(B310&lt;$C$8,B310+1,"")</f>
        <v/>
      </c>
      <c r="C319" s="118" t="str">
        <f>IMAGE("https://api.qrserver.com/v1/create-qr-code/?size=150x150&amp;data="&amp;ENCODEURL(C317))</f>
        <v/>
      </c>
    </row>
    <row r="320">
      <c r="A320" s="108"/>
      <c r="C320" s="105"/>
    </row>
    <row r="321">
      <c r="A321" s="108"/>
      <c r="C321" s="105"/>
    </row>
    <row r="322">
      <c r="A322" s="108"/>
      <c r="C322" s="105"/>
    </row>
    <row r="323">
      <c r="A323" s="112"/>
      <c r="B323" s="113"/>
      <c r="C323" s="114"/>
    </row>
    <row r="324">
      <c r="A324" s="101"/>
      <c r="B324" s="102"/>
      <c r="C324" s="103"/>
    </row>
    <row r="325">
      <c r="A325" s="115"/>
      <c r="B325" s="116" t="str">
        <f>IF(B328&lt;&gt;"","SLOT CONTROLLER","")</f>
        <v/>
      </c>
      <c r="C325" s="117"/>
    </row>
    <row r="326">
      <c r="A326" s="108"/>
      <c r="B326" s="13" t="str">
        <f>IF(B328&lt;&gt;"","EVSE ID ","")</f>
        <v/>
      </c>
      <c r="C326" s="97" t="str">
        <f>IF(B328&lt;&gt;"",CONCATENATE("KE*ROA*E",$C$3,"*",B328),"")</f>
        <v/>
      </c>
    </row>
    <row r="327">
      <c r="A327" s="108"/>
      <c r="B327" s="13"/>
      <c r="C327" s="97"/>
    </row>
    <row r="328">
      <c r="A328" s="108"/>
      <c r="B328" s="109" t="str">
        <f>IF(B319&lt;$C$8,B319+1,"")</f>
        <v/>
      </c>
      <c r="C328" s="118" t="str">
        <f>IMAGE("https://api.qrserver.com/v1/create-qr-code/?size=150x150&amp;data="&amp;ENCODEURL(C326))</f>
        <v/>
      </c>
    </row>
    <row r="329">
      <c r="A329" s="108"/>
      <c r="C329" s="105"/>
    </row>
    <row r="330">
      <c r="A330" s="108"/>
      <c r="C330" s="105"/>
    </row>
    <row r="331">
      <c r="A331" s="108"/>
      <c r="C331" s="105"/>
    </row>
    <row r="332">
      <c r="A332" s="112"/>
      <c r="B332" s="113"/>
      <c r="C332" s="114"/>
    </row>
    <row r="333">
      <c r="A333" s="101"/>
      <c r="B333" s="102"/>
      <c r="C333" s="103"/>
    </row>
    <row r="334">
      <c r="A334" s="115"/>
      <c r="B334" s="116" t="str">
        <f>IF(B337&lt;&gt;"","SLOT CONTROLLER","")</f>
        <v/>
      </c>
      <c r="C334" s="117"/>
    </row>
    <row r="335">
      <c r="A335" s="108"/>
      <c r="B335" s="13" t="str">
        <f>IF(B337&lt;&gt;"","EVSE ID ","")</f>
        <v/>
      </c>
      <c r="C335" s="97" t="str">
        <f>IF(B337&lt;&gt;"",CONCATENATE("KE*ROA*E",$C$3,"*",B337),"")</f>
        <v/>
      </c>
    </row>
    <row r="336">
      <c r="A336" s="108"/>
      <c r="B336" s="13"/>
      <c r="C336" s="97"/>
    </row>
    <row r="337">
      <c r="A337" s="108"/>
      <c r="B337" s="109" t="str">
        <f>IF(B328&lt;$C$8,B328+1,"")</f>
        <v/>
      </c>
      <c r="C337" s="118" t="str">
        <f>IMAGE("https://api.qrserver.com/v1/create-qr-code/?size=150x150&amp;data="&amp;ENCODEURL(C335))</f>
        <v/>
      </c>
    </row>
    <row r="338">
      <c r="A338" s="108"/>
      <c r="C338" s="105"/>
    </row>
    <row r="339">
      <c r="A339" s="108"/>
      <c r="C339" s="105"/>
    </row>
    <row r="340">
      <c r="A340" s="108"/>
      <c r="C340" s="105"/>
    </row>
    <row r="341">
      <c r="A341" s="112"/>
      <c r="B341" s="113"/>
      <c r="C341" s="114"/>
    </row>
    <row r="342">
      <c r="A342" s="101"/>
      <c r="B342" s="102"/>
      <c r="C342" s="103"/>
    </row>
    <row r="343">
      <c r="A343" s="115"/>
      <c r="B343" s="116" t="str">
        <f>IF(B346&lt;&gt;"","SLOT CONTROLLER","")</f>
        <v/>
      </c>
      <c r="C343" s="117"/>
    </row>
    <row r="344">
      <c r="A344" s="108"/>
      <c r="B344" s="13" t="str">
        <f>IF(B346&lt;&gt;"","EVSE ID ","")</f>
        <v/>
      </c>
      <c r="C344" s="97" t="str">
        <f>IF(B346&lt;&gt;"",CONCATENATE("KE*ROA*E",$C$3,"*",B346),"")</f>
        <v/>
      </c>
    </row>
    <row r="345">
      <c r="A345" s="108"/>
      <c r="B345" s="13"/>
      <c r="C345" s="97"/>
    </row>
    <row r="346">
      <c r="A346" s="108"/>
      <c r="B346" s="109" t="str">
        <f>IF(B337&lt;$C$8,B337+1,"")</f>
        <v/>
      </c>
      <c r="C346" s="118" t="str">
        <f>IMAGE("https://api.qrserver.com/v1/create-qr-code/?size=150x150&amp;data="&amp;ENCODEURL(C344))</f>
        <v/>
      </c>
    </row>
    <row r="347">
      <c r="A347" s="108"/>
      <c r="C347" s="105"/>
    </row>
    <row r="348">
      <c r="A348" s="108"/>
      <c r="C348" s="105"/>
    </row>
    <row r="349">
      <c r="A349" s="108"/>
      <c r="C349" s="105"/>
    </row>
    <row r="350">
      <c r="A350" s="112"/>
      <c r="B350" s="113"/>
      <c r="C350" s="114"/>
    </row>
    <row r="351">
      <c r="A351" s="101"/>
      <c r="B351" s="102"/>
      <c r="C351" s="103"/>
    </row>
    <row r="352">
      <c r="A352" s="115"/>
      <c r="B352" s="116" t="str">
        <f>IF(B355&lt;&gt;"","SLOT CONTROLLER","")</f>
        <v/>
      </c>
      <c r="C352" s="117"/>
    </row>
    <row r="353">
      <c r="A353" s="108"/>
      <c r="B353" s="13" t="str">
        <f>IF(B355&lt;&gt;"","EVSE ID ","")</f>
        <v/>
      </c>
      <c r="C353" s="97" t="str">
        <f>IF(B355&lt;&gt;"",CONCATENATE("KE*ROA*E",$C$3,"*",B355),"")</f>
        <v/>
      </c>
    </row>
    <row r="354">
      <c r="A354" s="108"/>
      <c r="B354" s="13"/>
      <c r="C354" s="97"/>
    </row>
    <row r="355">
      <c r="A355" s="108"/>
      <c r="B355" s="109" t="str">
        <f>IF(B346&lt;$C$8,B346+1,"")</f>
        <v/>
      </c>
      <c r="C355" s="118" t="str">
        <f>IMAGE("https://api.qrserver.com/v1/create-qr-code/?size=150x150&amp;data="&amp;ENCODEURL(C353))</f>
        <v/>
      </c>
    </row>
    <row r="356">
      <c r="A356" s="108"/>
      <c r="C356" s="105"/>
    </row>
    <row r="357">
      <c r="A357" s="108"/>
      <c r="C357" s="105"/>
    </row>
    <row r="358">
      <c r="A358" s="108"/>
      <c r="C358" s="105"/>
    </row>
    <row r="359">
      <c r="A359" s="112"/>
      <c r="B359" s="113"/>
      <c r="C359" s="114"/>
    </row>
    <row r="360">
      <c r="A360" s="101"/>
      <c r="B360" s="102"/>
      <c r="C360" s="103"/>
    </row>
    <row r="361">
      <c r="A361" s="115"/>
      <c r="B361" s="116" t="str">
        <f>IF(B364&lt;&gt;"","SLOT CONTROLLER","")</f>
        <v/>
      </c>
      <c r="C361" s="117"/>
    </row>
    <row r="362">
      <c r="A362" s="108"/>
      <c r="B362" s="13" t="str">
        <f>IF(B364&lt;&gt;"","EVSE ID ","")</f>
        <v/>
      </c>
      <c r="C362" s="97" t="str">
        <f>IF(B364&lt;&gt;"",CONCATENATE("KE*ROA*E",$C$3,"*",B364),"")</f>
        <v/>
      </c>
    </row>
    <row r="363">
      <c r="A363" s="108"/>
      <c r="B363" s="13"/>
      <c r="C363" s="97"/>
    </row>
    <row r="364">
      <c r="A364" s="108"/>
      <c r="B364" s="109" t="str">
        <f>IF(B355&lt;$C$8,B355+1,"")</f>
        <v/>
      </c>
      <c r="C364" s="118" t="str">
        <f>IMAGE("https://api.qrserver.com/v1/create-qr-code/?size=150x150&amp;data="&amp;ENCODEURL(C362))</f>
        <v/>
      </c>
    </row>
    <row r="365">
      <c r="A365" s="108"/>
      <c r="C365" s="105"/>
    </row>
    <row r="366">
      <c r="A366" s="108"/>
      <c r="C366" s="105"/>
    </row>
    <row r="367">
      <c r="A367" s="108"/>
      <c r="C367" s="105"/>
    </row>
    <row r="368">
      <c r="A368" s="112"/>
      <c r="B368" s="113"/>
      <c r="C368" s="114"/>
    </row>
    <row r="369">
      <c r="A369" s="101"/>
      <c r="B369" s="102"/>
      <c r="C369" s="103"/>
    </row>
    <row r="370">
      <c r="A370" s="115"/>
      <c r="B370" s="116" t="str">
        <f>IF(B373&lt;&gt;"","SLOT CONTROLLER","")</f>
        <v/>
      </c>
      <c r="C370" s="117"/>
    </row>
    <row r="371">
      <c r="A371" s="108"/>
      <c r="B371" s="13" t="str">
        <f>IF(B373&lt;&gt;"","EVSE ID ","")</f>
        <v/>
      </c>
      <c r="C371" s="97" t="str">
        <f>IF(B373&lt;&gt;"",CONCATENATE("KE*ROA*E",$C$3,"*",B373),"")</f>
        <v/>
      </c>
    </row>
    <row r="372">
      <c r="A372" s="108"/>
      <c r="B372" s="13"/>
      <c r="C372" s="97"/>
    </row>
    <row r="373">
      <c r="A373" s="108"/>
      <c r="B373" s="109" t="str">
        <f>IF(B364&lt;$C$8,B364+1,"")</f>
        <v/>
      </c>
      <c r="C373" s="118" t="str">
        <f>IMAGE("https://api.qrserver.com/v1/create-qr-code/?size=150x150&amp;data="&amp;ENCODEURL(C371))</f>
        <v/>
      </c>
    </row>
    <row r="374">
      <c r="A374" s="108"/>
      <c r="C374" s="105"/>
    </row>
    <row r="375">
      <c r="A375" s="108"/>
      <c r="C375" s="105"/>
    </row>
    <row r="376">
      <c r="A376" s="108"/>
      <c r="C376" s="105"/>
    </row>
    <row r="377">
      <c r="A377" s="112"/>
      <c r="B377" s="113"/>
      <c r="C377" s="114"/>
    </row>
    <row r="378">
      <c r="A378" s="101"/>
      <c r="B378" s="102"/>
      <c r="C378" s="103"/>
    </row>
    <row r="379">
      <c r="A379" s="115"/>
      <c r="B379" s="116" t="str">
        <f>IF(B382&lt;&gt;"","SLOT CONTROLLER","")</f>
        <v/>
      </c>
      <c r="C379" s="117"/>
    </row>
    <row r="380">
      <c r="A380" s="108"/>
      <c r="B380" s="13" t="str">
        <f>IF(B382&lt;&gt;"","EVSE ID ","")</f>
        <v/>
      </c>
      <c r="C380" s="97" t="str">
        <f>IF(B382&lt;&gt;"",CONCATENATE("KE*ROA*E",$C$3,"*",B382),"")</f>
        <v/>
      </c>
    </row>
    <row r="381">
      <c r="A381" s="108"/>
      <c r="B381" s="13"/>
      <c r="C381" s="97"/>
    </row>
    <row r="382">
      <c r="A382" s="108"/>
      <c r="B382" s="109" t="str">
        <f>IF(B373&lt;$C$8,B373+1,"")</f>
        <v/>
      </c>
      <c r="C382" s="118" t="str">
        <f>IMAGE("https://api.qrserver.com/v1/create-qr-code/?size=150x150&amp;data="&amp;ENCODEURL(C380))</f>
        <v/>
      </c>
    </row>
    <row r="383">
      <c r="A383" s="108"/>
      <c r="C383" s="105"/>
    </row>
    <row r="384">
      <c r="A384" s="108"/>
      <c r="C384" s="105"/>
    </row>
    <row r="385">
      <c r="A385" s="108"/>
      <c r="C385" s="105"/>
    </row>
    <row r="386">
      <c r="A386" s="112"/>
      <c r="B386" s="113"/>
      <c r="C386" s="114"/>
    </row>
    <row r="387">
      <c r="A387" s="101"/>
      <c r="B387" s="102"/>
      <c r="C387" s="103"/>
    </row>
    <row r="388">
      <c r="A388" s="115"/>
      <c r="B388" s="116" t="str">
        <f>IF(B391&lt;&gt;"","SLOT CONTROLLER","")</f>
        <v/>
      </c>
      <c r="C388" s="117"/>
    </row>
    <row r="389">
      <c r="A389" s="108"/>
      <c r="B389" s="13" t="str">
        <f>IF(B391&lt;&gt;"","EVSE ID ","")</f>
        <v/>
      </c>
      <c r="C389" s="97" t="str">
        <f>IF(B391&lt;&gt;"",CONCATENATE("KE*ROA*E",$C$3,"*",B391),"")</f>
        <v/>
      </c>
    </row>
    <row r="390">
      <c r="A390" s="108"/>
      <c r="B390" s="13"/>
      <c r="C390" s="97"/>
    </row>
    <row r="391">
      <c r="A391" s="108"/>
      <c r="B391" s="109" t="str">
        <f>IF(B382&lt;$C$8,B382+1,"")</f>
        <v/>
      </c>
      <c r="C391" s="118" t="str">
        <f>IMAGE("https://api.qrserver.com/v1/create-qr-code/?size=150x150&amp;data="&amp;ENCODEURL(C389))</f>
        <v/>
      </c>
    </row>
    <row r="392">
      <c r="A392" s="108"/>
      <c r="C392" s="105"/>
    </row>
    <row r="393">
      <c r="A393" s="108"/>
      <c r="C393" s="105"/>
    </row>
    <row r="394">
      <c r="A394" s="108"/>
      <c r="C394" s="105"/>
    </row>
    <row r="395">
      <c r="A395" s="112"/>
      <c r="B395" s="113"/>
      <c r="C395" s="114"/>
    </row>
    <row r="396">
      <c r="A396" s="101"/>
      <c r="B396" s="102"/>
      <c r="C396" s="103"/>
    </row>
    <row r="397">
      <c r="A397" s="115"/>
      <c r="B397" s="116" t="str">
        <f>IF(B400&lt;&gt;"","SLOT CONTROLLER","")</f>
        <v/>
      </c>
      <c r="C397" s="117"/>
    </row>
    <row r="398">
      <c r="A398" s="108"/>
      <c r="B398" s="13" t="str">
        <f>IF(B400&lt;&gt;"","EVSE ID ","")</f>
        <v/>
      </c>
      <c r="C398" s="97" t="str">
        <f>IF(B400&lt;&gt;"",CONCATENATE("KE*ROA*E",$C$3,"*",B400),"")</f>
        <v/>
      </c>
    </row>
    <row r="399">
      <c r="A399" s="108"/>
      <c r="B399" s="13"/>
      <c r="C399" s="97"/>
    </row>
    <row r="400">
      <c r="A400" s="108"/>
      <c r="B400" s="109" t="str">
        <f>IF(B391&lt;$C$8,B391+1,"")</f>
        <v/>
      </c>
      <c r="C400" s="118" t="str">
        <f>IMAGE("https://api.qrserver.com/v1/create-qr-code/?size=150x150&amp;data="&amp;ENCODEURL(C398))</f>
        <v/>
      </c>
    </row>
    <row r="401">
      <c r="A401" s="108"/>
      <c r="C401" s="105"/>
    </row>
    <row r="402">
      <c r="A402" s="108"/>
      <c r="C402" s="105"/>
    </row>
    <row r="403">
      <c r="A403" s="108"/>
      <c r="C403" s="105"/>
    </row>
    <row r="404">
      <c r="A404" s="112"/>
      <c r="B404" s="113"/>
      <c r="C404" s="114"/>
    </row>
    <row r="405">
      <c r="A405" s="101"/>
      <c r="B405" s="102"/>
      <c r="C405" s="103"/>
    </row>
    <row r="406">
      <c r="A406" s="115"/>
      <c r="B406" s="116" t="str">
        <f>IF(B409&lt;&gt;"","SLOT CONTROLLER","")</f>
        <v/>
      </c>
      <c r="C406" s="117"/>
    </row>
    <row r="407">
      <c r="A407" s="108"/>
      <c r="B407" s="13" t="str">
        <f>IF(B409&lt;&gt;"","EVSE ID ","")</f>
        <v/>
      </c>
      <c r="C407" s="97" t="str">
        <f>IF(B409&lt;&gt;"",CONCATENATE("KE*ROA*E",$C$3,"*",B409),"")</f>
        <v/>
      </c>
    </row>
    <row r="408">
      <c r="A408" s="108"/>
      <c r="B408" s="13"/>
      <c r="C408" s="97"/>
    </row>
    <row r="409">
      <c r="A409" s="108"/>
      <c r="B409" s="109" t="str">
        <f>IF(B400&lt;$C$8,B400+1,"")</f>
        <v/>
      </c>
      <c r="C409" s="118" t="str">
        <f>IMAGE("https://api.qrserver.com/v1/create-qr-code/?size=150x150&amp;data="&amp;ENCODEURL(C407))</f>
        <v/>
      </c>
    </row>
    <row r="410">
      <c r="A410" s="108"/>
      <c r="C410" s="105"/>
    </row>
    <row r="411">
      <c r="A411" s="108"/>
      <c r="C411" s="105"/>
    </row>
    <row r="412">
      <c r="A412" s="108"/>
      <c r="C412" s="105"/>
    </row>
    <row r="413">
      <c r="A413" s="112"/>
      <c r="B413" s="113"/>
      <c r="C413" s="114"/>
    </row>
    <row r="414">
      <c r="A414" s="101"/>
      <c r="B414" s="102"/>
      <c r="C414" s="103"/>
    </row>
    <row r="415">
      <c r="A415" s="115"/>
      <c r="B415" s="116" t="str">
        <f>IF(B418&lt;&gt;"","SLOT CONTROLLER","")</f>
        <v/>
      </c>
      <c r="C415" s="117"/>
    </row>
    <row r="416">
      <c r="A416" s="108"/>
      <c r="B416" s="13" t="str">
        <f>IF(B418&lt;&gt;"","EVSE ID ","")</f>
        <v/>
      </c>
      <c r="C416" s="97" t="str">
        <f>IF(B418&lt;&gt;"",CONCATENATE("KE*ROA*E",$C$3,"*",B418),"")</f>
        <v/>
      </c>
    </row>
    <row r="417">
      <c r="A417" s="108"/>
      <c r="B417" s="13"/>
      <c r="C417" s="97"/>
    </row>
    <row r="418">
      <c r="A418" s="108"/>
      <c r="B418" s="109" t="str">
        <f>IF(B409&lt;$C$8,B409+1,"")</f>
        <v/>
      </c>
      <c r="C418" s="118" t="str">
        <f>IMAGE("https://api.qrserver.com/v1/create-qr-code/?size=150x150&amp;data="&amp;ENCODEURL(C416))</f>
        <v/>
      </c>
    </row>
    <row r="419">
      <c r="A419" s="108"/>
      <c r="C419" s="105"/>
    </row>
    <row r="420">
      <c r="A420" s="108"/>
      <c r="C420" s="105"/>
    </row>
    <row r="421">
      <c r="A421" s="108"/>
      <c r="C421" s="105"/>
    </row>
    <row r="422">
      <c r="A422" s="112"/>
      <c r="B422" s="113"/>
      <c r="C422" s="114"/>
    </row>
    <row r="423">
      <c r="A423" s="101"/>
      <c r="B423" s="102"/>
      <c r="C423" s="103"/>
    </row>
    <row r="424">
      <c r="A424" s="115"/>
      <c r="B424" s="116" t="str">
        <f>IF(B427&lt;&gt;"","SLOT CONTROLLER","")</f>
        <v/>
      </c>
      <c r="C424" s="117"/>
    </row>
    <row r="425">
      <c r="A425" s="108"/>
      <c r="B425" s="13" t="str">
        <f>IF(B427&lt;&gt;"","EVSE ID ","")</f>
        <v/>
      </c>
      <c r="C425" s="97" t="str">
        <f>IF(B427&lt;&gt;"",CONCATENATE("KE*ROA*E",$C$3,"*",B427),"")</f>
        <v/>
      </c>
    </row>
    <row r="426">
      <c r="A426" s="108"/>
      <c r="B426" s="13"/>
      <c r="C426" s="97"/>
    </row>
    <row r="427">
      <c r="A427" s="108"/>
      <c r="B427" s="109" t="str">
        <f>IF(B418&lt;$C$8,B418+1,"")</f>
        <v/>
      </c>
      <c r="C427" s="118" t="str">
        <f>IMAGE("https://api.qrserver.com/v1/create-qr-code/?size=150x150&amp;data="&amp;ENCODEURL(C425))</f>
        <v/>
      </c>
    </row>
    <row r="428">
      <c r="A428" s="108"/>
      <c r="C428" s="105"/>
    </row>
    <row r="429">
      <c r="A429" s="108"/>
      <c r="C429" s="105"/>
    </row>
    <row r="430">
      <c r="A430" s="108"/>
      <c r="C430" s="105"/>
    </row>
    <row r="431">
      <c r="A431" s="112"/>
      <c r="B431" s="113"/>
      <c r="C431" s="114"/>
    </row>
    <row r="432">
      <c r="A432" s="101"/>
      <c r="B432" s="102"/>
      <c r="C432" s="103"/>
    </row>
    <row r="433">
      <c r="A433" s="115"/>
      <c r="B433" s="116" t="str">
        <f>IF(B436&lt;&gt;"","SLOT CONTROLLER","")</f>
        <v/>
      </c>
      <c r="C433" s="117"/>
    </row>
    <row r="434">
      <c r="A434" s="108"/>
      <c r="B434" s="13" t="str">
        <f>IF(B436&lt;&gt;"","EVSE ID ","")</f>
        <v/>
      </c>
      <c r="C434" s="97" t="str">
        <f>IF(B436&lt;&gt;"",CONCATENATE("KE*ROA*E",$C$3,"*",B436),"")</f>
        <v/>
      </c>
    </row>
    <row r="435">
      <c r="A435" s="108"/>
      <c r="B435" s="13"/>
      <c r="C435" s="97"/>
    </row>
    <row r="436">
      <c r="A436" s="108"/>
      <c r="B436" s="109" t="str">
        <f>IF(B427&lt;$C$8,B427+1,"")</f>
        <v/>
      </c>
      <c r="C436" s="118" t="str">
        <f>IMAGE("https://api.qrserver.com/v1/create-qr-code/?size=150x150&amp;data="&amp;ENCODEURL(C434))</f>
        <v/>
      </c>
    </row>
    <row r="437">
      <c r="A437" s="108"/>
      <c r="C437" s="105"/>
    </row>
    <row r="438">
      <c r="A438" s="108"/>
      <c r="C438" s="105"/>
    </row>
    <row r="439">
      <c r="A439" s="108"/>
      <c r="C439" s="105"/>
    </row>
    <row r="440">
      <c r="A440" s="112"/>
      <c r="B440" s="113"/>
      <c r="C440" s="114"/>
    </row>
    <row r="441">
      <c r="A441" s="101"/>
      <c r="B441" s="102"/>
      <c r="C441" s="103"/>
    </row>
    <row r="442">
      <c r="A442" s="115"/>
      <c r="B442" s="116" t="str">
        <f>IF(B445&lt;&gt;"","SLOT CONTROLLER","")</f>
        <v/>
      </c>
      <c r="C442" s="117"/>
    </row>
    <row r="443">
      <c r="A443" s="108"/>
      <c r="B443" s="13" t="str">
        <f>IF(B445&lt;&gt;"","EVSE ID ","")</f>
        <v/>
      </c>
      <c r="C443" s="97" t="str">
        <f>IF(B445&lt;&gt;"",CONCATENATE("KE*ROA*E",$C$3,"*",B445),"")</f>
        <v/>
      </c>
    </row>
    <row r="444">
      <c r="A444" s="108"/>
      <c r="B444" s="13"/>
      <c r="C444" s="97"/>
    </row>
    <row r="445">
      <c r="A445" s="108"/>
      <c r="B445" s="109" t="str">
        <f>IF(B436&lt;$C$8,B436+1,"")</f>
        <v/>
      </c>
      <c r="C445" s="118" t="str">
        <f>IMAGE("https://api.qrserver.com/v1/create-qr-code/?size=150x150&amp;data="&amp;ENCODEURL(C443))</f>
        <v/>
      </c>
    </row>
    <row r="446">
      <c r="A446" s="108"/>
      <c r="C446" s="105"/>
    </row>
    <row r="447">
      <c r="A447" s="108"/>
      <c r="C447" s="105"/>
    </row>
    <row r="448">
      <c r="A448" s="108"/>
      <c r="C448" s="105"/>
    </row>
    <row r="449">
      <c r="A449" s="112"/>
      <c r="B449" s="113"/>
      <c r="C449" s="114"/>
    </row>
    <row r="450">
      <c r="A450" s="101"/>
      <c r="B450" s="102"/>
      <c r="C450" s="103"/>
    </row>
    <row r="451">
      <c r="A451" s="115"/>
      <c r="B451" s="116" t="str">
        <f>IF(B454&lt;&gt;"","SLOT CONTROLLER","")</f>
        <v/>
      </c>
      <c r="C451" s="117"/>
    </row>
    <row r="452">
      <c r="A452" s="108"/>
      <c r="B452" s="13" t="str">
        <f>IF(B454&lt;&gt;"","EVSE ID ","")</f>
        <v/>
      </c>
      <c r="C452" s="97" t="str">
        <f>IF(B454&lt;&gt;"",CONCATENATE("KE*ROA*E",$C$3,"*",B454),"")</f>
        <v/>
      </c>
    </row>
    <row r="453">
      <c r="A453" s="108"/>
      <c r="B453" s="13"/>
      <c r="C453" s="97"/>
    </row>
    <row r="454">
      <c r="A454" s="108"/>
      <c r="B454" s="109" t="str">
        <f>IF(B445&lt;$C$8,B445+1,"")</f>
        <v/>
      </c>
      <c r="C454" s="118" t="str">
        <f>IMAGE("https://api.qrserver.com/v1/create-qr-code/?size=150x150&amp;data="&amp;ENCODEURL(C452))</f>
        <v/>
      </c>
    </row>
    <row r="455">
      <c r="A455" s="108"/>
      <c r="C455" s="105"/>
    </row>
    <row r="456">
      <c r="A456" s="108"/>
      <c r="C456" s="105"/>
    </row>
    <row r="457">
      <c r="A457" s="108"/>
      <c r="C457" s="105"/>
    </row>
    <row r="458">
      <c r="A458" s="112"/>
      <c r="B458" s="113"/>
      <c r="C458" s="114"/>
    </row>
    <row r="459">
      <c r="A459" s="101"/>
      <c r="B459" s="102"/>
      <c r="C459" s="103"/>
    </row>
    <row r="460">
      <c r="A460" s="115"/>
      <c r="B460" s="116" t="str">
        <f>IF(B463&lt;&gt;"","SLOT CONTROLLER","")</f>
        <v/>
      </c>
      <c r="C460" s="117"/>
    </row>
    <row r="461">
      <c r="A461" s="108"/>
      <c r="B461" s="13" t="str">
        <f>IF(B463&lt;&gt;"","EVSE ID ","")</f>
        <v/>
      </c>
      <c r="C461" s="97" t="str">
        <f>IF(B463&lt;&gt;"",CONCATENATE("KE*ROA*E",$C$3,"*",B463),"")</f>
        <v/>
      </c>
    </row>
    <row r="462">
      <c r="A462" s="108"/>
      <c r="B462" s="13"/>
      <c r="C462" s="97"/>
    </row>
    <row r="463">
      <c r="A463" s="108"/>
      <c r="B463" s="109" t="str">
        <f>IF(B454&lt;$C$8,B454+1,"")</f>
        <v/>
      </c>
      <c r="C463" s="118" t="str">
        <f>IMAGE("https://api.qrserver.com/v1/create-qr-code/?size=150x150&amp;data="&amp;ENCODEURL(C461))</f>
        <v/>
      </c>
    </row>
    <row r="464">
      <c r="A464" s="108"/>
      <c r="C464" s="105"/>
    </row>
    <row r="465">
      <c r="A465" s="108"/>
      <c r="C465" s="105"/>
    </row>
    <row r="466">
      <c r="A466" s="108"/>
      <c r="C466" s="105"/>
    </row>
    <row r="467">
      <c r="A467" s="112"/>
      <c r="B467" s="113"/>
      <c r="C467" s="114"/>
    </row>
    <row r="468">
      <c r="A468" s="101"/>
      <c r="B468" s="102"/>
      <c r="C468" s="103"/>
    </row>
    <row r="469">
      <c r="A469" s="115"/>
      <c r="B469" s="116" t="str">
        <f>IF(B472&lt;&gt;"","SLOT CONTROLLER","")</f>
        <v/>
      </c>
      <c r="C469" s="117"/>
    </row>
    <row r="470">
      <c r="A470" s="108"/>
      <c r="B470" s="13" t="str">
        <f>IF(B472&lt;&gt;"","EVSE ID ","")</f>
        <v/>
      </c>
      <c r="C470" s="97" t="str">
        <f>IF(B472&lt;&gt;"",CONCATENATE("KE*ROA*E",$C$3,"*",B472),"")</f>
        <v/>
      </c>
    </row>
    <row r="471">
      <c r="A471" s="108"/>
      <c r="B471" s="13"/>
      <c r="C471" s="97"/>
    </row>
    <row r="472">
      <c r="A472" s="108"/>
      <c r="B472" s="109" t="str">
        <f>IF(B463&lt;$C$8,B463+1,"")</f>
        <v/>
      </c>
      <c r="C472" s="118" t="str">
        <f>IMAGE("https://api.qrserver.com/v1/create-qr-code/?size=150x150&amp;data="&amp;ENCODEURL(C470))</f>
        <v/>
      </c>
    </row>
    <row r="473">
      <c r="A473" s="108"/>
      <c r="C473" s="105"/>
    </row>
    <row r="474">
      <c r="A474" s="108"/>
      <c r="C474" s="105"/>
    </row>
    <row r="475">
      <c r="A475" s="108"/>
      <c r="C475" s="105"/>
    </row>
    <row r="476">
      <c r="A476" s="112"/>
      <c r="B476" s="113"/>
      <c r="C476" s="114"/>
    </row>
    <row r="477">
      <c r="A477" s="101"/>
      <c r="B477" s="102"/>
      <c r="C477" s="103"/>
    </row>
    <row r="478">
      <c r="A478" s="115"/>
      <c r="B478" s="116" t="str">
        <f>IF(B481&lt;&gt;"","SLOT CONTROLLER","")</f>
        <v/>
      </c>
      <c r="C478" s="117"/>
    </row>
    <row r="479">
      <c r="A479" s="108"/>
      <c r="B479" s="13" t="str">
        <f>IF(B481&lt;&gt;"","EVSE ID ","")</f>
        <v/>
      </c>
      <c r="C479" s="97" t="str">
        <f>IF(B481&lt;&gt;"",CONCATENATE("KE*ROA*E",$C$3,"*",B481),"")</f>
        <v/>
      </c>
    </row>
    <row r="480">
      <c r="A480" s="108"/>
      <c r="B480" s="13"/>
      <c r="C480" s="97"/>
    </row>
    <row r="481">
      <c r="A481" s="108"/>
      <c r="B481" s="109" t="str">
        <f>IF(B472&lt;$C$8,B472+1,"")</f>
        <v/>
      </c>
      <c r="C481" s="118" t="str">
        <f>IMAGE("https://api.qrserver.com/v1/create-qr-code/?size=150x150&amp;data="&amp;ENCODEURL(C479))</f>
        <v/>
      </c>
    </row>
    <row r="482">
      <c r="A482" s="108"/>
      <c r="C482" s="105"/>
    </row>
    <row r="483">
      <c r="A483" s="108"/>
      <c r="C483" s="105"/>
    </row>
    <row r="484">
      <c r="A484" s="108"/>
      <c r="C484" s="105"/>
    </row>
    <row r="485">
      <c r="A485" s="112"/>
      <c r="B485" s="113"/>
      <c r="C485" s="114"/>
    </row>
    <row r="486">
      <c r="A486" s="101"/>
      <c r="B486" s="102"/>
      <c r="C486" s="103"/>
    </row>
    <row r="487">
      <c r="A487" s="115"/>
      <c r="B487" s="116" t="str">
        <f>IF(B490&lt;&gt;"","SLOT CONTROLLER","")</f>
        <v/>
      </c>
      <c r="C487" s="117"/>
    </row>
    <row r="488">
      <c r="A488" s="108"/>
      <c r="B488" s="13" t="str">
        <f>IF(B490&lt;&gt;"","EVSE ID ","")</f>
        <v/>
      </c>
      <c r="C488" s="97" t="str">
        <f>IF(B490&lt;&gt;"",CONCATENATE("KE*ROA*E",$C$3,"*",B490),"")</f>
        <v/>
      </c>
    </row>
    <row r="489">
      <c r="A489" s="108"/>
      <c r="B489" s="13"/>
      <c r="C489" s="97"/>
    </row>
    <row r="490">
      <c r="A490" s="108"/>
      <c r="B490" s="109" t="str">
        <f>IF(B481&lt;$C$8,B481+1,"")</f>
        <v/>
      </c>
      <c r="C490" s="118" t="str">
        <f>IMAGE("https://api.qrserver.com/v1/create-qr-code/?size=150x150&amp;data="&amp;ENCODEURL(C488))</f>
        <v/>
      </c>
    </row>
    <row r="491">
      <c r="A491" s="108"/>
      <c r="C491" s="105"/>
    </row>
    <row r="492">
      <c r="A492" s="108"/>
      <c r="C492" s="105"/>
    </row>
    <row r="493">
      <c r="A493" s="108"/>
      <c r="C493" s="105"/>
    </row>
    <row r="494">
      <c r="A494" s="112"/>
      <c r="B494" s="113"/>
      <c r="C494" s="114"/>
    </row>
    <row r="495">
      <c r="A495" s="101"/>
      <c r="B495" s="102"/>
      <c r="C495" s="103"/>
    </row>
    <row r="496">
      <c r="A496" s="115"/>
      <c r="B496" s="116" t="str">
        <f>IF(B499&lt;&gt;"","SLOT CONTROLLER","")</f>
        <v/>
      </c>
      <c r="C496" s="117"/>
    </row>
    <row r="497">
      <c r="A497" s="108"/>
      <c r="B497" s="13" t="str">
        <f>IF(B499&lt;&gt;"","EVSE ID ","")</f>
        <v/>
      </c>
      <c r="C497" s="97" t="str">
        <f>IF(B499&lt;&gt;"",CONCATENATE("KE*ROA*E",$C$3,"*",B499),"")</f>
        <v/>
      </c>
    </row>
    <row r="498">
      <c r="A498" s="108"/>
      <c r="B498" s="13"/>
      <c r="C498" s="97"/>
    </row>
    <row r="499">
      <c r="A499" s="108"/>
      <c r="B499" s="109" t="str">
        <f>IF(B490&lt;$C$8,B490+1,"")</f>
        <v/>
      </c>
      <c r="C499" s="118" t="str">
        <f>IMAGE("https://api.qrserver.com/v1/create-qr-code/?size=150x150&amp;data="&amp;ENCODEURL(C497))</f>
        <v/>
      </c>
    </row>
    <row r="500">
      <c r="A500" s="108"/>
      <c r="C500" s="105"/>
    </row>
    <row r="501">
      <c r="A501" s="108"/>
      <c r="C501" s="105"/>
    </row>
    <row r="502">
      <c r="A502" s="108"/>
      <c r="C502" s="105"/>
    </row>
    <row r="503">
      <c r="A503" s="112"/>
      <c r="B503" s="113"/>
      <c r="C503" s="114"/>
    </row>
    <row r="504">
      <c r="A504" s="101"/>
      <c r="B504" s="102"/>
      <c r="C504" s="103"/>
    </row>
    <row r="505">
      <c r="A505" s="115"/>
      <c r="B505" s="116" t="str">
        <f>IF(B508&lt;&gt;"","SLOT CONTROLLER","")</f>
        <v/>
      </c>
      <c r="C505" s="117"/>
    </row>
    <row r="506">
      <c r="A506" s="108"/>
      <c r="B506" s="13" t="str">
        <f>IF(B508&lt;&gt;"","EVSE ID ","")</f>
        <v/>
      </c>
      <c r="C506" s="97" t="str">
        <f>IF(B508&lt;&gt;"",CONCATENATE("KE*ROA*E",$C$3,"*",B508),"")</f>
        <v/>
      </c>
    </row>
    <row r="507">
      <c r="A507" s="108"/>
      <c r="B507" s="13"/>
      <c r="C507" s="97"/>
    </row>
    <row r="508">
      <c r="A508" s="108"/>
      <c r="B508" s="109" t="str">
        <f>IF(B499&lt;$C$8,B499+1,"")</f>
        <v/>
      </c>
      <c r="C508" s="118" t="str">
        <f>IMAGE("https://api.qrserver.com/v1/create-qr-code/?size=150x150&amp;data="&amp;ENCODEURL(C506))</f>
        <v/>
      </c>
    </row>
    <row r="509">
      <c r="A509" s="108"/>
      <c r="C509" s="105"/>
    </row>
    <row r="510">
      <c r="A510" s="108"/>
      <c r="C510" s="105"/>
    </row>
    <row r="511">
      <c r="A511" s="108"/>
      <c r="C511" s="105"/>
    </row>
    <row r="512">
      <c r="A512" s="112"/>
      <c r="B512" s="113"/>
      <c r="C512" s="114"/>
    </row>
    <row r="513">
      <c r="A513" s="101"/>
      <c r="B513" s="102"/>
      <c r="C513" s="103"/>
    </row>
    <row r="514">
      <c r="A514" s="115"/>
      <c r="B514" s="116" t="str">
        <f>IF(B517&lt;&gt;"","SLOT CONTROLLER","")</f>
        <v/>
      </c>
      <c r="C514" s="117"/>
    </row>
    <row r="515">
      <c r="A515" s="108"/>
      <c r="B515" s="13" t="str">
        <f>IF(B517&lt;&gt;"","EVSE ID ","")</f>
        <v/>
      </c>
      <c r="C515" s="97" t="str">
        <f>IF(B517&lt;&gt;"",CONCATENATE("KE*ROA*E",$C$3,"*",B517),"")</f>
        <v/>
      </c>
    </row>
    <row r="516">
      <c r="A516" s="108"/>
      <c r="B516" s="13"/>
      <c r="C516" s="97"/>
    </row>
    <row r="517">
      <c r="A517" s="108"/>
      <c r="B517" s="109" t="str">
        <f>IF(B508&lt;$C$8,B508+1,"")</f>
        <v/>
      </c>
      <c r="C517" s="118" t="str">
        <f>IMAGE("https://api.qrserver.com/v1/create-qr-code/?size=150x150&amp;data="&amp;ENCODEURL(C515))</f>
        <v/>
      </c>
    </row>
    <row r="518">
      <c r="A518" s="108"/>
      <c r="C518" s="105"/>
    </row>
    <row r="519">
      <c r="A519" s="108"/>
      <c r="C519" s="105"/>
    </row>
    <row r="520">
      <c r="A520" s="108"/>
      <c r="C520" s="105"/>
    </row>
    <row r="521">
      <c r="A521" s="112"/>
      <c r="B521" s="113"/>
      <c r="C521" s="114"/>
    </row>
    <row r="522">
      <c r="A522" s="101"/>
      <c r="B522" s="102"/>
      <c r="C522" s="103"/>
    </row>
    <row r="523">
      <c r="A523" s="115"/>
      <c r="B523" s="116" t="str">
        <f>IF(B526&lt;&gt;"","SLOT CONTROLLER","")</f>
        <v/>
      </c>
      <c r="C523" s="117"/>
    </row>
    <row r="524">
      <c r="A524" s="108"/>
      <c r="B524" s="13" t="str">
        <f>IF(B526&lt;&gt;"","EVSE ID ","")</f>
        <v/>
      </c>
      <c r="C524" s="97" t="str">
        <f>IF(B526&lt;&gt;"",CONCATENATE("KE*ROA*E",$C$3,"*",B526),"")</f>
        <v/>
      </c>
    </row>
    <row r="525">
      <c r="A525" s="108"/>
      <c r="B525" s="13"/>
      <c r="C525" s="97"/>
    </row>
    <row r="526">
      <c r="A526" s="108"/>
      <c r="B526" s="109" t="str">
        <f>IF(B517&lt;$C$8,B517+1,"")</f>
        <v/>
      </c>
      <c r="C526" s="118" t="str">
        <f>IMAGE("https://api.qrserver.com/v1/create-qr-code/?size=150x150&amp;data="&amp;ENCODEURL(C524))</f>
        <v/>
      </c>
    </row>
    <row r="527">
      <c r="A527" s="108"/>
      <c r="C527" s="105"/>
    </row>
    <row r="528">
      <c r="A528" s="108"/>
      <c r="C528" s="105"/>
    </row>
    <row r="529">
      <c r="A529" s="108"/>
      <c r="C529" s="105"/>
    </row>
    <row r="530">
      <c r="A530" s="112"/>
      <c r="B530" s="113"/>
      <c r="C530" s="114"/>
    </row>
    <row r="531">
      <c r="A531" s="101"/>
      <c r="B531" s="102"/>
      <c r="C531" s="103"/>
    </row>
    <row r="532">
      <c r="A532" s="115"/>
      <c r="B532" s="116" t="str">
        <f>IF(B535&lt;&gt;"","SLOT CONTROLLER","")</f>
        <v/>
      </c>
      <c r="C532" s="117"/>
    </row>
    <row r="533">
      <c r="A533" s="108"/>
      <c r="B533" s="13" t="str">
        <f>IF(B535&lt;&gt;"","EVSE ID ","")</f>
        <v/>
      </c>
      <c r="C533" s="97" t="str">
        <f>IF(B535&lt;&gt;"",CONCATENATE("KE*ROA*E",$C$3,"*",B535),"")</f>
        <v/>
      </c>
    </row>
    <row r="534">
      <c r="A534" s="108"/>
      <c r="B534" s="13"/>
      <c r="C534" s="97"/>
    </row>
    <row r="535">
      <c r="A535" s="108"/>
      <c r="B535" s="109" t="str">
        <f>IF(B526&lt;$C$8,B526+1,"")</f>
        <v/>
      </c>
      <c r="C535" s="118" t="str">
        <f>IMAGE("https://api.qrserver.com/v1/create-qr-code/?size=150x150&amp;data="&amp;ENCODEURL(C533))</f>
        <v/>
      </c>
    </row>
    <row r="536">
      <c r="A536" s="108"/>
      <c r="C536" s="105"/>
    </row>
    <row r="537">
      <c r="A537" s="108"/>
      <c r="C537" s="105"/>
    </row>
    <row r="538">
      <c r="A538" s="108"/>
      <c r="C538" s="105"/>
    </row>
    <row r="539">
      <c r="A539" s="112"/>
      <c r="B539" s="113"/>
      <c r="C539" s="114"/>
    </row>
    <row r="540">
      <c r="A540" s="101"/>
      <c r="B540" s="102"/>
      <c r="C540" s="103"/>
    </row>
    <row r="541">
      <c r="A541" s="115"/>
      <c r="B541" s="116" t="str">
        <f>IF(B544&lt;&gt;"","SLOT CONTROLLER","")</f>
        <v/>
      </c>
      <c r="C541" s="117"/>
    </row>
    <row r="542">
      <c r="A542" s="108"/>
      <c r="B542" s="13" t="str">
        <f>IF(B544&lt;&gt;"","EVSE ID ","")</f>
        <v/>
      </c>
      <c r="C542" s="97" t="str">
        <f>IF(B544&lt;&gt;"",CONCATENATE("KE*ROA*E",$C$3,"*",B544),"")</f>
        <v/>
      </c>
    </row>
    <row r="543">
      <c r="A543" s="108"/>
      <c r="B543" s="13"/>
      <c r="C543" s="97"/>
    </row>
    <row r="544">
      <c r="A544" s="108"/>
      <c r="B544" s="109" t="str">
        <f>IF(B535&lt;$C$8,B535+1,"")</f>
        <v/>
      </c>
      <c r="C544" s="118" t="str">
        <f>IMAGE("https://api.qrserver.com/v1/create-qr-code/?size=150x150&amp;data="&amp;ENCODEURL(C542))</f>
        <v/>
      </c>
    </row>
    <row r="545">
      <c r="A545" s="108"/>
      <c r="C545" s="105"/>
    </row>
    <row r="546">
      <c r="A546" s="108"/>
      <c r="C546" s="105"/>
    </row>
    <row r="547">
      <c r="A547" s="108"/>
      <c r="C547" s="105"/>
    </row>
    <row r="548">
      <c r="A548" s="112"/>
      <c r="B548" s="113"/>
      <c r="C548" s="114"/>
    </row>
    <row r="549">
      <c r="A549" s="101"/>
      <c r="B549" s="102"/>
      <c r="C549" s="103"/>
    </row>
    <row r="550">
      <c r="A550" s="115"/>
      <c r="B550" s="116" t="str">
        <f>IF(B553&lt;&gt;"","SLOT CONTROLLER","")</f>
        <v/>
      </c>
      <c r="C550" s="117"/>
    </row>
    <row r="551">
      <c r="A551" s="108"/>
      <c r="B551" s="13" t="str">
        <f>IF(B553&lt;&gt;"","EVSE ID ","")</f>
        <v/>
      </c>
      <c r="C551" s="97" t="str">
        <f>IF(B553&lt;&gt;"",CONCATENATE("KE*ROA*E",$C$3,"*",B553),"")</f>
        <v/>
      </c>
    </row>
    <row r="552">
      <c r="A552" s="108"/>
      <c r="B552" s="13"/>
      <c r="C552" s="97"/>
    </row>
    <row r="553">
      <c r="A553" s="108"/>
      <c r="B553" s="109" t="str">
        <f>IF(B544&lt;$C$8,B544+1,"")</f>
        <v/>
      </c>
      <c r="C553" s="118" t="str">
        <f>IMAGE("https://api.qrserver.com/v1/create-qr-code/?size=150x150&amp;data="&amp;ENCODEURL(C551))</f>
        <v/>
      </c>
    </row>
    <row r="554">
      <c r="A554" s="108"/>
      <c r="C554" s="105"/>
    </row>
    <row r="555">
      <c r="A555" s="108"/>
      <c r="C555" s="105"/>
    </row>
    <row r="556">
      <c r="A556" s="108"/>
      <c r="C556" s="105"/>
    </row>
    <row r="557">
      <c r="A557" s="112"/>
      <c r="B557" s="113"/>
      <c r="C557" s="114"/>
    </row>
    <row r="558">
      <c r="A558" s="101"/>
      <c r="B558" s="102"/>
      <c r="C558" s="103"/>
    </row>
    <row r="559">
      <c r="A559" s="115"/>
      <c r="B559" s="116" t="str">
        <f>IF(B562&lt;&gt;"","SLOT CONTROLLER","")</f>
        <v/>
      </c>
      <c r="C559" s="117"/>
    </row>
    <row r="560">
      <c r="A560" s="108"/>
      <c r="B560" s="13" t="str">
        <f>IF(B562&lt;&gt;"","EVSE ID ","")</f>
        <v/>
      </c>
      <c r="C560" s="97" t="str">
        <f>IF(B562&lt;&gt;"",CONCATENATE("KE*ROA*E",$C$3,"*",B562),"")</f>
        <v/>
      </c>
    </row>
    <row r="561">
      <c r="A561" s="108"/>
      <c r="B561" s="13"/>
      <c r="C561" s="97"/>
    </row>
    <row r="562">
      <c r="A562" s="108"/>
      <c r="B562" s="109" t="str">
        <f>IF(B553&lt;$C$8,B553+1,"")</f>
        <v/>
      </c>
      <c r="C562" s="118" t="str">
        <f>IMAGE("https://api.qrserver.com/v1/create-qr-code/?size=150x150&amp;data="&amp;ENCODEURL(C560))</f>
        <v/>
      </c>
    </row>
    <row r="563">
      <c r="A563" s="108"/>
      <c r="C563" s="105"/>
    </row>
    <row r="564">
      <c r="A564" s="108"/>
      <c r="C564" s="105"/>
    </row>
    <row r="565">
      <c r="A565" s="108"/>
      <c r="C565" s="105"/>
    </row>
    <row r="566">
      <c r="A566" s="112"/>
      <c r="B566" s="113"/>
      <c r="C566" s="114"/>
    </row>
    <row r="567">
      <c r="A567" s="101"/>
      <c r="B567" s="102"/>
      <c r="C567" s="103"/>
    </row>
    <row r="568">
      <c r="A568" s="115"/>
      <c r="B568" s="116" t="str">
        <f>IF(B571&lt;&gt;"","SLOT CONTROLLER","")</f>
        <v/>
      </c>
      <c r="C568" s="117"/>
    </row>
    <row r="569">
      <c r="A569" s="108"/>
      <c r="B569" s="13" t="str">
        <f>IF(B571&lt;&gt;"","EVSE ID ","")</f>
        <v/>
      </c>
      <c r="C569" s="97" t="str">
        <f>IF(B571&lt;&gt;"",CONCATENATE("KE*ROA*E",$C$3,"*",B571),"")</f>
        <v/>
      </c>
    </row>
    <row r="570">
      <c r="A570" s="108"/>
      <c r="B570" s="13"/>
      <c r="C570" s="97"/>
    </row>
    <row r="571">
      <c r="A571" s="108"/>
      <c r="B571" s="109" t="str">
        <f>IF(B562&lt;$C$8,B562+1,"")</f>
        <v/>
      </c>
      <c r="C571" s="118" t="str">
        <f>IMAGE("https://api.qrserver.com/v1/create-qr-code/?size=150x150&amp;data="&amp;ENCODEURL(C569))</f>
        <v/>
      </c>
    </row>
    <row r="572">
      <c r="A572" s="108"/>
      <c r="C572" s="105"/>
    </row>
    <row r="573">
      <c r="A573" s="108"/>
      <c r="C573" s="105"/>
    </row>
    <row r="574">
      <c r="A574" s="108"/>
      <c r="C574" s="105"/>
    </row>
    <row r="575">
      <c r="A575" s="112"/>
      <c r="B575" s="113"/>
      <c r="C575" s="114"/>
    </row>
    <row r="576">
      <c r="A576" s="101"/>
      <c r="B576" s="102"/>
      <c r="C576" s="103"/>
    </row>
    <row r="577">
      <c r="A577" s="115"/>
      <c r="B577" s="116" t="str">
        <f>IF(B580&lt;&gt;"","SLOT CONTROLLER","")</f>
        <v/>
      </c>
      <c r="C577" s="117"/>
    </row>
    <row r="578">
      <c r="A578" s="108"/>
      <c r="B578" s="13" t="str">
        <f>IF(B580&lt;&gt;"","EVSE ID ","")</f>
        <v/>
      </c>
      <c r="C578" s="97" t="str">
        <f>IF(B580&lt;&gt;"",CONCATENATE("KE*ROA*E",$C$3,"*",B580),"")</f>
        <v/>
      </c>
    </row>
    <row r="579">
      <c r="A579" s="108"/>
      <c r="B579" s="13"/>
      <c r="C579" s="97"/>
    </row>
    <row r="580">
      <c r="A580" s="108"/>
      <c r="B580" s="109" t="str">
        <f>IF(B571&lt;$C$8,B571+1,"")</f>
        <v/>
      </c>
      <c r="C580" s="118" t="str">
        <f>IMAGE("https://api.qrserver.com/v1/create-qr-code/?size=150x150&amp;data="&amp;ENCODEURL(C578))</f>
        <v/>
      </c>
    </row>
    <row r="581">
      <c r="A581" s="108"/>
      <c r="C581" s="105"/>
    </row>
    <row r="582">
      <c r="A582" s="108"/>
      <c r="C582" s="105"/>
    </row>
    <row r="583">
      <c r="A583" s="108"/>
      <c r="C583" s="105"/>
    </row>
    <row r="584">
      <c r="A584" s="112"/>
      <c r="B584" s="113"/>
      <c r="C584" s="114"/>
    </row>
    <row r="585">
      <c r="A585" s="101"/>
      <c r="B585" s="102"/>
      <c r="C585" s="103"/>
    </row>
    <row r="586">
      <c r="A586" s="115"/>
      <c r="B586" s="116" t="str">
        <f>IF(B589&lt;&gt;"","SLOT CONTROLLER","")</f>
        <v/>
      </c>
      <c r="C586" s="117"/>
    </row>
    <row r="587">
      <c r="A587" s="108"/>
      <c r="B587" s="13" t="str">
        <f>IF(B589&lt;&gt;"","EVSE ID ","")</f>
        <v/>
      </c>
      <c r="C587" s="97" t="str">
        <f>IF(B589&lt;&gt;"",CONCATENATE("KE*ROA*E",$C$3,"*",B589),"")</f>
        <v/>
      </c>
    </row>
    <row r="588">
      <c r="A588" s="108"/>
      <c r="B588" s="13"/>
      <c r="C588" s="97"/>
    </row>
    <row r="589">
      <c r="A589" s="108"/>
      <c r="B589" s="109" t="str">
        <f>IF(B580&lt;$C$8,B580+1,"")</f>
        <v/>
      </c>
      <c r="C589" s="118" t="str">
        <f>IMAGE("https://api.qrserver.com/v1/create-qr-code/?size=150x150&amp;data="&amp;ENCODEURL(C587))</f>
        <v/>
      </c>
    </row>
    <row r="590">
      <c r="A590" s="108"/>
      <c r="C590" s="105"/>
    </row>
    <row r="591">
      <c r="A591" s="108"/>
      <c r="C591" s="105"/>
    </row>
    <row r="592">
      <c r="A592" s="108"/>
      <c r="C592" s="105"/>
    </row>
    <row r="593">
      <c r="A593" s="112"/>
      <c r="B593" s="113"/>
      <c r="C593" s="114"/>
    </row>
    <row r="594">
      <c r="A594" s="101"/>
      <c r="B594" s="102"/>
      <c r="C594" s="103"/>
    </row>
    <row r="595">
      <c r="A595" s="115"/>
      <c r="B595" s="116" t="str">
        <f>IF(B598&lt;&gt;"","SLOT CONTROLLER","")</f>
        <v/>
      </c>
      <c r="C595" s="117"/>
    </row>
    <row r="596">
      <c r="A596" s="108"/>
      <c r="B596" s="13" t="str">
        <f>IF(B598&lt;&gt;"","EVSE ID ","")</f>
        <v/>
      </c>
      <c r="C596" s="97" t="str">
        <f>IF(B598&lt;&gt;"",CONCATENATE("KE*ROA*E",$C$3,"*",B598),"")</f>
        <v/>
      </c>
    </row>
    <row r="597">
      <c r="A597" s="108"/>
      <c r="B597" s="13"/>
      <c r="C597" s="97"/>
    </row>
    <row r="598">
      <c r="A598" s="108"/>
      <c r="B598" s="109" t="str">
        <f>IF(B589&lt;$C$8,B589+1,"")</f>
        <v/>
      </c>
      <c r="C598" s="118" t="str">
        <f>IMAGE("https://api.qrserver.com/v1/create-qr-code/?size=150x150&amp;data="&amp;ENCODEURL(C596))</f>
        <v/>
      </c>
    </row>
    <row r="599">
      <c r="A599" s="108"/>
      <c r="C599" s="105"/>
    </row>
    <row r="600">
      <c r="A600" s="108"/>
      <c r="C600" s="105"/>
    </row>
    <row r="601">
      <c r="A601" s="108"/>
      <c r="C601" s="105"/>
    </row>
    <row r="602">
      <c r="A602" s="112"/>
      <c r="B602" s="113"/>
      <c r="C602" s="114"/>
    </row>
    <row r="603">
      <c r="A603" s="101"/>
      <c r="B603" s="102"/>
      <c r="C603" s="103"/>
    </row>
    <row r="604">
      <c r="A604" s="115"/>
      <c r="B604" s="116" t="str">
        <f>IF(B607&lt;&gt;"","SLOT CONTROLLER","")</f>
        <v/>
      </c>
      <c r="C604" s="117"/>
    </row>
    <row r="605">
      <c r="A605" s="108"/>
      <c r="B605" s="13" t="str">
        <f>IF(B607&lt;&gt;"","EVSE ID ","")</f>
        <v/>
      </c>
      <c r="C605" s="97" t="str">
        <f>IF(B607&lt;&gt;"",CONCATENATE("KE*ROA*E",$C$3,"*",B607),"")</f>
        <v/>
      </c>
    </row>
    <row r="606">
      <c r="A606" s="108"/>
      <c r="B606" s="13"/>
      <c r="C606" s="97"/>
    </row>
    <row r="607">
      <c r="A607" s="108"/>
      <c r="B607" s="109" t="str">
        <f>IF(B598&lt;$C$8,B598+1,"")</f>
        <v/>
      </c>
      <c r="C607" s="118" t="str">
        <f>IMAGE("https://api.qrserver.com/v1/create-qr-code/?size=150x150&amp;data="&amp;ENCODEURL(C605))</f>
        <v/>
      </c>
    </row>
    <row r="608">
      <c r="A608" s="108"/>
      <c r="C608" s="105"/>
    </row>
    <row r="609">
      <c r="A609" s="108"/>
      <c r="C609" s="105"/>
    </row>
    <row r="610">
      <c r="A610" s="108"/>
      <c r="C610" s="105"/>
    </row>
    <row r="611">
      <c r="A611" s="112"/>
      <c r="B611" s="113"/>
      <c r="C611" s="114"/>
    </row>
    <row r="612">
      <c r="A612" s="101"/>
      <c r="B612" s="102"/>
      <c r="C612" s="103"/>
    </row>
    <row r="613">
      <c r="A613" s="115"/>
      <c r="B613" s="116" t="str">
        <f>IF(B616&lt;&gt;"","SLOT CONTROLLER","")</f>
        <v/>
      </c>
      <c r="C613" s="117"/>
    </row>
    <row r="614">
      <c r="A614" s="108"/>
      <c r="B614" s="13" t="str">
        <f>IF(B616&lt;&gt;"","EVSE ID ","")</f>
        <v/>
      </c>
      <c r="C614" s="97" t="str">
        <f>IF(B616&lt;&gt;"",CONCATENATE("KE*ROA*E",$C$3,"*",B616),"")</f>
        <v/>
      </c>
    </row>
    <row r="615">
      <c r="A615" s="108"/>
      <c r="B615" s="13"/>
      <c r="C615" s="97"/>
    </row>
    <row r="616">
      <c r="A616" s="108"/>
      <c r="B616" s="109" t="str">
        <f>IF(B607&lt;$C$8,B607+1,"")</f>
        <v/>
      </c>
      <c r="C616" s="118" t="str">
        <f>IMAGE("https://api.qrserver.com/v1/create-qr-code/?size=150x150&amp;data="&amp;ENCODEURL(C614))</f>
        <v/>
      </c>
    </row>
    <row r="617">
      <c r="A617" s="108"/>
      <c r="C617" s="105"/>
    </row>
    <row r="618">
      <c r="A618" s="108"/>
      <c r="C618" s="105"/>
    </row>
    <row r="619">
      <c r="A619" s="108"/>
      <c r="C619" s="105"/>
    </row>
    <row r="620">
      <c r="A620" s="112"/>
      <c r="B620" s="113"/>
      <c r="C620" s="114"/>
    </row>
    <row r="621">
      <c r="A621" s="101"/>
      <c r="B621" s="102"/>
      <c r="C621" s="103"/>
    </row>
    <row r="622">
      <c r="A622" s="115"/>
      <c r="B622" s="116" t="str">
        <f>IF(B625&lt;&gt;"","SLOT CONTROLLER","")</f>
        <v/>
      </c>
      <c r="C622" s="117"/>
    </row>
    <row r="623">
      <c r="A623" s="108"/>
      <c r="B623" s="13" t="str">
        <f>IF(B625&lt;&gt;"","EVSE ID ","")</f>
        <v/>
      </c>
      <c r="C623" s="97" t="str">
        <f>IF(B625&lt;&gt;"",CONCATENATE("KE*ROA*E",$C$3,"*",B625),"")</f>
        <v/>
      </c>
    </row>
    <row r="624">
      <c r="A624" s="108"/>
      <c r="B624" s="13"/>
      <c r="C624" s="97"/>
    </row>
    <row r="625">
      <c r="A625" s="108"/>
      <c r="B625" s="109" t="str">
        <f>IF(B616&lt;$C$8,B616+1,"")</f>
        <v/>
      </c>
      <c r="C625" s="118" t="str">
        <f>IMAGE("https://api.qrserver.com/v1/create-qr-code/?size=150x150&amp;data="&amp;ENCODEURL(C623))</f>
        <v/>
      </c>
    </row>
    <row r="626">
      <c r="A626" s="108"/>
      <c r="C626" s="105"/>
    </row>
    <row r="627">
      <c r="A627" s="108"/>
      <c r="C627" s="105"/>
    </row>
    <row r="628">
      <c r="A628" s="108"/>
      <c r="C628" s="105"/>
    </row>
    <row r="629">
      <c r="A629" s="112"/>
      <c r="B629" s="113"/>
      <c r="C629" s="114"/>
    </row>
    <row r="630">
      <c r="A630" s="101"/>
      <c r="B630" s="102"/>
      <c r="C630" s="103"/>
    </row>
    <row r="631">
      <c r="A631" s="115"/>
      <c r="B631" s="116" t="str">
        <f>IF(B634&lt;&gt;"","SLOT CONTROLLER","")</f>
        <v/>
      </c>
      <c r="C631" s="117"/>
    </row>
    <row r="632">
      <c r="A632" s="108"/>
      <c r="B632" s="13" t="str">
        <f>IF(B634&lt;&gt;"","EVSE ID ","")</f>
        <v/>
      </c>
      <c r="C632" s="97" t="str">
        <f>IF(B634&lt;&gt;"",CONCATENATE("KE*ROA*E",$C$3,"*",B634),"")</f>
        <v/>
      </c>
    </row>
    <row r="633">
      <c r="A633" s="108"/>
      <c r="B633" s="13"/>
      <c r="C633" s="97"/>
    </row>
    <row r="634">
      <c r="A634" s="108"/>
      <c r="B634" s="109" t="str">
        <f>IF(B625&lt;$C$8,B625+1,"")</f>
        <v/>
      </c>
      <c r="C634" s="118" t="str">
        <f>IMAGE("https://api.qrserver.com/v1/create-qr-code/?size=150x150&amp;data="&amp;ENCODEURL(C632))</f>
        <v/>
      </c>
    </row>
    <row r="635">
      <c r="A635" s="108"/>
      <c r="C635" s="105"/>
    </row>
    <row r="636">
      <c r="A636" s="108"/>
      <c r="C636" s="105"/>
    </row>
    <row r="637">
      <c r="A637" s="108"/>
      <c r="C637" s="105"/>
    </row>
    <row r="638">
      <c r="A638" s="112"/>
      <c r="B638" s="113"/>
      <c r="C638" s="114"/>
    </row>
    <row r="639">
      <c r="A639" s="101"/>
      <c r="B639" s="102"/>
      <c r="C639" s="103"/>
    </row>
    <row r="640">
      <c r="A640" s="115"/>
      <c r="B640" s="116" t="str">
        <f>IF(B643&lt;&gt;"","SLOT CONTROLLER","")</f>
        <v/>
      </c>
      <c r="C640" s="117"/>
    </row>
    <row r="641">
      <c r="A641" s="108"/>
      <c r="B641" s="13" t="str">
        <f>IF(B643&lt;&gt;"","EVSE ID ","")</f>
        <v/>
      </c>
      <c r="C641" s="97" t="str">
        <f>IF(B643&lt;&gt;"",CONCATENATE("KE*ROA*E",$C$3,"*",B643),"")</f>
        <v/>
      </c>
    </row>
    <row r="642">
      <c r="A642" s="108"/>
      <c r="B642" s="13"/>
      <c r="C642" s="97"/>
    </row>
    <row r="643">
      <c r="A643" s="108"/>
      <c r="B643" s="109" t="str">
        <f>IF(B634&lt;$C$8,B634+1,"")</f>
        <v/>
      </c>
      <c r="C643" s="118" t="str">
        <f>IMAGE("https://api.qrserver.com/v1/create-qr-code/?size=150x150&amp;data="&amp;ENCODEURL(C641))</f>
        <v/>
      </c>
    </row>
    <row r="644">
      <c r="A644" s="108"/>
      <c r="C644" s="105"/>
    </row>
    <row r="645">
      <c r="A645" s="108"/>
      <c r="C645" s="105"/>
    </row>
    <row r="646">
      <c r="A646" s="108"/>
      <c r="C646" s="105"/>
    </row>
    <row r="647">
      <c r="A647" s="112"/>
      <c r="B647" s="113"/>
      <c r="C647" s="114"/>
    </row>
    <row r="648">
      <c r="A648" s="101"/>
      <c r="B648" s="102"/>
      <c r="C648" s="103"/>
    </row>
    <row r="649">
      <c r="A649" s="115"/>
      <c r="B649" s="116" t="str">
        <f>IF(B652&lt;&gt;"","SLOT CONTROLLER","")</f>
        <v/>
      </c>
      <c r="C649" s="117"/>
    </row>
    <row r="650">
      <c r="A650" s="108"/>
      <c r="B650" s="13" t="str">
        <f>IF(B652&lt;&gt;"","EVSE ID ","")</f>
        <v/>
      </c>
      <c r="C650" s="97" t="str">
        <f>IF(B652&lt;&gt;"",CONCATENATE("KE*ROA*E",$C$3,"*",B652),"")</f>
        <v/>
      </c>
    </row>
    <row r="651">
      <c r="A651" s="108"/>
      <c r="B651" s="13"/>
      <c r="C651" s="97"/>
    </row>
    <row r="652">
      <c r="A652" s="108"/>
      <c r="B652" s="109" t="str">
        <f>IF(B643&lt;$C$8,B643+1,"")</f>
        <v/>
      </c>
      <c r="C652" s="118" t="str">
        <f>IMAGE("https://api.qrserver.com/v1/create-qr-code/?size=150x150&amp;data="&amp;ENCODEURL(C650))</f>
        <v/>
      </c>
    </row>
    <row r="653">
      <c r="A653" s="108"/>
      <c r="C653" s="105"/>
    </row>
    <row r="654">
      <c r="A654" s="108"/>
      <c r="C654" s="105"/>
    </row>
    <row r="655">
      <c r="A655" s="108"/>
      <c r="C655" s="105"/>
    </row>
    <row r="656">
      <c r="A656" s="112"/>
      <c r="B656" s="113"/>
      <c r="C656" s="114"/>
    </row>
    <row r="657">
      <c r="A657" s="101"/>
      <c r="B657" s="102"/>
      <c r="C657" s="103"/>
    </row>
    <row r="658">
      <c r="A658" s="115"/>
      <c r="B658" s="116" t="str">
        <f>IF(B661&lt;&gt;"","SLOT CONTROLLER","")</f>
        <v/>
      </c>
      <c r="C658" s="117"/>
    </row>
    <row r="659">
      <c r="A659" s="108"/>
      <c r="B659" s="13" t="str">
        <f>IF(B661&lt;&gt;"","EVSE ID ","")</f>
        <v/>
      </c>
      <c r="C659" s="97" t="str">
        <f>IF(B661&lt;&gt;"",CONCATENATE("KE*ROA*E",$C$3,"*",B661),"")</f>
        <v/>
      </c>
    </row>
    <row r="660">
      <c r="A660" s="108"/>
      <c r="B660" s="13"/>
      <c r="C660" s="97"/>
    </row>
    <row r="661">
      <c r="A661" s="108"/>
      <c r="B661" s="109" t="str">
        <f>IF(B652&lt;$C$8,B652+1,"")</f>
        <v/>
      </c>
      <c r="C661" s="118" t="str">
        <f>IMAGE("https://api.qrserver.com/v1/create-qr-code/?size=150x150&amp;data="&amp;ENCODEURL(C659))</f>
        <v/>
      </c>
    </row>
    <row r="662">
      <c r="A662" s="108"/>
      <c r="C662" s="105"/>
    </row>
    <row r="663">
      <c r="A663" s="108"/>
      <c r="C663" s="105"/>
    </row>
    <row r="664">
      <c r="A664" s="108"/>
      <c r="C664" s="105"/>
    </row>
    <row r="665">
      <c r="A665" s="112"/>
      <c r="B665" s="113"/>
      <c r="C665" s="114"/>
    </row>
    <row r="666">
      <c r="A666" s="101"/>
      <c r="B666" s="102"/>
      <c r="C666" s="103"/>
    </row>
    <row r="667">
      <c r="A667" s="115"/>
      <c r="B667" s="116" t="str">
        <f>IF(B670&lt;&gt;"","SLOT CONTROLLER","")</f>
        <v/>
      </c>
      <c r="C667" s="117"/>
    </row>
    <row r="668">
      <c r="A668" s="108"/>
      <c r="B668" s="13" t="str">
        <f>IF(B670&lt;&gt;"","EVSE ID ","")</f>
        <v/>
      </c>
      <c r="C668" s="97" t="str">
        <f>IF(B670&lt;&gt;"",CONCATENATE("KE*ROA*E",$C$3,"*",B670),"")</f>
        <v/>
      </c>
    </row>
    <row r="669">
      <c r="A669" s="108"/>
      <c r="B669" s="13"/>
      <c r="C669" s="97"/>
    </row>
    <row r="670">
      <c r="A670" s="108"/>
      <c r="B670" s="109" t="str">
        <f>IF(B661&lt;$C$8,B661+1,"")</f>
        <v/>
      </c>
      <c r="C670" s="118" t="str">
        <f>IMAGE("https://api.qrserver.com/v1/create-qr-code/?size=150x150&amp;data="&amp;ENCODEURL(C668))</f>
        <v/>
      </c>
    </row>
    <row r="671">
      <c r="A671" s="108"/>
      <c r="C671" s="105"/>
    </row>
    <row r="672">
      <c r="A672" s="108"/>
      <c r="C672" s="105"/>
    </row>
    <row r="673">
      <c r="A673" s="108"/>
      <c r="C673" s="105"/>
    </row>
    <row r="674">
      <c r="A674" s="112"/>
      <c r="B674" s="113"/>
      <c r="C674" s="114"/>
    </row>
    <row r="675">
      <c r="A675" s="101"/>
      <c r="B675" s="102"/>
      <c r="C675" s="103"/>
    </row>
    <row r="676">
      <c r="A676" s="115"/>
      <c r="B676" s="116" t="str">
        <f>IF(B679&lt;&gt;"","SLOT CONTROLLER","")</f>
        <v/>
      </c>
      <c r="C676" s="117"/>
    </row>
    <row r="677">
      <c r="A677" s="108"/>
      <c r="B677" s="13" t="str">
        <f>IF(B679&lt;&gt;"","EVSE ID ","")</f>
        <v/>
      </c>
      <c r="C677" s="97" t="str">
        <f>IF(B679&lt;&gt;"",CONCATENATE("KE*ROA*E",$C$3,"*",B679),"")</f>
        <v/>
      </c>
    </row>
    <row r="678">
      <c r="A678" s="108"/>
      <c r="B678" s="13"/>
      <c r="C678" s="97"/>
    </row>
    <row r="679">
      <c r="A679" s="108"/>
      <c r="B679" s="109" t="str">
        <f>IF(B670&lt;$C$8,B670+1,"")</f>
        <v/>
      </c>
      <c r="C679" s="118" t="str">
        <f>IMAGE("https://api.qrserver.com/v1/create-qr-code/?size=150x150&amp;data="&amp;ENCODEURL(C677))</f>
        <v/>
      </c>
    </row>
    <row r="680">
      <c r="A680" s="108"/>
      <c r="C680" s="105"/>
    </row>
    <row r="681">
      <c r="A681" s="108"/>
      <c r="C681" s="105"/>
    </row>
    <row r="682">
      <c r="A682" s="108"/>
      <c r="C682" s="105"/>
    </row>
    <row r="683">
      <c r="A683" s="112"/>
      <c r="B683" s="113"/>
      <c r="C683" s="114"/>
    </row>
    <row r="684">
      <c r="A684" s="101"/>
      <c r="B684" s="102"/>
      <c r="C684" s="103"/>
    </row>
    <row r="685">
      <c r="A685" s="115"/>
      <c r="B685" s="116" t="str">
        <f>IF(B688&lt;&gt;"","SLOT CONTROLLER","")</f>
        <v/>
      </c>
      <c r="C685" s="117"/>
    </row>
    <row r="686">
      <c r="A686" s="108"/>
      <c r="B686" s="13" t="str">
        <f>IF(B688&lt;&gt;"","EVSE ID ","")</f>
        <v/>
      </c>
      <c r="C686" s="97" t="str">
        <f>IF(B688&lt;&gt;"",CONCATENATE("KE*ROA*E",$C$3,"*",B688),"")</f>
        <v/>
      </c>
    </row>
    <row r="687">
      <c r="A687" s="108"/>
      <c r="B687" s="13"/>
      <c r="C687" s="97"/>
    </row>
    <row r="688">
      <c r="A688" s="108"/>
      <c r="B688" s="109" t="str">
        <f>IF(B679&lt;$C$8,B679+1,"")</f>
        <v/>
      </c>
      <c r="C688" s="118" t="str">
        <f>IMAGE("https://api.qrserver.com/v1/create-qr-code/?size=150x150&amp;data="&amp;ENCODEURL(C686))</f>
        <v/>
      </c>
    </row>
    <row r="689">
      <c r="A689" s="108"/>
      <c r="C689" s="105"/>
    </row>
    <row r="690">
      <c r="A690" s="108"/>
      <c r="C690" s="105"/>
    </row>
    <row r="691">
      <c r="A691" s="108"/>
      <c r="C691" s="105"/>
    </row>
    <row r="692">
      <c r="A692" s="112"/>
      <c r="B692" s="113"/>
      <c r="C692" s="114"/>
    </row>
    <row r="693">
      <c r="A693" s="101"/>
      <c r="B693" s="102"/>
      <c r="C693" s="103"/>
    </row>
    <row r="694">
      <c r="A694" s="115"/>
      <c r="B694" s="116" t="str">
        <f>IF(B697&lt;&gt;"","SLOT CONTROLLER","")</f>
        <v/>
      </c>
      <c r="C694" s="117"/>
    </row>
    <row r="695">
      <c r="A695" s="108"/>
      <c r="B695" s="13" t="str">
        <f>IF(B697&lt;&gt;"","EVSE ID ","")</f>
        <v/>
      </c>
      <c r="C695" s="97" t="str">
        <f>IF(B697&lt;&gt;"",CONCATENATE("KE*ROA*E",$C$3,"*",B697),"")</f>
        <v/>
      </c>
    </row>
    <row r="696">
      <c r="A696" s="108"/>
      <c r="B696" s="13"/>
      <c r="C696" s="97"/>
    </row>
    <row r="697">
      <c r="A697" s="108"/>
      <c r="B697" s="109" t="str">
        <f>IF(B688&lt;$C$8,B688+1,"")</f>
        <v/>
      </c>
      <c r="C697" s="118" t="str">
        <f>IMAGE("https://api.qrserver.com/v1/create-qr-code/?size=150x150&amp;data="&amp;ENCODEURL(C695))</f>
        <v/>
      </c>
    </row>
    <row r="698">
      <c r="A698" s="108"/>
      <c r="C698" s="105"/>
    </row>
    <row r="699">
      <c r="A699" s="108"/>
      <c r="C699" s="105"/>
    </row>
    <row r="700">
      <c r="A700" s="108"/>
      <c r="C700" s="105"/>
    </row>
    <row r="701">
      <c r="A701" s="112"/>
      <c r="B701" s="113"/>
      <c r="C701" s="114"/>
    </row>
    <row r="702">
      <c r="A702" s="101"/>
      <c r="B702" s="102"/>
      <c r="C702" s="103"/>
    </row>
    <row r="703">
      <c r="A703" s="115"/>
      <c r="B703" s="116" t="str">
        <f>IF(B706&lt;&gt;"","SLOT CONTROLLER","")</f>
        <v/>
      </c>
      <c r="C703" s="117"/>
    </row>
    <row r="704">
      <c r="A704" s="108"/>
      <c r="B704" s="13" t="str">
        <f>IF(B706&lt;&gt;"","EVSE ID ","")</f>
        <v/>
      </c>
      <c r="C704" s="97" t="str">
        <f>IF(B706&lt;&gt;"",CONCATENATE("KE*ROA*E",$C$3,"*",B706),"")</f>
        <v/>
      </c>
    </row>
    <row r="705">
      <c r="A705" s="108"/>
      <c r="B705" s="13"/>
      <c r="C705" s="97"/>
    </row>
    <row r="706">
      <c r="A706" s="108"/>
      <c r="B706" s="109" t="str">
        <f>IF(B697&lt;$C$8,B697+1,"")</f>
        <v/>
      </c>
      <c r="C706" s="118" t="str">
        <f>IMAGE("https://api.qrserver.com/v1/create-qr-code/?size=150x150&amp;data="&amp;ENCODEURL(C704))</f>
        <v/>
      </c>
    </row>
    <row r="707">
      <c r="A707" s="108"/>
      <c r="C707" s="105"/>
    </row>
    <row r="708">
      <c r="A708" s="108"/>
      <c r="C708" s="105"/>
    </row>
    <row r="709">
      <c r="A709" s="108"/>
      <c r="C709" s="105"/>
    </row>
    <row r="710">
      <c r="A710" s="112"/>
      <c r="B710" s="113"/>
      <c r="C710" s="114"/>
    </row>
    <row r="711">
      <c r="A711" s="101"/>
      <c r="B711" s="102"/>
      <c r="C711" s="103"/>
    </row>
    <row r="712">
      <c r="A712" s="115"/>
      <c r="B712" s="116" t="str">
        <f>IF(B715&lt;&gt;"","SLOT CONTROLLER","")</f>
        <v/>
      </c>
      <c r="C712" s="117"/>
    </row>
    <row r="713">
      <c r="A713" s="108"/>
      <c r="B713" s="13" t="str">
        <f>IF(B715&lt;&gt;"","EVSE ID ","")</f>
        <v/>
      </c>
      <c r="C713" s="97" t="str">
        <f>IF(B715&lt;&gt;"",CONCATENATE("KE*ROA*E",$C$3,"*",B715),"")</f>
        <v/>
      </c>
    </row>
    <row r="714">
      <c r="A714" s="108"/>
      <c r="B714" s="13"/>
      <c r="C714" s="97"/>
    </row>
    <row r="715">
      <c r="A715" s="108"/>
      <c r="B715" s="109" t="str">
        <f>IF(B706&lt;$C$8,B706+1,"")</f>
        <v/>
      </c>
      <c r="C715" s="118" t="str">
        <f>IMAGE("https://api.qrserver.com/v1/create-qr-code/?size=150x150&amp;data="&amp;ENCODEURL(C713))</f>
        <v/>
      </c>
    </row>
    <row r="716">
      <c r="A716" s="108"/>
      <c r="C716" s="105"/>
    </row>
    <row r="717">
      <c r="A717" s="108"/>
      <c r="C717" s="105"/>
    </row>
    <row r="718">
      <c r="A718" s="108"/>
      <c r="C718" s="105"/>
    </row>
    <row r="719">
      <c r="A719" s="112"/>
      <c r="B719" s="113"/>
      <c r="C719" s="114"/>
    </row>
    <row r="720">
      <c r="A720" s="101"/>
      <c r="B720" s="102"/>
      <c r="C720" s="103"/>
    </row>
    <row r="721">
      <c r="A721" s="115"/>
      <c r="B721" s="116" t="str">
        <f>IF(B724&lt;&gt;"","SLOT CONTROLLER","")</f>
        <v/>
      </c>
      <c r="C721" s="117"/>
    </row>
    <row r="722">
      <c r="A722" s="108"/>
      <c r="B722" s="13" t="str">
        <f>IF(B724&lt;&gt;"","EVSE ID ","")</f>
        <v/>
      </c>
      <c r="C722" s="97" t="str">
        <f>IF(B724&lt;&gt;"",CONCATENATE("KE*ROA*E",$C$3,"*",B724),"")</f>
        <v/>
      </c>
    </row>
    <row r="723">
      <c r="A723" s="108"/>
      <c r="B723" s="13"/>
      <c r="C723" s="97"/>
    </row>
    <row r="724">
      <c r="A724" s="108"/>
      <c r="B724" s="109" t="str">
        <f>IF(B715&lt;$C$8,B715+1,"")</f>
        <v/>
      </c>
      <c r="C724" s="118" t="str">
        <f>IMAGE("https://api.qrserver.com/v1/create-qr-code/?size=150x150&amp;data="&amp;ENCODEURL(C722))</f>
        <v/>
      </c>
    </row>
    <row r="725">
      <c r="A725" s="108"/>
      <c r="C725" s="105"/>
    </row>
    <row r="726">
      <c r="A726" s="108"/>
      <c r="C726" s="105"/>
    </row>
    <row r="727">
      <c r="A727" s="108"/>
      <c r="C727" s="105"/>
    </row>
    <row r="728">
      <c r="A728" s="112"/>
      <c r="B728" s="113"/>
      <c r="C728" s="114"/>
    </row>
    <row r="729">
      <c r="A729" s="101"/>
      <c r="B729" s="102"/>
      <c r="C729" s="103"/>
    </row>
    <row r="730">
      <c r="A730" s="115"/>
      <c r="B730" s="116" t="str">
        <f>IF(B733&lt;&gt;"","SLOT CONTROLLER","")</f>
        <v/>
      </c>
      <c r="C730" s="117"/>
    </row>
    <row r="731">
      <c r="A731" s="108"/>
      <c r="B731" s="13" t="str">
        <f>IF(B733&lt;&gt;"","EVSE ID ","")</f>
        <v/>
      </c>
      <c r="C731" s="97" t="str">
        <f>IF(B733&lt;&gt;"",CONCATENATE("KE*ROA*E",$C$3,"*",B733),"")</f>
        <v/>
      </c>
    </row>
    <row r="732">
      <c r="A732" s="108"/>
      <c r="B732" s="13"/>
      <c r="C732" s="97"/>
    </row>
    <row r="733">
      <c r="A733" s="108"/>
      <c r="B733" s="109" t="str">
        <f>IF(B724&lt;$C$8,B724+1,"")</f>
        <v/>
      </c>
      <c r="C733" s="118" t="str">
        <f>IMAGE("https://api.qrserver.com/v1/create-qr-code/?size=150x150&amp;data="&amp;ENCODEURL(C731))</f>
        <v/>
      </c>
    </row>
    <row r="734">
      <c r="A734" s="108"/>
      <c r="C734" s="105"/>
    </row>
    <row r="735">
      <c r="A735" s="108"/>
      <c r="C735" s="105"/>
    </row>
    <row r="736">
      <c r="A736" s="108"/>
      <c r="C736" s="105"/>
    </row>
    <row r="737">
      <c r="A737" s="112"/>
      <c r="B737" s="113"/>
      <c r="C737" s="114"/>
    </row>
    <row r="738">
      <c r="A738" s="101"/>
      <c r="B738" s="102"/>
      <c r="C738" s="103"/>
    </row>
    <row r="739">
      <c r="A739" s="115"/>
      <c r="B739" s="116" t="str">
        <f>IF(B742&lt;&gt;"","SLOT CONTROLLER","")</f>
        <v/>
      </c>
      <c r="C739" s="117"/>
    </row>
    <row r="740">
      <c r="A740" s="108"/>
      <c r="B740" s="13" t="str">
        <f>IF(B742&lt;&gt;"","EVSE ID ","")</f>
        <v/>
      </c>
      <c r="C740" s="97" t="str">
        <f>IF(B742&lt;&gt;"",CONCATENATE("KE*ROA*E",$C$3,"*",B742),"")</f>
        <v/>
      </c>
    </row>
    <row r="741">
      <c r="A741" s="108"/>
      <c r="B741" s="13"/>
      <c r="C741" s="97"/>
    </row>
    <row r="742">
      <c r="A742" s="108"/>
      <c r="B742" s="109" t="str">
        <f>IF(B733&lt;$C$8,B733+1,"")</f>
        <v/>
      </c>
      <c r="C742" s="118" t="str">
        <f>IMAGE("https://api.qrserver.com/v1/create-qr-code/?size=150x150&amp;data="&amp;ENCODEURL(C740))</f>
        <v/>
      </c>
    </row>
    <row r="743">
      <c r="A743" s="108"/>
      <c r="C743" s="105"/>
    </row>
    <row r="744">
      <c r="A744" s="108"/>
      <c r="C744" s="105"/>
    </row>
    <row r="745">
      <c r="A745" s="108"/>
      <c r="C745" s="105"/>
    </row>
    <row r="746">
      <c r="A746" s="112"/>
      <c r="B746" s="113"/>
      <c r="C746" s="114"/>
    </row>
    <row r="747">
      <c r="A747" s="101"/>
      <c r="B747" s="102"/>
      <c r="C747" s="103"/>
    </row>
    <row r="748">
      <c r="A748" s="115"/>
      <c r="B748" s="116" t="str">
        <f>IF(B751&lt;&gt;"","SLOT CONTROLLER","")</f>
        <v/>
      </c>
      <c r="C748" s="117"/>
    </row>
    <row r="749">
      <c r="A749" s="108"/>
      <c r="B749" s="13" t="str">
        <f>IF(B751&lt;&gt;"","EVSE ID ","")</f>
        <v/>
      </c>
      <c r="C749" s="97" t="str">
        <f>IF(B751&lt;&gt;"",CONCATENATE("KE*ROA*E",$C$3,"*",B751),"")</f>
        <v/>
      </c>
    </row>
    <row r="750">
      <c r="A750" s="108"/>
      <c r="B750" s="13"/>
      <c r="C750" s="97"/>
    </row>
    <row r="751">
      <c r="A751" s="108"/>
      <c r="B751" s="109" t="str">
        <f>IF(B742&lt;$C$8,B742+1,"")</f>
        <v/>
      </c>
      <c r="C751" s="118" t="str">
        <f>IMAGE("https://api.qrserver.com/v1/create-qr-code/?size=150x150&amp;data="&amp;ENCODEURL(C749))</f>
        <v/>
      </c>
    </row>
    <row r="752">
      <c r="A752" s="108"/>
      <c r="C752" s="105"/>
    </row>
    <row r="753">
      <c r="A753" s="108"/>
      <c r="C753" s="105"/>
    </row>
    <row r="754">
      <c r="A754" s="108"/>
      <c r="C754" s="105"/>
    </row>
    <row r="755">
      <c r="A755" s="112"/>
      <c r="B755" s="113"/>
      <c r="C755" s="114"/>
    </row>
    <row r="756">
      <c r="A756" s="101"/>
      <c r="B756" s="102"/>
      <c r="C756" s="103"/>
    </row>
    <row r="757">
      <c r="A757" s="115"/>
      <c r="B757" s="116" t="str">
        <f>IF(B760&lt;&gt;"","SLOT CONTROLLER","")</f>
        <v/>
      </c>
      <c r="C757" s="117"/>
    </row>
    <row r="758">
      <c r="A758" s="108"/>
      <c r="B758" s="13" t="str">
        <f>IF(B760&lt;&gt;"","EVSE ID ","")</f>
        <v/>
      </c>
      <c r="C758" s="97" t="str">
        <f>IF(B760&lt;&gt;"",CONCATENATE("KE*ROA*E",$C$3,"*",B760),"")</f>
        <v/>
      </c>
    </row>
    <row r="759">
      <c r="A759" s="108"/>
      <c r="B759" s="13"/>
      <c r="C759" s="97"/>
    </row>
    <row r="760">
      <c r="A760" s="108"/>
      <c r="B760" s="109" t="str">
        <f>IF(B751&lt;$C$8,B751+1,"")</f>
        <v/>
      </c>
      <c r="C760" s="118" t="str">
        <f>IMAGE("https://api.qrserver.com/v1/create-qr-code/?size=150x150&amp;data="&amp;ENCODEURL(C758))</f>
        <v/>
      </c>
    </row>
    <row r="761">
      <c r="A761" s="108"/>
      <c r="C761" s="105"/>
    </row>
    <row r="762">
      <c r="A762" s="108"/>
      <c r="C762" s="105"/>
    </row>
    <row r="763">
      <c r="A763" s="108"/>
      <c r="C763" s="105"/>
    </row>
    <row r="764">
      <c r="A764" s="112"/>
      <c r="B764" s="113"/>
      <c r="C764" s="114"/>
    </row>
    <row r="765">
      <c r="A765" s="101"/>
      <c r="B765" s="102"/>
      <c r="C765" s="103"/>
    </row>
    <row r="766">
      <c r="A766" s="115"/>
      <c r="B766" s="116" t="str">
        <f>IF(B769&lt;&gt;"","SLOT CONTROLLER","")</f>
        <v/>
      </c>
      <c r="C766" s="117"/>
    </row>
    <row r="767">
      <c r="A767" s="108"/>
      <c r="B767" s="13" t="str">
        <f>IF(B769&lt;&gt;"","EVSE ID ","")</f>
        <v/>
      </c>
      <c r="C767" s="97" t="str">
        <f>IF(B769&lt;&gt;"",CONCATENATE("KE*ROA*E",$C$3,"*",B769),"")</f>
        <v/>
      </c>
    </row>
    <row r="768">
      <c r="A768" s="108"/>
      <c r="B768" s="13"/>
      <c r="C768" s="97"/>
    </row>
    <row r="769">
      <c r="A769" s="108"/>
      <c r="B769" s="109" t="str">
        <f>IF(B760&lt;$C$8,B760+1,"")</f>
        <v/>
      </c>
      <c r="C769" s="118" t="str">
        <f>IMAGE("https://api.qrserver.com/v1/create-qr-code/?size=150x150&amp;data="&amp;ENCODEURL(C767))</f>
        <v/>
      </c>
    </row>
    <row r="770">
      <c r="A770" s="108"/>
      <c r="C770" s="105"/>
    </row>
    <row r="771">
      <c r="A771" s="108"/>
      <c r="C771" s="105"/>
    </row>
    <row r="772">
      <c r="A772" s="108"/>
      <c r="C772" s="105"/>
    </row>
    <row r="773">
      <c r="A773" s="112"/>
      <c r="B773" s="113"/>
      <c r="C773" s="114"/>
    </row>
    <row r="774">
      <c r="A774" s="101"/>
      <c r="B774" s="102"/>
      <c r="C774" s="103"/>
    </row>
    <row r="775">
      <c r="A775" s="115"/>
      <c r="B775" s="116" t="str">
        <f>IF(B778&lt;&gt;"","SLOT CONTROLLER","")</f>
        <v/>
      </c>
      <c r="C775" s="117"/>
    </row>
    <row r="776">
      <c r="A776" s="108"/>
      <c r="B776" s="13" t="str">
        <f>IF(B778&lt;&gt;"","EVSE ID ","")</f>
        <v/>
      </c>
      <c r="C776" s="97" t="str">
        <f>IF(B778&lt;&gt;"",CONCATENATE("KE*ROA*E",$C$3,"*",B778),"")</f>
        <v/>
      </c>
    </row>
    <row r="777">
      <c r="A777" s="108"/>
      <c r="B777" s="13"/>
      <c r="C777" s="97"/>
    </row>
    <row r="778">
      <c r="A778" s="108"/>
      <c r="B778" s="109" t="str">
        <f>IF(B769&lt;$C$8,B769+1,"")</f>
        <v/>
      </c>
      <c r="C778" s="118" t="str">
        <f>IMAGE("https://api.qrserver.com/v1/create-qr-code/?size=150x150&amp;data="&amp;ENCODEURL(C776))</f>
        <v/>
      </c>
    </row>
    <row r="779">
      <c r="A779" s="108"/>
      <c r="C779" s="105"/>
    </row>
    <row r="780">
      <c r="A780" s="108"/>
      <c r="C780" s="105"/>
    </row>
    <row r="781">
      <c r="A781" s="108"/>
      <c r="C781" s="105"/>
    </row>
    <row r="782">
      <c r="A782" s="112"/>
      <c r="B782" s="113"/>
      <c r="C782" s="114"/>
    </row>
    <row r="783">
      <c r="A783" s="101"/>
      <c r="B783" s="102"/>
      <c r="C783" s="103"/>
    </row>
    <row r="784">
      <c r="A784" s="115"/>
      <c r="B784" s="116" t="str">
        <f>IF(B787&lt;&gt;"","SLOT CONTROLLER","")</f>
        <v/>
      </c>
      <c r="C784" s="117"/>
    </row>
    <row r="785">
      <c r="A785" s="108"/>
      <c r="B785" s="13" t="str">
        <f>IF(B787&lt;&gt;"","EVSE ID ","")</f>
        <v/>
      </c>
      <c r="C785" s="97" t="str">
        <f>IF(B787&lt;&gt;"",CONCATENATE("KE*ROA*E",$C$3,"*",B787),"")</f>
        <v/>
      </c>
    </row>
    <row r="786">
      <c r="A786" s="108"/>
      <c r="B786" s="13"/>
      <c r="C786" s="97"/>
    </row>
    <row r="787">
      <c r="A787" s="108"/>
      <c r="B787" s="109" t="str">
        <f>IF(B778&lt;$C$8,B778+1,"")</f>
        <v/>
      </c>
      <c r="C787" s="118" t="str">
        <f>IMAGE("https://api.qrserver.com/v1/create-qr-code/?size=150x150&amp;data="&amp;ENCODEURL(C785))</f>
        <v/>
      </c>
    </row>
    <row r="788">
      <c r="A788" s="108"/>
      <c r="C788" s="105"/>
    </row>
    <row r="789">
      <c r="A789" s="108"/>
      <c r="C789" s="105"/>
    </row>
    <row r="790">
      <c r="A790" s="108"/>
      <c r="C790" s="105"/>
    </row>
    <row r="791">
      <c r="A791" s="112"/>
      <c r="B791" s="113"/>
      <c r="C791" s="114"/>
    </row>
    <row r="792">
      <c r="A792" s="101"/>
      <c r="B792" s="102"/>
      <c r="C792" s="103"/>
    </row>
    <row r="793">
      <c r="A793" s="115"/>
      <c r="B793" s="116" t="str">
        <f>IF(B796&lt;&gt;"","SLOT CONTROLLER","")</f>
        <v/>
      </c>
      <c r="C793" s="117"/>
    </row>
    <row r="794">
      <c r="A794" s="108"/>
      <c r="B794" s="13" t="str">
        <f>IF(B796&lt;&gt;"","EVSE ID ","")</f>
        <v/>
      </c>
      <c r="C794" s="97" t="str">
        <f>IF(B796&lt;&gt;"",CONCATENATE("KE*ROA*E",$C$3,"*",B796),"")</f>
        <v/>
      </c>
    </row>
    <row r="795">
      <c r="A795" s="108"/>
      <c r="B795" s="13"/>
      <c r="C795" s="97"/>
    </row>
    <row r="796">
      <c r="A796" s="108"/>
      <c r="B796" s="109" t="str">
        <f>IF(B787&lt;$C$8,B787+1,"")</f>
        <v/>
      </c>
      <c r="C796" s="118" t="str">
        <f>IMAGE("https://api.qrserver.com/v1/create-qr-code/?size=150x150&amp;data="&amp;ENCODEURL(C794))</f>
        <v/>
      </c>
    </row>
    <row r="797">
      <c r="A797" s="108"/>
      <c r="C797" s="105"/>
    </row>
    <row r="798">
      <c r="A798" s="108"/>
      <c r="C798" s="105"/>
    </row>
    <row r="799">
      <c r="A799" s="108"/>
      <c r="C799" s="105"/>
    </row>
    <row r="800">
      <c r="A800" s="112"/>
      <c r="B800" s="113"/>
      <c r="C800" s="114"/>
    </row>
    <row r="801">
      <c r="A801" s="101"/>
      <c r="B801" s="102"/>
      <c r="C801" s="103"/>
    </row>
    <row r="802">
      <c r="A802" s="115"/>
      <c r="B802" s="116" t="str">
        <f>IF(B805&lt;&gt;"","SLOT CONTROLLER","")</f>
        <v/>
      </c>
      <c r="C802" s="117"/>
    </row>
    <row r="803">
      <c r="A803" s="108"/>
      <c r="B803" s="13" t="str">
        <f>IF(B805&lt;&gt;"","EVSE ID ","")</f>
        <v/>
      </c>
      <c r="C803" s="97" t="str">
        <f>IF(B805&lt;&gt;"",CONCATENATE("KE*ROA*E",$C$3,"*",B805),"")</f>
        <v/>
      </c>
    </row>
    <row r="804">
      <c r="A804" s="108"/>
      <c r="B804" s="13"/>
      <c r="C804" s="97"/>
    </row>
    <row r="805">
      <c r="A805" s="108"/>
      <c r="B805" s="109" t="str">
        <f>IF(B796&lt;$C$8,B796+1,"")</f>
        <v/>
      </c>
      <c r="C805" s="118" t="str">
        <f>IMAGE("https://api.qrserver.com/v1/create-qr-code/?size=150x150&amp;data="&amp;ENCODEURL(C803))</f>
        <v/>
      </c>
    </row>
    <row r="806">
      <c r="A806" s="108"/>
      <c r="C806" s="105"/>
    </row>
    <row r="807">
      <c r="A807" s="108"/>
      <c r="C807" s="105"/>
    </row>
    <row r="808">
      <c r="A808" s="108"/>
      <c r="C808" s="105"/>
    </row>
    <row r="809">
      <c r="A809" s="112"/>
      <c r="B809" s="113"/>
      <c r="C809" s="114"/>
    </row>
    <row r="810">
      <c r="A810" s="101"/>
      <c r="B810" s="102"/>
      <c r="C810" s="103"/>
    </row>
    <row r="811">
      <c r="A811" s="115"/>
      <c r="B811" s="116" t="str">
        <f>IF(B814&lt;&gt;"","SLOT CONTROLLER","")</f>
        <v/>
      </c>
      <c r="C811" s="117"/>
    </row>
    <row r="812">
      <c r="A812" s="108"/>
      <c r="B812" s="13" t="str">
        <f>IF(B814&lt;&gt;"","EVSE ID ","")</f>
        <v/>
      </c>
      <c r="C812" s="97" t="str">
        <f>IF(B814&lt;&gt;"",CONCATENATE("KE*ROA*E",$C$3,"*",B814),"")</f>
        <v/>
      </c>
    </row>
    <row r="813">
      <c r="A813" s="108"/>
      <c r="B813" s="13"/>
      <c r="C813" s="97"/>
    </row>
    <row r="814">
      <c r="A814" s="108"/>
      <c r="B814" s="109" t="str">
        <f>IF(B805&lt;$C$8,B805+1,"")</f>
        <v/>
      </c>
      <c r="C814" s="118" t="str">
        <f>IMAGE("https://api.qrserver.com/v1/create-qr-code/?size=150x150&amp;data="&amp;ENCODEURL(C812))</f>
        <v/>
      </c>
    </row>
    <row r="815">
      <c r="A815" s="108"/>
      <c r="C815" s="105"/>
    </row>
    <row r="816">
      <c r="A816" s="108"/>
      <c r="C816" s="105"/>
    </row>
    <row r="817">
      <c r="A817" s="108"/>
      <c r="C817" s="105"/>
    </row>
    <row r="818">
      <c r="A818" s="112"/>
      <c r="B818" s="113"/>
      <c r="C818" s="114"/>
    </row>
    <row r="819">
      <c r="A819" s="101"/>
      <c r="B819" s="102"/>
      <c r="C819" s="103"/>
    </row>
    <row r="820">
      <c r="A820" s="115"/>
      <c r="B820" s="116" t="str">
        <f>IF(B823&lt;&gt;"","SLOT CONTROLLER","")</f>
        <v/>
      </c>
      <c r="C820" s="117"/>
    </row>
    <row r="821">
      <c r="A821" s="108"/>
      <c r="B821" s="13" t="str">
        <f>IF(B823&lt;&gt;"","EVSE ID ","")</f>
        <v/>
      </c>
      <c r="C821" s="97" t="str">
        <f>IF(B823&lt;&gt;"",CONCATENATE("KE*ROA*E",$C$3,"*",B823),"")</f>
        <v/>
      </c>
    </row>
    <row r="822">
      <c r="A822" s="108"/>
      <c r="B822" s="13"/>
      <c r="C822" s="97"/>
    </row>
    <row r="823">
      <c r="A823" s="108"/>
      <c r="B823" s="109" t="str">
        <f>IF(B814&lt;$C$8,B814+1,"")</f>
        <v/>
      </c>
      <c r="C823" s="118" t="str">
        <f>IMAGE("https://api.qrserver.com/v1/create-qr-code/?size=150x150&amp;data="&amp;ENCODEURL(C821))</f>
        <v/>
      </c>
    </row>
    <row r="824">
      <c r="A824" s="108"/>
      <c r="C824" s="105"/>
    </row>
    <row r="825">
      <c r="A825" s="108"/>
      <c r="C825" s="105"/>
    </row>
    <row r="826">
      <c r="A826" s="108"/>
      <c r="C826" s="105"/>
    </row>
    <row r="827">
      <c r="A827" s="112"/>
      <c r="B827" s="113"/>
      <c r="C827" s="114"/>
    </row>
    <row r="828">
      <c r="A828" s="101"/>
      <c r="B828" s="102"/>
      <c r="C828" s="103"/>
    </row>
    <row r="829">
      <c r="A829" s="115"/>
      <c r="B829" s="116" t="str">
        <f>IF(B832&lt;&gt;"","SLOT CONTROLLER","")</f>
        <v/>
      </c>
      <c r="C829" s="117"/>
    </row>
    <row r="830">
      <c r="A830" s="108"/>
      <c r="B830" s="13" t="str">
        <f>IF(B832&lt;&gt;"","EVSE ID ","")</f>
        <v/>
      </c>
      <c r="C830" s="97" t="str">
        <f>IF(B832&lt;&gt;"",CONCATENATE("KE*ROA*E",$C$3,"*",B832),"")</f>
        <v/>
      </c>
    </row>
    <row r="831">
      <c r="A831" s="108"/>
      <c r="B831" s="13"/>
      <c r="C831" s="97"/>
    </row>
    <row r="832">
      <c r="A832" s="108"/>
      <c r="B832" s="109" t="str">
        <f>IF(B823&lt;$C$8,B823+1,"")</f>
        <v/>
      </c>
      <c r="C832" s="118" t="str">
        <f>IMAGE("https://api.qrserver.com/v1/create-qr-code/?size=150x150&amp;data="&amp;ENCODEURL(C830))</f>
        <v/>
      </c>
    </row>
    <row r="833">
      <c r="A833" s="108"/>
      <c r="C833" s="105"/>
    </row>
    <row r="834">
      <c r="A834" s="108"/>
      <c r="C834" s="105"/>
    </row>
    <row r="835">
      <c r="A835" s="108"/>
      <c r="C835" s="105"/>
    </row>
    <row r="836">
      <c r="A836" s="112"/>
      <c r="B836" s="113"/>
      <c r="C836" s="114"/>
    </row>
    <row r="837">
      <c r="A837" s="101"/>
      <c r="B837" s="102"/>
      <c r="C837" s="103"/>
    </row>
    <row r="838">
      <c r="A838" s="115"/>
      <c r="B838" s="116" t="str">
        <f>IF(B841&lt;&gt;"","SLOT CONTROLLER","")</f>
        <v/>
      </c>
      <c r="C838" s="117"/>
    </row>
    <row r="839">
      <c r="A839" s="108"/>
      <c r="B839" s="13" t="str">
        <f>IF(B841&lt;&gt;"","EVSE ID ","")</f>
        <v/>
      </c>
      <c r="C839" s="97" t="str">
        <f>IF(B841&lt;&gt;"",CONCATENATE("KE*ROA*E",$C$3,"*",B841),"")</f>
        <v/>
      </c>
    </row>
    <row r="840">
      <c r="A840" s="108"/>
      <c r="B840" s="13"/>
      <c r="C840" s="97"/>
    </row>
    <row r="841">
      <c r="A841" s="108"/>
      <c r="B841" s="109" t="str">
        <f>IF(B832&lt;$C$8,B832+1,"")</f>
        <v/>
      </c>
      <c r="C841" s="118" t="str">
        <f>IMAGE("https://api.qrserver.com/v1/create-qr-code/?size=150x150&amp;data="&amp;ENCODEURL(C839))</f>
        <v/>
      </c>
    </row>
    <row r="842">
      <c r="A842" s="108"/>
      <c r="C842" s="105"/>
    </row>
    <row r="843">
      <c r="A843" s="108"/>
      <c r="C843" s="105"/>
    </row>
    <row r="844">
      <c r="A844" s="108"/>
      <c r="C844" s="105"/>
    </row>
    <row r="845">
      <c r="A845" s="112"/>
      <c r="B845" s="113"/>
      <c r="C845" s="114"/>
    </row>
    <row r="846">
      <c r="A846" s="101"/>
      <c r="B846" s="102"/>
      <c r="C846" s="103"/>
    </row>
    <row r="847">
      <c r="A847" s="115"/>
      <c r="B847" s="116" t="str">
        <f>IF(B850&lt;&gt;"","SLOT CONTROLLER","")</f>
        <v/>
      </c>
      <c r="C847" s="117"/>
    </row>
    <row r="848">
      <c r="A848" s="108"/>
      <c r="B848" s="13" t="str">
        <f>IF(B850&lt;&gt;"","EVSE ID ","")</f>
        <v/>
      </c>
      <c r="C848" s="97" t="str">
        <f>IF(B850&lt;&gt;"",CONCATENATE("KE*ROA*E",$C$3,"*",B850),"")</f>
        <v/>
      </c>
    </row>
    <row r="849">
      <c r="A849" s="108"/>
      <c r="B849" s="13"/>
      <c r="C849" s="97"/>
    </row>
    <row r="850">
      <c r="A850" s="108"/>
      <c r="B850" s="109" t="str">
        <f>IF(B841&lt;$C$8,B841+1,"")</f>
        <v/>
      </c>
      <c r="C850" s="118" t="str">
        <f>IMAGE("https://api.qrserver.com/v1/create-qr-code/?size=150x150&amp;data="&amp;ENCODEURL(C848))</f>
        <v/>
      </c>
    </row>
    <row r="851">
      <c r="A851" s="108"/>
      <c r="C851" s="105"/>
    </row>
    <row r="852">
      <c r="A852" s="108"/>
      <c r="C852" s="105"/>
    </row>
    <row r="853">
      <c r="A853" s="108"/>
      <c r="C853" s="105"/>
    </row>
    <row r="854">
      <c r="A854" s="112"/>
      <c r="B854" s="113"/>
      <c r="C854" s="114"/>
    </row>
    <row r="855">
      <c r="A855" s="101"/>
      <c r="B855" s="102"/>
      <c r="C855" s="103"/>
    </row>
    <row r="856">
      <c r="A856" s="115"/>
      <c r="B856" s="116" t="str">
        <f>IF(B859&lt;&gt;"","SLOT CONTROLLER","")</f>
        <v/>
      </c>
      <c r="C856" s="117"/>
    </row>
    <row r="857">
      <c r="A857" s="108"/>
      <c r="B857" s="13" t="str">
        <f>IF(B859&lt;&gt;"","EVSE ID ","")</f>
        <v/>
      </c>
      <c r="C857" s="97" t="str">
        <f>IF(B859&lt;&gt;"",CONCATENATE("KE*ROA*E",$C$3,"*",B859),"")</f>
        <v/>
      </c>
    </row>
    <row r="858">
      <c r="A858" s="108"/>
      <c r="B858" s="13"/>
      <c r="C858" s="97"/>
    </row>
    <row r="859">
      <c r="A859" s="108"/>
      <c r="B859" s="109" t="str">
        <f>IF(B850&lt;$C$8,B850+1,"")</f>
        <v/>
      </c>
      <c r="C859" s="118" t="str">
        <f>IMAGE("https://api.qrserver.com/v1/create-qr-code/?size=150x150&amp;data="&amp;ENCODEURL(C857))</f>
        <v/>
      </c>
    </row>
    <row r="860">
      <c r="A860" s="108"/>
      <c r="C860" s="105"/>
    </row>
    <row r="861">
      <c r="A861" s="108"/>
      <c r="C861" s="105"/>
    </row>
    <row r="862">
      <c r="A862" s="108"/>
      <c r="C862" s="105"/>
    </row>
    <row r="863">
      <c r="A863" s="112"/>
      <c r="B863" s="113"/>
      <c r="C863" s="114"/>
    </row>
    <row r="864">
      <c r="A864" s="101"/>
      <c r="B864" s="102"/>
      <c r="C864" s="103"/>
    </row>
    <row r="865">
      <c r="A865" s="115"/>
      <c r="B865" s="116" t="str">
        <f>IF(B868&lt;&gt;"","SLOT CONTROLLER","")</f>
        <v/>
      </c>
      <c r="C865" s="117"/>
    </row>
    <row r="866">
      <c r="A866" s="108"/>
      <c r="B866" s="13" t="str">
        <f>IF(B868&lt;&gt;"","EVSE ID ","")</f>
        <v/>
      </c>
      <c r="C866" s="97" t="str">
        <f>IF(B868&lt;&gt;"",CONCATENATE("KE*ROA*E",$C$3,"*",B868),"")</f>
        <v/>
      </c>
    </row>
    <row r="867">
      <c r="A867" s="108"/>
      <c r="B867" s="13"/>
      <c r="C867" s="97"/>
    </row>
    <row r="868">
      <c r="A868" s="108"/>
      <c r="B868" s="109" t="str">
        <f>IF(B859&lt;$C$8,B859+1,"")</f>
        <v/>
      </c>
      <c r="C868" s="118" t="str">
        <f>IMAGE("https://api.qrserver.com/v1/create-qr-code/?size=150x150&amp;data="&amp;ENCODEURL(C866))</f>
        <v/>
      </c>
    </row>
    <row r="869">
      <c r="A869" s="108"/>
      <c r="C869" s="105"/>
    </row>
    <row r="870">
      <c r="A870" s="108"/>
      <c r="C870" s="105"/>
    </row>
    <row r="871">
      <c r="A871" s="108"/>
      <c r="C871" s="105"/>
    </row>
    <row r="872">
      <c r="A872" s="112"/>
      <c r="B872" s="113"/>
      <c r="C872" s="114"/>
    </row>
    <row r="873">
      <c r="A873" s="101"/>
      <c r="B873" s="102"/>
      <c r="C873" s="103"/>
    </row>
    <row r="874">
      <c r="A874" s="115"/>
      <c r="B874" s="116" t="str">
        <f>IF(B877&lt;&gt;"","SLOT CONTROLLER","")</f>
        <v/>
      </c>
      <c r="C874" s="117"/>
    </row>
    <row r="875">
      <c r="A875" s="108"/>
      <c r="B875" s="13" t="str">
        <f>IF(B877&lt;&gt;"","EVSE ID ","")</f>
        <v/>
      </c>
      <c r="C875" s="97" t="str">
        <f>IF(B877&lt;&gt;"",CONCATENATE("KE*ROA*E",$C$3,"*",B877),"")</f>
        <v/>
      </c>
    </row>
    <row r="876">
      <c r="A876" s="108"/>
      <c r="B876" s="13"/>
      <c r="C876" s="97"/>
    </row>
    <row r="877">
      <c r="A877" s="108"/>
      <c r="B877" s="109" t="str">
        <f>IF(B868&lt;$C$8,B868+1,"")</f>
        <v/>
      </c>
      <c r="C877" s="118" t="str">
        <f>IMAGE("https://api.qrserver.com/v1/create-qr-code/?size=150x150&amp;data="&amp;ENCODEURL(C875))</f>
        <v/>
      </c>
    </row>
    <row r="878">
      <c r="A878" s="108"/>
      <c r="C878" s="105"/>
    </row>
    <row r="879">
      <c r="A879" s="108"/>
      <c r="C879" s="105"/>
    </row>
    <row r="880">
      <c r="A880" s="108"/>
      <c r="C880" s="105"/>
    </row>
    <row r="881">
      <c r="A881" s="112"/>
      <c r="B881" s="113"/>
      <c r="C881" s="114"/>
    </row>
    <row r="882">
      <c r="A882" s="101"/>
      <c r="B882" s="102"/>
      <c r="C882" s="103"/>
    </row>
    <row r="883">
      <c r="A883" s="115"/>
      <c r="B883" s="116" t="str">
        <f>IF(B886&lt;&gt;"","SLOT CONTROLLER","")</f>
        <v/>
      </c>
      <c r="C883" s="117"/>
    </row>
    <row r="884">
      <c r="A884" s="108"/>
      <c r="B884" s="13" t="str">
        <f>IF(B886&lt;&gt;"","EVSE ID ","")</f>
        <v/>
      </c>
      <c r="C884" s="97" t="str">
        <f>IF(B886&lt;&gt;"",CONCATENATE("KE*ROA*E",$C$3,"*",B886),"")</f>
        <v/>
      </c>
    </row>
    <row r="885">
      <c r="A885" s="108"/>
      <c r="B885" s="13"/>
      <c r="C885" s="97"/>
    </row>
    <row r="886">
      <c r="A886" s="108"/>
      <c r="B886" s="109" t="str">
        <f>IF(B877&lt;$C$8,B877+1,"")</f>
        <v/>
      </c>
      <c r="C886" s="118" t="str">
        <f>IMAGE("https://api.qrserver.com/v1/create-qr-code/?size=150x150&amp;data="&amp;ENCODEURL(C884))</f>
        <v/>
      </c>
    </row>
    <row r="887">
      <c r="A887" s="108"/>
      <c r="C887" s="105"/>
    </row>
    <row r="888">
      <c r="A888" s="108"/>
      <c r="C888" s="105"/>
    </row>
    <row r="889">
      <c r="A889" s="108"/>
      <c r="C889" s="105"/>
    </row>
    <row r="890">
      <c r="A890" s="112"/>
      <c r="B890" s="113"/>
      <c r="C890" s="114"/>
    </row>
    <row r="891">
      <c r="A891" s="101"/>
      <c r="B891" s="102"/>
      <c r="C891" s="103"/>
    </row>
    <row r="892">
      <c r="A892" s="115"/>
      <c r="B892" s="116" t="str">
        <f>IF(B895&lt;&gt;"","SLOT CONTROLLER","")</f>
        <v/>
      </c>
      <c r="C892" s="117"/>
    </row>
    <row r="893">
      <c r="A893" s="108"/>
      <c r="B893" s="13" t="str">
        <f>IF(B895&lt;&gt;"","EVSE ID ","")</f>
        <v/>
      </c>
      <c r="C893" s="97" t="str">
        <f>IF(B895&lt;&gt;"",CONCATENATE("KE*ROA*E",$C$3,"*",B895),"")</f>
        <v/>
      </c>
    </row>
    <row r="894">
      <c r="A894" s="108"/>
      <c r="B894" s="13"/>
      <c r="C894" s="97"/>
    </row>
    <row r="895">
      <c r="A895" s="108"/>
      <c r="B895" s="109" t="str">
        <f>IF(B886&lt;$C$8,B886+1,"")</f>
        <v/>
      </c>
      <c r="C895" s="118" t="str">
        <f>IMAGE("https://api.qrserver.com/v1/create-qr-code/?size=150x150&amp;data="&amp;ENCODEURL(C893))</f>
        <v/>
      </c>
    </row>
    <row r="896">
      <c r="A896" s="108"/>
      <c r="C896" s="105"/>
    </row>
    <row r="897">
      <c r="A897" s="108"/>
      <c r="C897" s="105"/>
    </row>
    <row r="898">
      <c r="A898" s="108"/>
      <c r="C898" s="105"/>
    </row>
    <row r="899">
      <c r="A899" s="112"/>
      <c r="B899" s="113"/>
      <c r="C899" s="114"/>
    </row>
    <row r="900">
      <c r="A900" s="101"/>
      <c r="B900" s="102"/>
      <c r="C900" s="103"/>
    </row>
    <row r="901">
      <c r="A901" s="115"/>
      <c r="B901" s="116" t="str">
        <f>IF(B904&lt;&gt;"","SLOT CONTROLLER","")</f>
        <v/>
      </c>
      <c r="C901" s="117"/>
    </row>
    <row r="902">
      <c r="A902" s="108"/>
      <c r="B902" s="13" t="str">
        <f>IF(B904&lt;&gt;"","EVSE ID ","")</f>
        <v/>
      </c>
      <c r="C902" s="97" t="str">
        <f>IF(B904&lt;&gt;"",CONCATENATE("KE*ROA*E",$C$3,"*",B904),"")</f>
        <v/>
      </c>
    </row>
    <row r="903">
      <c r="A903" s="108"/>
      <c r="B903" s="13"/>
      <c r="C903" s="97"/>
    </row>
    <row r="904">
      <c r="A904" s="108"/>
      <c r="B904" s="109" t="str">
        <f>IF(B895&lt;$C$8,B895+1,"")</f>
        <v/>
      </c>
      <c r="C904" s="118" t="str">
        <f>IMAGE("https://api.qrserver.com/v1/create-qr-code/?size=150x150&amp;data="&amp;ENCODEURL(C902))</f>
        <v/>
      </c>
    </row>
    <row r="905">
      <c r="A905" s="108"/>
      <c r="C905" s="105"/>
    </row>
    <row r="906">
      <c r="A906" s="108"/>
      <c r="C906" s="105"/>
    </row>
    <row r="907">
      <c r="A907" s="108"/>
      <c r="C907" s="105"/>
    </row>
    <row r="908">
      <c r="A908" s="112"/>
      <c r="B908" s="113"/>
      <c r="C908" s="114"/>
    </row>
    <row r="909">
      <c r="A909" s="101"/>
      <c r="B909" s="102"/>
      <c r="C909" s="103"/>
    </row>
    <row r="910">
      <c r="A910" s="115"/>
      <c r="B910" s="116" t="str">
        <f>IF(B913&lt;&gt;"","SLOT CONTROLLER","")</f>
        <v/>
      </c>
      <c r="C910" s="117"/>
    </row>
    <row r="911">
      <c r="A911" s="108"/>
      <c r="B911" s="13" t="str">
        <f>IF(B913&lt;&gt;"","EVSE ID ","")</f>
        <v/>
      </c>
      <c r="C911" s="97" t="str">
        <f>IF(B913&lt;&gt;"",CONCATENATE("KE*ROA*E",$C$3,"*",B913),"")</f>
        <v/>
      </c>
    </row>
    <row r="912">
      <c r="A912" s="108"/>
      <c r="B912" s="13"/>
      <c r="C912" s="97"/>
    </row>
    <row r="913">
      <c r="A913" s="108"/>
      <c r="B913" s="109" t="str">
        <f>IF(B904&lt;$C$8,B904+1,"")</f>
        <v/>
      </c>
      <c r="C913" s="118" t="str">
        <f>IMAGE("https://api.qrserver.com/v1/create-qr-code/?size=150x150&amp;data="&amp;ENCODEURL(C911))</f>
        <v/>
      </c>
    </row>
    <row r="914">
      <c r="A914" s="108"/>
      <c r="C914" s="105"/>
    </row>
    <row r="915">
      <c r="A915" s="108"/>
      <c r="C915" s="105"/>
    </row>
    <row r="916">
      <c r="A916" s="108"/>
      <c r="C916" s="105"/>
    </row>
    <row r="917">
      <c r="A917" s="112"/>
      <c r="B917" s="113"/>
      <c r="C917" s="114"/>
    </row>
    <row r="918">
      <c r="A918" s="101"/>
      <c r="B918" s="102"/>
      <c r="C918" s="103"/>
    </row>
    <row r="919">
      <c r="A919" s="115"/>
      <c r="B919" s="116" t="str">
        <f>IF(B922&lt;&gt;"","SLOT CONTROLLER","")</f>
        <v/>
      </c>
      <c r="C919" s="117"/>
    </row>
    <row r="920">
      <c r="A920" s="108"/>
      <c r="B920" s="13" t="str">
        <f>IF(B922&lt;&gt;"","EVSE ID ","")</f>
        <v/>
      </c>
      <c r="C920" s="97" t="str">
        <f>IF(B922&lt;&gt;"",CONCATENATE("KE*ROA*E",$C$3,"*",B922),"")</f>
        <v/>
      </c>
    </row>
    <row r="921">
      <c r="A921" s="108"/>
      <c r="B921" s="13"/>
      <c r="C921" s="97"/>
    </row>
    <row r="922">
      <c r="A922" s="108"/>
      <c r="B922" s="109" t="str">
        <f>IF(B913&lt;$C$8,B913+1,"")</f>
        <v/>
      </c>
      <c r="C922" s="118" t="str">
        <f>IMAGE("https://api.qrserver.com/v1/create-qr-code/?size=150x150&amp;data="&amp;ENCODEURL(C920))</f>
        <v/>
      </c>
    </row>
    <row r="923">
      <c r="A923" s="108"/>
      <c r="C923" s="105"/>
    </row>
    <row r="924">
      <c r="A924" s="108"/>
      <c r="C924" s="105"/>
    </row>
    <row r="925">
      <c r="A925" s="108"/>
      <c r="C925" s="105"/>
    </row>
    <row r="926">
      <c r="A926" s="112"/>
      <c r="B926" s="113"/>
      <c r="C926" s="114"/>
    </row>
    <row r="927">
      <c r="A927" s="101"/>
      <c r="B927" s="102"/>
      <c r="C927" s="103"/>
    </row>
    <row r="928">
      <c r="A928" s="115"/>
      <c r="B928" s="116" t="str">
        <f>IF(B931&lt;&gt;"","SLOT CONTROLLER","")</f>
        <v/>
      </c>
      <c r="C928" s="117"/>
    </row>
    <row r="929">
      <c r="A929" s="108"/>
      <c r="B929" s="13" t="str">
        <f>IF(B931&lt;&gt;"","EVSE ID ","")</f>
        <v/>
      </c>
      <c r="C929" s="97" t="str">
        <f>IF(B931&lt;&gt;"",CONCATENATE("KE*ROA*E",$C$3,"*",B931),"")</f>
        <v/>
      </c>
    </row>
    <row r="930">
      <c r="A930" s="108"/>
      <c r="B930" s="13"/>
      <c r="C930" s="97"/>
    </row>
    <row r="931">
      <c r="A931" s="108"/>
      <c r="B931" s="109" t="str">
        <f>IF(B922&lt;$C$8,B922+1,"")</f>
        <v/>
      </c>
      <c r="C931" s="118" t="str">
        <f>IMAGE("https://api.qrserver.com/v1/create-qr-code/?size=150x150&amp;data="&amp;ENCODEURL(C929))</f>
        <v/>
      </c>
    </row>
    <row r="932">
      <c r="A932" s="108"/>
      <c r="C932" s="105"/>
    </row>
    <row r="933">
      <c r="A933" s="108"/>
      <c r="C933" s="105"/>
    </row>
    <row r="934">
      <c r="A934" s="108"/>
      <c r="C934" s="105"/>
    </row>
    <row r="935">
      <c r="A935" s="112"/>
      <c r="B935" s="113"/>
      <c r="C935" s="114"/>
    </row>
    <row r="936">
      <c r="A936" s="101"/>
      <c r="B936" s="102"/>
      <c r="C936" s="103"/>
    </row>
    <row r="937">
      <c r="A937" s="115"/>
      <c r="B937" s="116" t="str">
        <f>IF(B940&lt;&gt;"","SLOT CONTROLLER","")</f>
        <v/>
      </c>
      <c r="C937" s="117"/>
    </row>
    <row r="938">
      <c r="A938" s="108"/>
      <c r="B938" s="13" t="str">
        <f>IF(B940&lt;&gt;"","EVSE ID ","")</f>
        <v/>
      </c>
      <c r="C938" s="97" t="str">
        <f>IF(B940&lt;&gt;"",CONCATENATE("KE*ROA*E",$C$3,"*",B940),"")</f>
        <v/>
      </c>
    </row>
    <row r="939">
      <c r="A939" s="108"/>
      <c r="B939" s="13"/>
      <c r="C939" s="97"/>
    </row>
    <row r="940">
      <c r="A940" s="108"/>
      <c r="B940" s="109" t="str">
        <f>IF(B931&lt;$C$8,B931+1,"")</f>
        <v/>
      </c>
      <c r="C940" s="118" t="str">
        <f>IMAGE("https://api.qrserver.com/v1/create-qr-code/?size=150x150&amp;data="&amp;ENCODEURL(C938))</f>
        <v/>
      </c>
    </row>
    <row r="941">
      <c r="A941" s="108"/>
      <c r="C941" s="105"/>
    </row>
    <row r="942">
      <c r="A942" s="108"/>
      <c r="C942" s="105"/>
    </row>
    <row r="943">
      <c r="A943" s="108"/>
      <c r="C943" s="105"/>
    </row>
    <row r="944">
      <c r="A944" s="112"/>
      <c r="B944" s="113"/>
      <c r="C944" s="114"/>
    </row>
    <row r="945">
      <c r="A945" s="101"/>
      <c r="B945" s="102"/>
      <c r="C945" s="103"/>
    </row>
    <row r="946">
      <c r="A946" s="115"/>
      <c r="B946" s="116" t="str">
        <f>IF(B949&lt;&gt;"","SLOT CONTROLLER","")</f>
        <v/>
      </c>
      <c r="C946" s="117"/>
    </row>
    <row r="947">
      <c r="A947" s="108"/>
      <c r="B947" s="13" t="str">
        <f>IF(B949&lt;&gt;"","EVSE ID ","")</f>
        <v/>
      </c>
      <c r="C947" s="97" t="str">
        <f>IF(B949&lt;&gt;"",CONCATENATE("KE*ROA*E",$C$3,"*",B949),"")</f>
        <v/>
      </c>
    </row>
    <row r="948">
      <c r="A948" s="108"/>
      <c r="B948" s="13"/>
      <c r="C948" s="97"/>
    </row>
    <row r="949">
      <c r="A949" s="108"/>
      <c r="B949" s="109" t="str">
        <f>IF(B940&lt;$C$8,B940+1,"")</f>
        <v/>
      </c>
      <c r="C949" s="118" t="str">
        <f>IMAGE("https://api.qrserver.com/v1/create-qr-code/?size=150x150&amp;data="&amp;ENCODEURL(C947))</f>
        <v/>
      </c>
    </row>
    <row r="950">
      <c r="A950" s="108"/>
      <c r="C950" s="105"/>
    </row>
    <row r="951">
      <c r="A951" s="108"/>
      <c r="C951" s="105"/>
    </row>
    <row r="952">
      <c r="A952" s="108"/>
      <c r="C952" s="105"/>
    </row>
    <row r="953">
      <c r="A953" s="112"/>
      <c r="B953" s="113"/>
      <c r="C953" s="114"/>
    </row>
    <row r="954">
      <c r="A954" s="101"/>
      <c r="B954" s="102"/>
      <c r="C954" s="103"/>
    </row>
    <row r="955">
      <c r="A955" s="115"/>
      <c r="B955" s="116" t="str">
        <f>IF(B958&lt;&gt;"","SLOT CONTROLLER","")</f>
        <v/>
      </c>
      <c r="C955" s="117"/>
    </row>
    <row r="956">
      <c r="A956" s="108"/>
      <c r="B956" s="13" t="str">
        <f>IF(B958&lt;&gt;"","EVSE ID ","")</f>
        <v/>
      </c>
      <c r="C956" s="97" t="str">
        <f>IF(B958&lt;&gt;"",CONCATENATE("KE*ROA*E",$C$3,"*",B958),"")</f>
        <v/>
      </c>
    </row>
    <row r="957">
      <c r="A957" s="108"/>
      <c r="B957" s="13"/>
      <c r="C957" s="97"/>
    </row>
    <row r="958">
      <c r="A958" s="108"/>
      <c r="B958" s="109" t="str">
        <f>IF(B949&lt;$C$8,B949+1,"")</f>
        <v/>
      </c>
      <c r="C958" s="118" t="str">
        <f>IMAGE("https://api.qrserver.com/v1/create-qr-code/?size=150x150&amp;data="&amp;ENCODEURL(C956))</f>
        <v/>
      </c>
    </row>
    <row r="959">
      <c r="A959" s="108"/>
      <c r="C959" s="105"/>
    </row>
    <row r="960">
      <c r="A960" s="108"/>
      <c r="C960" s="105"/>
    </row>
    <row r="961">
      <c r="A961" s="108"/>
      <c r="C961" s="105"/>
    </row>
    <row r="962">
      <c r="A962" s="112"/>
      <c r="B962" s="113"/>
      <c r="C962" s="114"/>
    </row>
    <row r="963">
      <c r="A963" s="101"/>
      <c r="B963" s="102"/>
      <c r="C963" s="103"/>
    </row>
    <row r="964">
      <c r="A964" s="115"/>
      <c r="B964" s="116" t="str">
        <f>IF(B967&lt;&gt;"","SLOT CONTROLLER","")</f>
        <v/>
      </c>
      <c r="C964" s="117"/>
    </row>
    <row r="965">
      <c r="A965" s="108"/>
      <c r="B965" s="13" t="str">
        <f>IF(B967&lt;&gt;"","EVSE ID ","")</f>
        <v/>
      </c>
      <c r="C965" s="97" t="str">
        <f>IF(B967&lt;&gt;"",CONCATENATE("KE*ROA*E",$C$3,"*",B967),"")</f>
        <v/>
      </c>
    </row>
    <row r="966">
      <c r="A966" s="108"/>
      <c r="B966" s="13"/>
      <c r="C966" s="97"/>
    </row>
    <row r="967">
      <c r="A967" s="108"/>
      <c r="B967" s="109" t="str">
        <f>IF(B958&lt;$C$8,B958+1,"")</f>
        <v/>
      </c>
      <c r="C967" s="118" t="str">
        <f>IMAGE("https://api.qrserver.com/v1/create-qr-code/?size=150x150&amp;data="&amp;ENCODEURL(C965))</f>
        <v/>
      </c>
    </row>
    <row r="968">
      <c r="A968" s="108"/>
      <c r="C968" s="105"/>
    </row>
    <row r="969">
      <c r="A969" s="108"/>
      <c r="C969" s="105"/>
    </row>
    <row r="970">
      <c r="A970" s="108"/>
      <c r="C970" s="105"/>
    </row>
    <row r="971">
      <c r="A971" s="112"/>
      <c r="B971" s="113"/>
      <c r="C971" s="114"/>
    </row>
    <row r="972">
      <c r="A972" s="101"/>
      <c r="B972" s="102"/>
      <c r="C972" s="103"/>
    </row>
    <row r="973">
      <c r="A973" s="115"/>
      <c r="B973" s="116" t="str">
        <f>IF(B976&lt;&gt;"","SLOT CONTROLLER","")</f>
        <v/>
      </c>
      <c r="C973" s="117"/>
    </row>
    <row r="974">
      <c r="A974" s="108"/>
      <c r="B974" s="13" t="str">
        <f>IF(B976&lt;&gt;"","EVSE ID ","")</f>
        <v/>
      </c>
      <c r="C974" s="97" t="str">
        <f>IF(B976&lt;&gt;"",CONCATENATE("KE*ROA*E",$C$3,"*",B976),"")</f>
        <v/>
      </c>
    </row>
    <row r="975">
      <c r="A975" s="108"/>
      <c r="B975" s="13"/>
      <c r="C975" s="97"/>
    </row>
    <row r="976">
      <c r="A976" s="108"/>
      <c r="B976" s="109" t="str">
        <f>IF(B967&lt;$C$8,B967+1,"")</f>
        <v/>
      </c>
      <c r="C976" s="118" t="str">
        <f>IMAGE("https://api.qrserver.com/v1/create-qr-code/?size=150x150&amp;data="&amp;ENCODEURL(C974))</f>
        <v/>
      </c>
    </row>
    <row r="977">
      <c r="A977" s="108"/>
      <c r="C977" s="105"/>
    </row>
    <row r="978">
      <c r="A978" s="108"/>
      <c r="C978" s="105"/>
    </row>
    <row r="979">
      <c r="A979" s="108"/>
      <c r="C979" s="105"/>
    </row>
    <row r="980">
      <c r="A980" s="112"/>
      <c r="B980" s="113"/>
      <c r="C980" s="114"/>
    </row>
    <row r="981">
      <c r="A981" s="101"/>
      <c r="B981" s="102"/>
      <c r="C981" s="103"/>
    </row>
    <row r="982">
      <c r="A982" s="115"/>
      <c r="B982" s="116" t="str">
        <f>IF(B985&lt;&gt;"","SLOT CONTROLLER","")</f>
        <v/>
      </c>
      <c r="C982" s="117"/>
    </row>
    <row r="983">
      <c r="A983" s="108"/>
      <c r="B983" s="13" t="str">
        <f>IF(B985&lt;&gt;"","EVSE ID ","")</f>
        <v/>
      </c>
      <c r="C983" s="97" t="str">
        <f>IF(B985&lt;&gt;"",CONCATENATE("KE*ROA*E",$C$3,"*",B985),"")</f>
        <v/>
      </c>
    </row>
    <row r="984">
      <c r="A984" s="108"/>
      <c r="B984" s="13"/>
      <c r="C984" s="97"/>
    </row>
    <row r="985">
      <c r="A985" s="108"/>
      <c r="B985" s="109" t="str">
        <f>IF(B976&lt;$C$8,B976+1,"")</f>
        <v/>
      </c>
      <c r="C985" s="118" t="str">
        <f>IMAGE("https://api.qrserver.com/v1/create-qr-code/?size=150x150&amp;data="&amp;ENCODEURL(C983))</f>
        <v/>
      </c>
    </row>
    <row r="986">
      <c r="A986" s="108"/>
      <c r="C986" s="105"/>
    </row>
    <row r="987">
      <c r="A987" s="108"/>
      <c r="C987" s="105"/>
    </row>
    <row r="988">
      <c r="A988" s="108"/>
      <c r="C988" s="105"/>
    </row>
    <row r="989">
      <c r="A989" s="112"/>
      <c r="B989" s="113"/>
      <c r="C989" s="114"/>
    </row>
    <row r="990">
      <c r="A990" s="101"/>
      <c r="B990" s="102"/>
      <c r="C990" s="103"/>
    </row>
    <row r="991">
      <c r="A991" s="115"/>
      <c r="B991" s="116" t="str">
        <f>IF(B994&lt;&gt;"","SLOT CONTROLLER","")</f>
        <v/>
      </c>
      <c r="C991" s="117"/>
    </row>
    <row r="992">
      <c r="A992" s="108"/>
      <c r="B992" s="13" t="str">
        <f>IF(B994&lt;&gt;"","EVSE ID ","")</f>
        <v/>
      </c>
      <c r="C992" s="97" t="str">
        <f>IF(B994&lt;&gt;"",CONCATENATE("KE*ROA*E",$C$3,"*",B994),"")</f>
        <v/>
      </c>
    </row>
    <row r="993">
      <c r="A993" s="108"/>
      <c r="B993" s="13"/>
      <c r="C993" s="97"/>
    </row>
    <row r="994">
      <c r="A994" s="108"/>
      <c r="B994" s="109" t="str">
        <f>IF(B985&lt;$C$8,B985+1,"")</f>
        <v/>
      </c>
      <c r="C994" s="118" t="str">
        <f>IMAGE("https://api.qrserver.com/v1/create-qr-code/?size=150x150&amp;data="&amp;ENCODEURL(C992))</f>
        <v/>
      </c>
    </row>
    <row r="995">
      <c r="A995" s="108"/>
      <c r="C995" s="105"/>
    </row>
    <row r="996">
      <c r="A996" s="108"/>
      <c r="C996" s="105"/>
    </row>
    <row r="997">
      <c r="A997" s="108"/>
      <c r="C997" s="105"/>
    </row>
    <row r="998">
      <c r="A998" s="112"/>
      <c r="B998" s="113"/>
      <c r="C998" s="114"/>
    </row>
    <row r="999">
      <c r="A999" s="101"/>
      <c r="B999" s="102"/>
      <c r="C999" s="103"/>
    </row>
    <row r="1000">
      <c r="A1000" s="115"/>
      <c r="B1000" s="116" t="str">
        <f>IF(B1003&lt;&gt;"","SLOT CONTROLLER","")</f>
        <v/>
      </c>
      <c r="C1000" s="117"/>
    </row>
    <row r="1001">
      <c r="A1001" s="108"/>
      <c r="B1001" s="13" t="str">
        <f>IF(B1003&lt;&gt;"","EVSE ID ","")</f>
        <v/>
      </c>
      <c r="C1001" s="97" t="str">
        <f>IF(B1003&lt;&gt;"",CONCATENATE("KE*ROA*E",$C$3,"*",B1003),"")</f>
        <v/>
      </c>
    </row>
    <row r="1002">
      <c r="A1002" s="108"/>
      <c r="B1002" s="13"/>
      <c r="C1002" s="97"/>
    </row>
    <row r="1003">
      <c r="A1003" s="108"/>
      <c r="B1003" s="109" t="str">
        <f>IF(B994&lt;$C$8,B994+1,"")</f>
        <v/>
      </c>
      <c r="C1003" s="118" t="str">
        <f>IMAGE("https://api.qrserver.com/v1/create-qr-code/?size=150x150&amp;data="&amp;ENCODEURL(C1001))</f>
        <v/>
      </c>
    </row>
    <row r="1004">
      <c r="A1004" s="108"/>
      <c r="C1004" s="105"/>
    </row>
    <row r="1005">
      <c r="A1005" s="108"/>
      <c r="C1005" s="105"/>
    </row>
    <row r="1006">
      <c r="A1006" s="108"/>
      <c r="C1006" s="105"/>
    </row>
    <row r="1007">
      <c r="A1007" s="112"/>
      <c r="B1007" s="113"/>
      <c r="C1007" s="114"/>
    </row>
    <row r="1008">
      <c r="A1008" s="101"/>
      <c r="B1008" s="102"/>
      <c r="C1008" s="103"/>
    </row>
    <row r="1009">
      <c r="A1009" s="115"/>
      <c r="B1009" s="116" t="str">
        <f>IF(B1012&lt;&gt;"","SLOT CONTROLLER","")</f>
        <v/>
      </c>
      <c r="C1009" s="117"/>
    </row>
    <row r="1010">
      <c r="A1010" s="108"/>
      <c r="B1010" s="13" t="str">
        <f>IF(B1012&lt;&gt;"","EVSE ID ","")</f>
        <v/>
      </c>
      <c r="C1010" s="97" t="str">
        <f>IF(B1012&lt;&gt;"",CONCATENATE("KE*ROA*E",$C$3,"*",B1012),"")</f>
        <v/>
      </c>
    </row>
    <row r="1011">
      <c r="A1011" s="108"/>
      <c r="B1011" s="13"/>
      <c r="C1011" s="97"/>
    </row>
    <row r="1012">
      <c r="A1012" s="108"/>
      <c r="B1012" s="109" t="str">
        <f>IF(B1003&lt;$C$8,B1003+1,"")</f>
        <v/>
      </c>
      <c r="C1012" s="118" t="str">
        <f>IMAGE("https://api.qrserver.com/v1/create-qr-code/?size=150x150&amp;data="&amp;ENCODEURL(C1010))</f>
        <v/>
      </c>
    </row>
    <row r="1013">
      <c r="A1013" s="108"/>
      <c r="C1013" s="105"/>
    </row>
    <row r="1014">
      <c r="A1014" s="108"/>
      <c r="C1014" s="105"/>
    </row>
    <row r="1015">
      <c r="A1015" s="108"/>
      <c r="C1015" s="105"/>
    </row>
    <row r="1016">
      <c r="A1016" s="112"/>
      <c r="B1016" s="113"/>
      <c r="C1016" s="114"/>
    </row>
  </sheetData>
  <mergeCells count="227">
    <mergeCell ref="B787:B790"/>
    <mergeCell ref="C787:C790"/>
    <mergeCell ref="B796:B799"/>
    <mergeCell ref="C796:C799"/>
    <mergeCell ref="B805:B808"/>
    <mergeCell ref="C805:C808"/>
    <mergeCell ref="C814:C817"/>
    <mergeCell ref="B814:B817"/>
    <mergeCell ref="B823:B826"/>
    <mergeCell ref="C823:C826"/>
    <mergeCell ref="B832:B835"/>
    <mergeCell ref="C832:C835"/>
    <mergeCell ref="B841:B844"/>
    <mergeCell ref="C841:C844"/>
    <mergeCell ref="B850:B853"/>
    <mergeCell ref="C850:C853"/>
    <mergeCell ref="B859:B862"/>
    <mergeCell ref="C859:C862"/>
    <mergeCell ref="B868:B871"/>
    <mergeCell ref="C868:C871"/>
    <mergeCell ref="C877:C880"/>
    <mergeCell ref="B877:B880"/>
    <mergeCell ref="B886:B889"/>
    <mergeCell ref="C886:C889"/>
    <mergeCell ref="B895:B898"/>
    <mergeCell ref="C895:C898"/>
    <mergeCell ref="B904:B907"/>
    <mergeCell ref="C904:C907"/>
    <mergeCell ref="B913:B916"/>
    <mergeCell ref="C913:C916"/>
    <mergeCell ref="B922:B925"/>
    <mergeCell ref="C922:C925"/>
    <mergeCell ref="B931:B934"/>
    <mergeCell ref="C931:C934"/>
    <mergeCell ref="C940:C943"/>
    <mergeCell ref="B940:B943"/>
    <mergeCell ref="B949:B952"/>
    <mergeCell ref="C949:C952"/>
    <mergeCell ref="B958:B961"/>
    <mergeCell ref="C958:C961"/>
    <mergeCell ref="B967:B970"/>
    <mergeCell ref="C967:C970"/>
    <mergeCell ref="B220:B223"/>
    <mergeCell ref="C220:C223"/>
    <mergeCell ref="B229:B232"/>
    <mergeCell ref="C229:C232"/>
    <mergeCell ref="B238:B241"/>
    <mergeCell ref="C238:C241"/>
    <mergeCell ref="C247:C250"/>
    <mergeCell ref="B247:B250"/>
    <mergeCell ref="B256:B259"/>
    <mergeCell ref="C256:C259"/>
    <mergeCell ref="B265:B268"/>
    <mergeCell ref="C265:C268"/>
    <mergeCell ref="B274:B277"/>
    <mergeCell ref="C274:C277"/>
    <mergeCell ref="B283:B286"/>
    <mergeCell ref="C283:C286"/>
    <mergeCell ref="B292:B295"/>
    <mergeCell ref="C292:C295"/>
    <mergeCell ref="B301:B304"/>
    <mergeCell ref="C301:C304"/>
    <mergeCell ref="C310:C313"/>
    <mergeCell ref="B310:B313"/>
    <mergeCell ref="B319:B322"/>
    <mergeCell ref="C319:C322"/>
    <mergeCell ref="B328:B331"/>
    <mergeCell ref="C328:C331"/>
    <mergeCell ref="B337:B340"/>
    <mergeCell ref="C337:C340"/>
    <mergeCell ref="B346:B349"/>
    <mergeCell ref="C346:C349"/>
    <mergeCell ref="B355:B358"/>
    <mergeCell ref="C355:C358"/>
    <mergeCell ref="B364:B367"/>
    <mergeCell ref="C364:C367"/>
    <mergeCell ref="C373:C376"/>
    <mergeCell ref="B373:B376"/>
    <mergeCell ref="B382:B385"/>
    <mergeCell ref="C382:C385"/>
    <mergeCell ref="B391:B394"/>
    <mergeCell ref="C391:C394"/>
    <mergeCell ref="B400:B403"/>
    <mergeCell ref="C400:C403"/>
    <mergeCell ref="B1003:B1006"/>
    <mergeCell ref="B1012:B1015"/>
    <mergeCell ref="C1012:C1015"/>
    <mergeCell ref="B976:B979"/>
    <mergeCell ref="C976:C979"/>
    <mergeCell ref="B985:B988"/>
    <mergeCell ref="C985:C988"/>
    <mergeCell ref="B994:B997"/>
    <mergeCell ref="C994:C997"/>
    <mergeCell ref="C1003:C1006"/>
    <mergeCell ref="A1:B8"/>
    <mergeCell ref="A10:C10"/>
    <mergeCell ref="A11:C11"/>
    <mergeCell ref="A12:C12"/>
    <mergeCell ref="A14:C16"/>
    <mergeCell ref="B22:B25"/>
    <mergeCell ref="C22:C25"/>
    <mergeCell ref="B31:B34"/>
    <mergeCell ref="C31:C34"/>
    <mergeCell ref="B40:B43"/>
    <mergeCell ref="C40:C43"/>
    <mergeCell ref="B49:B52"/>
    <mergeCell ref="C49:C52"/>
    <mergeCell ref="C58:C61"/>
    <mergeCell ref="B58:B61"/>
    <mergeCell ref="B67:B70"/>
    <mergeCell ref="C67:C70"/>
    <mergeCell ref="B76:B79"/>
    <mergeCell ref="C76:C79"/>
    <mergeCell ref="B85:B88"/>
    <mergeCell ref="C85:C88"/>
    <mergeCell ref="B94:B97"/>
    <mergeCell ref="C94:C97"/>
    <mergeCell ref="B103:B106"/>
    <mergeCell ref="C103:C106"/>
    <mergeCell ref="B112:B115"/>
    <mergeCell ref="C112:C115"/>
    <mergeCell ref="C121:C124"/>
    <mergeCell ref="B121:B124"/>
    <mergeCell ref="B130:B133"/>
    <mergeCell ref="C130:C133"/>
    <mergeCell ref="B139:B142"/>
    <mergeCell ref="C139:C142"/>
    <mergeCell ref="B148:B151"/>
    <mergeCell ref="C148:C151"/>
    <mergeCell ref="B157:B160"/>
    <mergeCell ref="C157:C160"/>
    <mergeCell ref="B166:B169"/>
    <mergeCell ref="C166:C169"/>
    <mergeCell ref="B175:B178"/>
    <mergeCell ref="C175:C178"/>
    <mergeCell ref="C184:C187"/>
    <mergeCell ref="B184:B187"/>
    <mergeCell ref="B193:B196"/>
    <mergeCell ref="C193:C196"/>
    <mergeCell ref="B202:B205"/>
    <mergeCell ref="C202:C205"/>
    <mergeCell ref="B211:B214"/>
    <mergeCell ref="C211:C214"/>
    <mergeCell ref="B409:B412"/>
    <mergeCell ref="C409:C412"/>
    <mergeCell ref="B418:B421"/>
    <mergeCell ref="C418:C421"/>
    <mergeCell ref="B427:B430"/>
    <mergeCell ref="C427:C430"/>
    <mergeCell ref="C436:C439"/>
    <mergeCell ref="B436:B439"/>
    <mergeCell ref="B445:B448"/>
    <mergeCell ref="C445:C448"/>
    <mergeCell ref="B454:B457"/>
    <mergeCell ref="C454:C457"/>
    <mergeCell ref="B463:B466"/>
    <mergeCell ref="C463:C466"/>
    <mergeCell ref="B472:B475"/>
    <mergeCell ref="C472:C475"/>
    <mergeCell ref="B481:B484"/>
    <mergeCell ref="C481:C484"/>
    <mergeCell ref="B490:B493"/>
    <mergeCell ref="C490:C493"/>
    <mergeCell ref="C499:C502"/>
    <mergeCell ref="B499:B502"/>
    <mergeCell ref="B508:B511"/>
    <mergeCell ref="C508:C511"/>
    <mergeCell ref="B517:B520"/>
    <mergeCell ref="C517:C520"/>
    <mergeCell ref="B526:B529"/>
    <mergeCell ref="C526:C529"/>
    <mergeCell ref="B535:B538"/>
    <mergeCell ref="C535:C538"/>
    <mergeCell ref="B544:B547"/>
    <mergeCell ref="C544:C547"/>
    <mergeCell ref="B553:B556"/>
    <mergeCell ref="C553:C556"/>
    <mergeCell ref="C562:C565"/>
    <mergeCell ref="B562:B565"/>
    <mergeCell ref="B571:B574"/>
    <mergeCell ref="C571:C574"/>
    <mergeCell ref="B580:B583"/>
    <mergeCell ref="C580:C583"/>
    <mergeCell ref="B589:B592"/>
    <mergeCell ref="C589:C592"/>
    <mergeCell ref="B598:B601"/>
    <mergeCell ref="C598:C601"/>
    <mergeCell ref="B607:B610"/>
    <mergeCell ref="C607:C610"/>
    <mergeCell ref="B616:B619"/>
    <mergeCell ref="C616:C619"/>
    <mergeCell ref="C625:C628"/>
    <mergeCell ref="B625:B628"/>
    <mergeCell ref="B634:B637"/>
    <mergeCell ref="C634:C637"/>
    <mergeCell ref="B643:B646"/>
    <mergeCell ref="C643:C646"/>
    <mergeCell ref="B652:B655"/>
    <mergeCell ref="C652:C655"/>
    <mergeCell ref="B661:B664"/>
    <mergeCell ref="C661:C664"/>
    <mergeCell ref="B670:B673"/>
    <mergeCell ref="C670:C673"/>
    <mergeCell ref="B679:B682"/>
    <mergeCell ref="C679:C682"/>
    <mergeCell ref="C688:C691"/>
    <mergeCell ref="B688:B691"/>
    <mergeCell ref="B697:B700"/>
    <mergeCell ref="C697:C700"/>
    <mergeCell ref="B706:B709"/>
    <mergeCell ref="C706:C709"/>
    <mergeCell ref="B715:B718"/>
    <mergeCell ref="C715:C718"/>
    <mergeCell ref="B724:B727"/>
    <mergeCell ref="C724:C727"/>
    <mergeCell ref="B733:B736"/>
    <mergeCell ref="C733:C736"/>
    <mergeCell ref="B742:B745"/>
    <mergeCell ref="C742:C745"/>
    <mergeCell ref="C751:C754"/>
    <mergeCell ref="B751:B754"/>
    <mergeCell ref="B760:B763"/>
    <mergeCell ref="C760:C763"/>
    <mergeCell ref="B769:B772"/>
    <mergeCell ref="C769:C772"/>
    <mergeCell ref="B778:B781"/>
    <mergeCell ref="C778:C781"/>
  </mergeCells>
  <dataValidations>
    <dataValidation type="list" allowBlank="1" showErrorMessage="1" sqref="C3">
      <formula1>'RH - KE'!$H$3:$H1016</formula1>
    </dataValidation>
  </dataValidations>
  <printOptions horizontalCentered="1" verticalCentered="1"/>
  <pageMargins bottom="0.03937007874015748" footer="0.0" header="0.0" left="0.03937007874015748" right="0.03937007874015748" top="0.03937007874015748"/>
  <pageSetup orientation="landscape" pageOrder="overThenDown" paperHeight="1.3976377952755905in" paperWidth="1.968503937007874in"/>
  <rowBreaks count="73" manualBreakCount="73">
    <brk id="512" man="1"/>
    <brk id="386" man="1"/>
    <brk id="260" man="1"/>
    <brk id="134" man="1"/>
    <brk id="647" man="1"/>
    <brk id="8" man="1"/>
    <brk id="521" man="1"/>
    <brk id="395" man="1"/>
    <brk id="269" man="1"/>
    <brk id="143" man="1"/>
    <brk id="656" man="1"/>
    <brk id="17" man="1"/>
    <brk id="530" man="1"/>
    <brk id="404" man="1"/>
    <brk id="278" man="1"/>
    <brk id="152" man="1"/>
    <brk id="26" man="1"/>
    <brk id="539" man="1"/>
    <brk id="413" man="1"/>
    <brk id="287" man="1"/>
    <brk id="161" man="1"/>
    <brk id="35" man="1"/>
    <brk id="548" man="1"/>
    <brk id="422" man="1"/>
    <brk id="296" man="1"/>
    <brk id="170" man="1"/>
    <brk id="44" man="1"/>
    <brk id="557" man="1"/>
    <brk id="431" man="1"/>
    <brk id="305" man="1"/>
    <brk id="179" man="1"/>
    <brk id="53" man="1"/>
    <brk id="566" man="1"/>
    <brk id="440" man="1"/>
    <brk id="314" man="1"/>
    <brk id="188" man="1"/>
    <brk id="62" man="1"/>
    <brk id="575" man="1"/>
    <brk id="449" man="1"/>
    <brk id="323" man="1"/>
    <brk id="197" man="1"/>
    <brk id="71" man="1"/>
    <brk id="584" man="1"/>
    <brk id="458" man="1"/>
    <brk id="332" man="1"/>
    <brk id="206" man="1"/>
    <brk id="80" man="1"/>
    <brk id="593" man="1"/>
    <brk id="467" man="1"/>
    <brk id="341" man="1"/>
    <brk id="215" man="1"/>
    <brk id="89" man="1"/>
    <brk id="602" man="1"/>
    <brk id="476" man="1"/>
    <brk id="350" man="1"/>
    <brk id="224" man="1"/>
    <brk id="98" man="1"/>
    <brk id="611" man="1"/>
    <brk id="485" man="1"/>
    <brk id="359" man="1"/>
    <brk id="233" man="1"/>
    <brk id="107" man="1"/>
    <brk id="620" man="1"/>
    <brk id="494" man="1"/>
    <brk id="368" man="1"/>
    <brk id="242" man="1"/>
    <brk id="116" man="1"/>
    <brk id="629" man="1"/>
    <brk id="503" man="1"/>
    <brk id="377" man="1"/>
    <brk id="251" man="1"/>
    <brk id="125" man="1"/>
    <brk id="638" man="1"/>
  </rowBreaks>
  <colBreaks count="2" manualBreakCount="2">
    <brk man="1"/>
    <brk id="3" man="1"/>
  </col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0"/>
    <col customWidth="1" min="2" max="2" width="8.88"/>
    <col customWidth="1" min="3" max="3" width="23.25"/>
  </cols>
  <sheetData>
    <row r="1">
      <c r="A1" s="91" t="s">
        <v>863</v>
      </c>
      <c r="B1" s="92"/>
      <c r="C1" s="93" t="s">
        <v>864</v>
      </c>
    </row>
    <row r="2">
      <c r="A2" s="94"/>
      <c r="C2" s="95" t="s">
        <v>249</v>
      </c>
    </row>
    <row r="3">
      <c r="A3" s="94"/>
      <c r="C3" s="96" t="s">
        <v>871</v>
      </c>
    </row>
    <row r="4">
      <c r="A4" s="94"/>
      <c r="C4" s="97" t="str">
        <f>VLOOKUP(C3,'RH - KE'!H:N,7,FALSE)</f>
        <v>Roam Hub - Wayaki Way</v>
      </c>
    </row>
    <row r="5">
      <c r="A5" s="94"/>
      <c r="C5" s="95" t="s">
        <v>872</v>
      </c>
    </row>
    <row r="6">
      <c r="A6" s="94"/>
      <c r="C6" s="96" t="s">
        <v>873</v>
      </c>
    </row>
    <row r="7">
      <c r="A7" s="94"/>
      <c r="C7" s="95" t="s">
        <v>874</v>
      </c>
    </row>
    <row r="8">
      <c r="A8" s="94"/>
      <c r="C8" s="98">
        <v>1.0</v>
      </c>
    </row>
    <row r="9">
      <c r="A9" s="94"/>
      <c r="C9" s="95" t="s">
        <v>867</v>
      </c>
    </row>
    <row r="10">
      <c r="A10" s="99"/>
      <c r="B10" s="100"/>
      <c r="C10" s="98">
        <v>18.0</v>
      </c>
    </row>
    <row r="11">
      <c r="A11" s="101"/>
      <c r="B11" s="102"/>
      <c r="C11" s="103"/>
    </row>
    <row r="12">
      <c r="A12" s="115"/>
      <c r="B12" s="116" t="s">
        <v>875</v>
      </c>
      <c r="C12" s="117"/>
    </row>
    <row r="13">
      <c r="A13" s="108"/>
      <c r="B13" s="13" t="s">
        <v>876</v>
      </c>
      <c r="C13" s="97" t="str">
        <f>C6</f>
        <v>10002048.A1</v>
      </c>
    </row>
    <row r="14">
      <c r="A14" s="108"/>
      <c r="B14" s="13"/>
      <c r="C14" s="97"/>
    </row>
    <row r="15">
      <c r="A15" s="108"/>
      <c r="B15" s="109">
        <f>C8</f>
        <v>1</v>
      </c>
      <c r="C15" s="118" t="str">
        <f>IMAGE("https://api.qrserver.com/v1/create-qr-code/?size=150x150&amp;data="&amp;ENCODEURL(C13))</f>
        <v/>
      </c>
    </row>
    <row r="16">
      <c r="A16" s="108"/>
      <c r="C16" s="105"/>
    </row>
    <row r="17">
      <c r="A17" s="108"/>
      <c r="C17" s="105"/>
    </row>
    <row r="18">
      <c r="A18" s="108"/>
      <c r="C18" s="105"/>
    </row>
    <row r="19">
      <c r="A19" s="112"/>
      <c r="B19" s="113"/>
      <c r="C19" s="114"/>
    </row>
    <row r="20">
      <c r="A20" s="101"/>
      <c r="B20" s="102"/>
      <c r="C20" s="103"/>
    </row>
    <row r="21">
      <c r="A21" s="115"/>
      <c r="B21" s="116" t="str">
        <f>IF(B24&lt;&gt;"","FAST CHARGER","")</f>
        <v>FAST CHARGER</v>
      </c>
      <c r="C21" s="117"/>
    </row>
    <row r="22">
      <c r="A22" s="108"/>
      <c r="B22" s="13" t="str">
        <f>IF(B33&lt;&gt;"","ITEM NO.","")</f>
        <v>ITEM NO.</v>
      </c>
      <c r="C22" s="97" t="str">
        <f>IF(B24&lt;&gt;"",$C$6,"")</f>
        <v>10002048.A1</v>
      </c>
    </row>
    <row r="23">
      <c r="A23" s="108"/>
      <c r="B23" s="13"/>
      <c r="C23" s="97"/>
    </row>
    <row r="24">
      <c r="A24" s="108"/>
      <c r="B24" s="109">
        <f>IF(B15&lt;$C$10,B15+1,"")</f>
        <v>2</v>
      </c>
      <c r="C24" s="118" t="str">
        <f>IMAGE("https://api.qrserver.com/v1/create-qr-code/?size=150x150&amp;data="&amp;ENCODEURL(C22))</f>
        <v/>
      </c>
    </row>
    <row r="25">
      <c r="A25" s="108"/>
      <c r="C25" s="105"/>
    </row>
    <row r="26">
      <c r="A26" s="108"/>
      <c r="C26" s="105"/>
    </row>
    <row r="27">
      <c r="A27" s="108"/>
      <c r="C27" s="105"/>
    </row>
    <row r="28">
      <c r="A28" s="112"/>
      <c r="B28" s="113"/>
      <c r="C28" s="114"/>
    </row>
    <row r="29">
      <c r="A29" s="101"/>
      <c r="B29" s="102"/>
      <c r="C29" s="103"/>
    </row>
    <row r="30">
      <c r="A30" s="115"/>
      <c r="B30" s="116" t="str">
        <f>IF(B33&lt;&gt;"","FAST CHARGER","")</f>
        <v>FAST CHARGER</v>
      </c>
      <c r="C30" s="117"/>
    </row>
    <row r="31">
      <c r="A31" s="108"/>
      <c r="B31" s="13" t="str">
        <f>IF(B42&lt;&gt;"","ITEM NO.","")</f>
        <v>ITEM NO.</v>
      </c>
      <c r="C31" s="97" t="str">
        <f>IF(B33&lt;&gt;"",$C$6,"")</f>
        <v>10002048.A1</v>
      </c>
    </row>
    <row r="32">
      <c r="A32" s="108"/>
      <c r="B32" s="13"/>
      <c r="C32" s="97"/>
    </row>
    <row r="33">
      <c r="A33" s="108"/>
      <c r="B33" s="109">
        <f>IF(B24&lt;$C$10,B24+1,"")</f>
        <v>3</v>
      </c>
      <c r="C33" s="118" t="str">
        <f>IMAGE("https://api.qrserver.com/v1/create-qr-code/?size=150x150&amp;data="&amp;ENCODEURL(C31))</f>
        <v/>
      </c>
    </row>
    <row r="34">
      <c r="A34" s="108"/>
      <c r="C34" s="105"/>
    </row>
    <row r="35">
      <c r="A35" s="108"/>
      <c r="C35" s="105"/>
    </row>
    <row r="36">
      <c r="A36" s="108"/>
      <c r="C36" s="105"/>
    </row>
    <row r="37">
      <c r="A37" s="112"/>
      <c r="B37" s="113"/>
      <c r="C37" s="114"/>
    </row>
    <row r="38">
      <c r="A38" s="101"/>
      <c r="B38" s="102"/>
      <c r="C38" s="103"/>
    </row>
    <row r="39">
      <c r="A39" s="115"/>
      <c r="B39" s="116" t="str">
        <f>IF(B42&lt;&gt;"","FAST CHARGER","")</f>
        <v>FAST CHARGER</v>
      </c>
      <c r="C39" s="117"/>
    </row>
    <row r="40">
      <c r="A40" s="108"/>
      <c r="B40" s="13" t="str">
        <f>IF(B51&lt;&gt;"","ITEM NO.","")</f>
        <v>ITEM NO.</v>
      </c>
      <c r="C40" s="97" t="str">
        <f>IF(B42&lt;&gt;"",$C$6,"")</f>
        <v>10002048.A1</v>
      </c>
    </row>
    <row r="41">
      <c r="A41" s="108"/>
      <c r="B41" s="13"/>
      <c r="C41" s="97"/>
    </row>
    <row r="42">
      <c r="A42" s="108"/>
      <c r="B42" s="109">
        <f>IF(B33&lt;$C$10,B33+1,"")</f>
        <v>4</v>
      </c>
      <c r="C42" s="118" t="str">
        <f>IMAGE("https://api.qrserver.com/v1/create-qr-code/?size=150x150&amp;data="&amp;ENCODEURL(C40))</f>
        <v/>
      </c>
    </row>
    <row r="43">
      <c r="A43" s="108"/>
      <c r="C43" s="105"/>
    </row>
    <row r="44">
      <c r="A44" s="108"/>
      <c r="C44" s="105"/>
    </row>
    <row r="45">
      <c r="A45" s="108"/>
      <c r="C45" s="105"/>
    </row>
    <row r="46">
      <c r="A46" s="112"/>
      <c r="B46" s="113"/>
      <c r="C46" s="114"/>
    </row>
    <row r="47">
      <c r="A47" s="101"/>
      <c r="B47" s="102"/>
      <c r="C47" s="103"/>
    </row>
    <row r="48">
      <c r="A48" s="115"/>
      <c r="B48" s="116" t="str">
        <f>IF(B51&lt;&gt;"","FAST CHARGER","")</f>
        <v>FAST CHARGER</v>
      </c>
      <c r="C48" s="117"/>
    </row>
    <row r="49">
      <c r="A49" s="108"/>
      <c r="B49" s="13" t="str">
        <f>IF(B60&lt;&gt;"","ITEM NO.","")</f>
        <v>ITEM NO.</v>
      </c>
      <c r="C49" s="97" t="str">
        <f>IF(B51&lt;&gt;"",$C$6,"")</f>
        <v>10002048.A1</v>
      </c>
    </row>
    <row r="50">
      <c r="A50" s="108"/>
      <c r="B50" s="13"/>
      <c r="C50" s="97"/>
    </row>
    <row r="51">
      <c r="A51" s="108"/>
      <c r="B51" s="109">
        <f>IF(B42&lt;$C$10,B42+1,"")</f>
        <v>5</v>
      </c>
      <c r="C51" s="118" t="str">
        <f>IMAGE("https://api.qrserver.com/v1/create-qr-code/?size=150x150&amp;data="&amp;ENCODEURL(C49))</f>
        <v/>
      </c>
    </row>
    <row r="52">
      <c r="A52" s="108"/>
      <c r="C52" s="105"/>
    </row>
    <row r="53">
      <c r="A53" s="108"/>
      <c r="C53" s="105"/>
    </row>
    <row r="54">
      <c r="A54" s="108"/>
      <c r="C54" s="105"/>
    </row>
    <row r="55">
      <c r="A55" s="112"/>
      <c r="B55" s="113"/>
      <c r="C55" s="114"/>
    </row>
    <row r="56">
      <c r="A56" s="101"/>
      <c r="B56" s="102"/>
      <c r="C56" s="103"/>
    </row>
    <row r="57">
      <c r="A57" s="115"/>
      <c r="B57" s="116" t="str">
        <f>IF(B60&lt;&gt;"","FAST CHARGER","")</f>
        <v>FAST CHARGER</v>
      </c>
      <c r="C57" s="117"/>
    </row>
    <row r="58">
      <c r="A58" s="108"/>
      <c r="B58" s="13" t="str">
        <f>IF(B69&lt;&gt;"","ITEM NO.","")</f>
        <v>ITEM NO.</v>
      </c>
      <c r="C58" s="97" t="str">
        <f>IF(B60&lt;&gt;"",$C$6,"")</f>
        <v>10002048.A1</v>
      </c>
    </row>
    <row r="59">
      <c r="A59" s="108"/>
      <c r="B59" s="13"/>
      <c r="C59" s="97"/>
    </row>
    <row r="60">
      <c r="A60" s="108"/>
      <c r="B60" s="109">
        <f>IF(B51&lt;$C$10,B51+1,"")</f>
        <v>6</v>
      </c>
      <c r="C60" s="118" t="str">
        <f>IMAGE("https://api.qrserver.com/v1/create-qr-code/?size=150x150&amp;data="&amp;ENCODEURL(C58))</f>
        <v/>
      </c>
    </row>
    <row r="61">
      <c r="A61" s="108"/>
      <c r="C61" s="105"/>
    </row>
    <row r="62">
      <c r="A62" s="108"/>
      <c r="C62" s="105"/>
    </row>
    <row r="63">
      <c r="A63" s="108"/>
      <c r="C63" s="105"/>
    </row>
    <row r="64">
      <c r="A64" s="112"/>
      <c r="B64" s="113"/>
      <c r="C64" s="114"/>
    </row>
    <row r="65">
      <c r="A65" s="101"/>
      <c r="B65" s="102"/>
      <c r="C65" s="103"/>
    </row>
    <row r="66">
      <c r="A66" s="115"/>
      <c r="B66" s="116" t="str">
        <f>IF(B69&lt;&gt;"","FAST CHARGER","")</f>
        <v>FAST CHARGER</v>
      </c>
      <c r="C66" s="117"/>
    </row>
    <row r="67">
      <c r="A67" s="108"/>
      <c r="B67" s="13" t="str">
        <f>IF(B78&lt;&gt;"","ITEM NO.","")</f>
        <v>ITEM NO.</v>
      </c>
      <c r="C67" s="97" t="str">
        <f>IF(B69&lt;&gt;"",$C$6,"")</f>
        <v>10002048.A1</v>
      </c>
    </row>
    <row r="68">
      <c r="A68" s="108"/>
      <c r="B68" s="13"/>
      <c r="C68" s="97"/>
    </row>
    <row r="69">
      <c r="A69" s="108"/>
      <c r="B69" s="109">
        <f>IF(B60&lt;$C$10,B60+1,"")</f>
        <v>7</v>
      </c>
      <c r="C69" s="118" t="str">
        <f>IMAGE("https://api.qrserver.com/v1/create-qr-code/?size=150x150&amp;data="&amp;ENCODEURL(C67))</f>
        <v/>
      </c>
    </row>
    <row r="70">
      <c r="A70" s="108"/>
      <c r="C70" s="105"/>
    </row>
    <row r="71">
      <c r="A71" s="108"/>
      <c r="C71" s="105"/>
    </row>
    <row r="72">
      <c r="A72" s="108"/>
      <c r="C72" s="105"/>
    </row>
    <row r="73">
      <c r="A73" s="112"/>
      <c r="B73" s="113"/>
      <c r="C73" s="114"/>
    </row>
    <row r="74">
      <c r="A74" s="101"/>
      <c r="B74" s="102"/>
      <c r="C74" s="103"/>
    </row>
    <row r="75">
      <c r="A75" s="115"/>
      <c r="B75" s="116" t="str">
        <f>IF(B78&lt;&gt;"","FAST CHARGER","")</f>
        <v>FAST CHARGER</v>
      </c>
      <c r="C75" s="117"/>
    </row>
    <row r="76">
      <c r="A76" s="108"/>
      <c r="B76" s="13" t="str">
        <f>IF(B87&lt;&gt;"","ITEM NO.","")</f>
        <v>ITEM NO.</v>
      </c>
      <c r="C76" s="97" t="str">
        <f>IF(B78&lt;&gt;"",$C$6,"")</f>
        <v>10002048.A1</v>
      </c>
    </row>
    <row r="77">
      <c r="A77" s="108"/>
      <c r="B77" s="13"/>
      <c r="C77" s="97"/>
    </row>
    <row r="78">
      <c r="A78" s="108"/>
      <c r="B78" s="109">
        <f>IF(B69&lt;$C$10,B69+1,"")</f>
        <v>8</v>
      </c>
      <c r="C78" s="118" t="str">
        <f>IMAGE("https://api.qrserver.com/v1/create-qr-code/?size=150x150&amp;data="&amp;ENCODEURL(C76))</f>
        <v/>
      </c>
    </row>
    <row r="79">
      <c r="A79" s="108"/>
      <c r="C79" s="105"/>
    </row>
    <row r="80">
      <c r="A80" s="108"/>
      <c r="C80" s="105"/>
    </row>
    <row r="81">
      <c r="A81" s="108"/>
      <c r="C81" s="105"/>
    </row>
    <row r="82">
      <c r="A82" s="112"/>
      <c r="B82" s="113"/>
      <c r="C82" s="114"/>
    </row>
    <row r="83">
      <c r="A83" s="101"/>
      <c r="B83" s="102"/>
      <c r="C83" s="103"/>
    </row>
    <row r="84">
      <c r="A84" s="115"/>
      <c r="B84" s="116" t="str">
        <f>IF(B87&lt;&gt;"","FAST CHARGER","")</f>
        <v>FAST CHARGER</v>
      </c>
      <c r="C84" s="117"/>
    </row>
    <row r="85">
      <c r="A85" s="108"/>
      <c r="B85" s="13" t="str">
        <f>IF(B96&lt;&gt;"","ITEM NO.","")</f>
        <v>ITEM NO.</v>
      </c>
      <c r="C85" s="97" t="str">
        <f>IF(B87&lt;&gt;"",$C$6,"")</f>
        <v>10002048.A1</v>
      </c>
    </row>
    <row r="86">
      <c r="A86" s="108"/>
      <c r="B86" s="13"/>
      <c r="C86" s="97"/>
    </row>
    <row r="87">
      <c r="A87" s="108"/>
      <c r="B87" s="109">
        <f>IF(B78&lt;$C$10,B78+1,"")</f>
        <v>9</v>
      </c>
      <c r="C87" s="118" t="str">
        <f>IMAGE("https://api.qrserver.com/v1/create-qr-code/?size=150x150&amp;data="&amp;ENCODEURL(C85))</f>
        <v/>
      </c>
    </row>
    <row r="88">
      <c r="A88" s="108"/>
      <c r="C88" s="105"/>
    </row>
    <row r="89">
      <c r="A89" s="108"/>
      <c r="C89" s="105"/>
    </row>
    <row r="90">
      <c r="A90" s="108"/>
      <c r="C90" s="105"/>
    </row>
    <row r="91">
      <c r="A91" s="112"/>
      <c r="B91" s="113"/>
      <c r="C91" s="114"/>
    </row>
    <row r="92">
      <c r="A92" s="101"/>
      <c r="B92" s="102"/>
      <c r="C92" s="103"/>
    </row>
    <row r="93">
      <c r="A93" s="115"/>
      <c r="B93" s="116" t="str">
        <f>IF(B96&lt;&gt;"","FAST CHARGER","")</f>
        <v>FAST CHARGER</v>
      </c>
      <c r="C93" s="117"/>
    </row>
    <row r="94">
      <c r="A94" s="108"/>
      <c r="B94" s="13" t="str">
        <f>IF(B105&lt;&gt;"","ITEM NO.","")</f>
        <v>ITEM NO.</v>
      </c>
      <c r="C94" s="97" t="str">
        <f>IF(B96&lt;&gt;"",$C$6,"")</f>
        <v>10002048.A1</v>
      </c>
    </row>
    <row r="95">
      <c r="A95" s="108"/>
      <c r="B95" s="13"/>
      <c r="C95" s="97"/>
    </row>
    <row r="96">
      <c r="A96" s="108"/>
      <c r="B96" s="109">
        <f>IF(B87&lt;$C$10,B87+1,"")</f>
        <v>10</v>
      </c>
      <c r="C96" s="118" t="str">
        <f>IMAGE("https://api.qrserver.com/v1/create-qr-code/?size=150x150&amp;data="&amp;ENCODEURL(C94))</f>
        <v/>
      </c>
    </row>
    <row r="97">
      <c r="A97" s="108"/>
      <c r="C97" s="105"/>
    </row>
    <row r="98">
      <c r="A98" s="108"/>
      <c r="C98" s="105"/>
    </row>
    <row r="99">
      <c r="A99" s="108"/>
      <c r="C99" s="105"/>
    </row>
    <row r="100">
      <c r="A100" s="112"/>
      <c r="B100" s="113"/>
      <c r="C100" s="114"/>
    </row>
    <row r="101">
      <c r="A101" s="101"/>
      <c r="B101" s="102"/>
      <c r="C101" s="103"/>
    </row>
    <row r="102">
      <c r="A102" s="115"/>
      <c r="B102" s="116" t="str">
        <f>IF(B105&lt;&gt;"","FAST CHARGER","")</f>
        <v>FAST CHARGER</v>
      </c>
      <c r="C102" s="117"/>
    </row>
    <row r="103">
      <c r="A103" s="108"/>
      <c r="B103" s="13" t="str">
        <f>IF(B114&lt;&gt;"","ITEM NO.","")</f>
        <v>ITEM NO.</v>
      </c>
      <c r="C103" s="97" t="str">
        <f>IF(B105&lt;&gt;"",$C$6,"")</f>
        <v>10002048.A1</v>
      </c>
    </row>
    <row r="104">
      <c r="A104" s="108"/>
      <c r="B104" s="13"/>
      <c r="C104" s="97"/>
    </row>
    <row r="105">
      <c r="A105" s="108"/>
      <c r="B105" s="109">
        <f>IF(B96&lt;$C$10,B96+1,"")</f>
        <v>11</v>
      </c>
      <c r="C105" s="118" t="str">
        <f>IMAGE("https://api.qrserver.com/v1/create-qr-code/?size=150x150&amp;data="&amp;ENCODEURL(C103))</f>
        <v/>
      </c>
    </row>
    <row r="106">
      <c r="A106" s="108"/>
      <c r="C106" s="105"/>
    </row>
    <row r="107">
      <c r="A107" s="108"/>
      <c r="C107" s="105"/>
    </row>
    <row r="108">
      <c r="A108" s="108"/>
      <c r="C108" s="105"/>
    </row>
    <row r="109">
      <c r="A109" s="112"/>
      <c r="B109" s="113"/>
      <c r="C109" s="114"/>
    </row>
    <row r="110">
      <c r="A110" s="101"/>
      <c r="B110" s="102"/>
      <c r="C110" s="103"/>
    </row>
    <row r="111">
      <c r="A111" s="115"/>
      <c r="B111" s="116" t="str">
        <f>IF(B114&lt;&gt;"","FAST CHARGER","")</f>
        <v>FAST CHARGER</v>
      </c>
      <c r="C111" s="117"/>
    </row>
    <row r="112">
      <c r="A112" s="108"/>
      <c r="B112" s="13" t="str">
        <f>IF(B123&lt;&gt;"","ITEM NO.","")</f>
        <v>ITEM NO.</v>
      </c>
      <c r="C112" s="97" t="str">
        <f>IF(B114&lt;&gt;"",$C$6,"")</f>
        <v>10002048.A1</v>
      </c>
    </row>
    <row r="113">
      <c r="A113" s="108"/>
      <c r="B113" s="13"/>
      <c r="C113" s="97"/>
    </row>
    <row r="114">
      <c r="A114" s="108"/>
      <c r="B114" s="109">
        <f>IF(B105&lt;$C$10,B105+1,"")</f>
        <v>12</v>
      </c>
      <c r="C114" s="118" t="str">
        <f>IMAGE("https://api.qrserver.com/v1/create-qr-code/?size=150x150&amp;data="&amp;ENCODEURL(C112))</f>
        <v/>
      </c>
    </row>
    <row r="115">
      <c r="A115" s="108"/>
      <c r="C115" s="105"/>
    </row>
    <row r="116">
      <c r="A116" s="108"/>
      <c r="C116" s="105"/>
    </row>
    <row r="117">
      <c r="A117" s="108"/>
      <c r="C117" s="105"/>
    </row>
    <row r="118">
      <c r="A118" s="112"/>
      <c r="B118" s="113"/>
      <c r="C118" s="114"/>
    </row>
    <row r="119">
      <c r="A119" s="101"/>
      <c r="B119" s="102"/>
      <c r="C119" s="103"/>
    </row>
    <row r="120">
      <c r="A120" s="115"/>
      <c r="B120" s="116" t="str">
        <f>IF(B123&lt;&gt;"","FAST CHARGER","")</f>
        <v>FAST CHARGER</v>
      </c>
      <c r="C120" s="117"/>
    </row>
    <row r="121">
      <c r="A121" s="108"/>
      <c r="B121" s="13" t="str">
        <f>IF(B132&lt;&gt;"","ITEM NO.","")</f>
        <v>ITEM NO.</v>
      </c>
      <c r="C121" s="97" t="str">
        <f>IF(B123&lt;&gt;"",$C$6,"")</f>
        <v>10002048.A1</v>
      </c>
    </row>
    <row r="122">
      <c r="A122" s="108"/>
      <c r="B122" s="13"/>
      <c r="C122" s="97"/>
    </row>
    <row r="123">
      <c r="A123" s="108"/>
      <c r="B123" s="109">
        <f>IF(B114&lt;$C$10,B114+1,"")</f>
        <v>13</v>
      </c>
      <c r="C123" s="118" t="str">
        <f>IMAGE("https://api.qrserver.com/v1/create-qr-code/?size=150x150&amp;data="&amp;ENCODEURL(C121))</f>
        <v/>
      </c>
    </row>
    <row r="124">
      <c r="A124" s="108"/>
      <c r="C124" s="105"/>
    </row>
    <row r="125">
      <c r="A125" s="108"/>
      <c r="C125" s="105"/>
    </row>
    <row r="126">
      <c r="A126" s="108"/>
      <c r="C126" s="105"/>
    </row>
    <row r="127">
      <c r="A127" s="112"/>
      <c r="B127" s="113"/>
      <c r="C127" s="114"/>
    </row>
    <row r="128">
      <c r="A128" s="101"/>
      <c r="B128" s="102"/>
      <c r="C128" s="103"/>
    </row>
    <row r="129">
      <c r="A129" s="115"/>
      <c r="B129" s="116" t="str">
        <f>IF(B132&lt;&gt;"","FAST CHARGER","")</f>
        <v>FAST CHARGER</v>
      </c>
      <c r="C129" s="117"/>
    </row>
    <row r="130">
      <c r="A130" s="108"/>
      <c r="B130" s="13" t="str">
        <f>IF(B141&lt;&gt;"","ITEM NO.","")</f>
        <v>ITEM NO.</v>
      </c>
      <c r="C130" s="97" t="str">
        <f>IF(B132&lt;&gt;"",$C$6,"")</f>
        <v>10002048.A1</v>
      </c>
    </row>
    <row r="131">
      <c r="A131" s="108"/>
      <c r="B131" s="13"/>
      <c r="C131" s="97"/>
    </row>
    <row r="132">
      <c r="A132" s="108"/>
      <c r="B132" s="109">
        <f>IF(B123&lt;$C$10,B123+1,"")</f>
        <v>14</v>
      </c>
      <c r="C132" s="118" t="str">
        <f>IMAGE("https://api.qrserver.com/v1/create-qr-code/?size=150x150&amp;data="&amp;ENCODEURL(C130))</f>
        <v/>
      </c>
    </row>
    <row r="133">
      <c r="A133" s="108"/>
      <c r="C133" s="105"/>
    </row>
    <row r="134">
      <c r="A134" s="108"/>
      <c r="C134" s="105"/>
    </row>
    <row r="135">
      <c r="A135" s="108"/>
      <c r="C135" s="105"/>
    </row>
    <row r="136">
      <c r="A136" s="112"/>
      <c r="B136" s="113"/>
      <c r="C136" s="114"/>
    </row>
    <row r="137">
      <c r="A137" s="101"/>
      <c r="B137" s="102"/>
      <c r="C137" s="103"/>
    </row>
    <row r="138">
      <c r="A138" s="115"/>
      <c r="B138" s="116" t="str">
        <f>IF(B141&lt;&gt;"","FAST CHARGER","")</f>
        <v>FAST CHARGER</v>
      </c>
      <c r="C138" s="117"/>
    </row>
    <row r="139">
      <c r="A139" s="108"/>
      <c r="B139" s="13" t="str">
        <f>IF(B150&lt;&gt;"","ITEM NO.","")</f>
        <v>ITEM NO.</v>
      </c>
      <c r="C139" s="97" t="str">
        <f>IF(B141&lt;&gt;"",$C$6,"")</f>
        <v>10002048.A1</v>
      </c>
    </row>
    <row r="140">
      <c r="A140" s="108"/>
      <c r="B140" s="13"/>
      <c r="C140" s="97"/>
    </row>
    <row r="141">
      <c r="A141" s="108"/>
      <c r="B141" s="109">
        <f>IF(B132&lt;$C$10,B132+1,"")</f>
        <v>15</v>
      </c>
      <c r="C141" s="118" t="str">
        <f>IMAGE("https://api.qrserver.com/v1/create-qr-code/?size=150x150&amp;data="&amp;ENCODEURL(C139))</f>
        <v/>
      </c>
    </row>
    <row r="142">
      <c r="A142" s="108"/>
      <c r="C142" s="105"/>
    </row>
    <row r="143">
      <c r="A143" s="108"/>
      <c r="C143" s="105"/>
    </row>
    <row r="144">
      <c r="A144" s="108"/>
      <c r="C144" s="105"/>
    </row>
    <row r="145">
      <c r="A145" s="112"/>
      <c r="B145" s="113"/>
      <c r="C145" s="114"/>
    </row>
    <row r="146">
      <c r="A146" s="101"/>
      <c r="B146" s="102"/>
      <c r="C146" s="103"/>
    </row>
    <row r="147">
      <c r="A147" s="115"/>
      <c r="B147" s="116" t="str">
        <f>IF(B150&lt;&gt;"","FAST CHARGER","")</f>
        <v>FAST CHARGER</v>
      </c>
      <c r="C147" s="117"/>
    </row>
    <row r="148">
      <c r="A148" s="108"/>
      <c r="B148" s="13" t="str">
        <f>IF(B159&lt;&gt;"","ITEM NO.","")</f>
        <v>ITEM NO.</v>
      </c>
      <c r="C148" s="97" t="str">
        <f>IF(B150&lt;&gt;"",$C$6,"")</f>
        <v>10002048.A1</v>
      </c>
    </row>
    <row r="149">
      <c r="A149" s="108"/>
      <c r="B149" s="13"/>
      <c r="C149" s="97"/>
    </row>
    <row r="150">
      <c r="A150" s="108"/>
      <c r="B150" s="109">
        <f>IF(B141&lt;$C$10,B141+1,"")</f>
        <v>16</v>
      </c>
      <c r="C150" s="118" t="str">
        <f>IMAGE("https://api.qrserver.com/v1/create-qr-code/?size=150x150&amp;data="&amp;ENCODEURL(C148))</f>
        <v/>
      </c>
    </row>
    <row r="151">
      <c r="A151" s="108"/>
      <c r="C151" s="105"/>
    </row>
    <row r="152">
      <c r="A152" s="108"/>
      <c r="C152" s="105"/>
    </row>
    <row r="153">
      <c r="A153" s="108"/>
      <c r="C153" s="105"/>
    </row>
    <row r="154">
      <c r="A154" s="112"/>
      <c r="B154" s="113"/>
      <c r="C154" s="114"/>
    </row>
    <row r="155">
      <c r="A155" s="101"/>
      <c r="B155" s="102"/>
      <c r="C155" s="103"/>
    </row>
    <row r="156">
      <c r="A156" s="115"/>
      <c r="B156" s="116" t="str">
        <f>IF(B159&lt;&gt;"","FAST CHARGER","")</f>
        <v>FAST CHARGER</v>
      </c>
      <c r="C156" s="117"/>
    </row>
    <row r="157">
      <c r="A157" s="108"/>
      <c r="B157" s="13" t="str">
        <f>IF(B168&lt;&gt;"","ITEM NO.","")</f>
        <v>ITEM NO.</v>
      </c>
      <c r="C157" s="97" t="str">
        <f>IF(B159&lt;&gt;"",$C$6,"")</f>
        <v>10002048.A1</v>
      </c>
    </row>
    <row r="158">
      <c r="A158" s="108"/>
      <c r="B158" s="13"/>
      <c r="C158" s="97"/>
    </row>
    <row r="159">
      <c r="A159" s="108"/>
      <c r="B159" s="109">
        <f>IF(B150&lt;$C$10,B150+1,"")</f>
        <v>17</v>
      </c>
      <c r="C159" s="118" t="str">
        <f>IMAGE("https://api.qrserver.com/v1/create-qr-code/?size=150x150&amp;data="&amp;ENCODEURL(C157))</f>
        <v/>
      </c>
    </row>
    <row r="160">
      <c r="A160" s="108"/>
      <c r="C160" s="105"/>
    </row>
    <row r="161">
      <c r="A161" s="108"/>
      <c r="C161" s="105"/>
    </row>
    <row r="162">
      <c r="A162" s="108"/>
      <c r="C162" s="105"/>
    </row>
    <row r="163">
      <c r="A163" s="112"/>
      <c r="B163" s="113"/>
      <c r="C163" s="114"/>
    </row>
    <row r="164">
      <c r="A164" s="101"/>
      <c r="B164" s="102"/>
      <c r="C164" s="103"/>
    </row>
    <row r="165">
      <c r="A165" s="115"/>
      <c r="B165" s="116" t="str">
        <f>IF(B168&lt;&gt;"","FAST CHARGER","")</f>
        <v>FAST CHARGER</v>
      </c>
      <c r="C165" s="117"/>
    </row>
    <row r="166">
      <c r="A166" s="108"/>
      <c r="B166" s="13" t="str">
        <f>IF(B177&lt;&gt;"","ITEM NO.","")</f>
        <v/>
      </c>
      <c r="C166" s="97" t="str">
        <f>IF(B168&lt;&gt;"",$C$6,"")</f>
        <v>10002048.A1</v>
      </c>
    </row>
    <row r="167">
      <c r="A167" s="108"/>
      <c r="B167" s="13"/>
      <c r="C167" s="97"/>
    </row>
    <row r="168">
      <c r="A168" s="108"/>
      <c r="B168" s="109">
        <f>IF(B159&lt;$C$10,B159+1,"")</f>
        <v>18</v>
      </c>
      <c r="C168" s="118" t="str">
        <f>IMAGE("https://api.qrserver.com/v1/create-qr-code/?size=150x150&amp;data="&amp;ENCODEURL(C166))</f>
        <v/>
      </c>
    </row>
    <row r="169">
      <c r="A169" s="108"/>
      <c r="C169" s="105"/>
    </row>
    <row r="170">
      <c r="A170" s="108"/>
      <c r="C170" s="105"/>
    </row>
    <row r="171">
      <c r="A171" s="108"/>
      <c r="C171" s="105"/>
    </row>
    <row r="172">
      <c r="A172" s="112"/>
      <c r="B172" s="113"/>
      <c r="C172" s="114"/>
    </row>
    <row r="173">
      <c r="A173" s="101"/>
      <c r="B173" s="102"/>
      <c r="C173" s="103"/>
    </row>
    <row r="174">
      <c r="A174" s="115"/>
      <c r="B174" s="116" t="str">
        <f>IF(B177&lt;&gt;"","FAST CHARGER","")</f>
        <v/>
      </c>
      <c r="C174" s="117"/>
    </row>
    <row r="175">
      <c r="A175" s="108"/>
      <c r="B175" s="13" t="str">
        <f>IF(B186&lt;&gt;"","ITEM NO.","")</f>
        <v/>
      </c>
      <c r="C175" s="97" t="str">
        <f>IF(B177&lt;&gt;"",$C$6,"")</f>
        <v/>
      </c>
    </row>
    <row r="176">
      <c r="A176" s="108"/>
      <c r="B176" s="13"/>
      <c r="C176" s="97"/>
    </row>
    <row r="177">
      <c r="A177" s="108"/>
      <c r="B177" s="109" t="str">
        <f>IF(B168&lt;$C$10,B168+1,"")</f>
        <v/>
      </c>
      <c r="C177" s="118" t="str">
        <f>IMAGE("https://api.qrserver.com/v1/create-qr-code/?size=150x150&amp;data="&amp;ENCODEURL(C175))</f>
        <v/>
      </c>
    </row>
    <row r="178">
      <c r="A178" s="108"/>
      <c r="C178" s="105"/>
    </row>
    <row r="179">
      <c r="A179" s="108"/>
      <c r="C179" s="105"/>
    </row>
    <row r="180">
      <c r="A180" s="108"/>
      <c r="C180" s="105"/>
    </row>
    <row r="181">
      <c r="A181" s="112"/>
      <c r="B181" s="113"/>
      <c r="C181" s="114"/>
    </row>
    <row r="182">
      <c r="A182" s="101"/>
      <c r="B182" s="102"/>
      <c r="C182" s="103"/>
    </row>
    <row r="183">
      <c r="A183" s="115"/>
      <c r="B183" s="116" t="str">
        <f>IF(B186&lt;&gt;"","FAST CHARGER","")</f>
        <v/>
      </c>
      <c r="C183" s="117"/>
    </row>
    <row r="184">
      <c r="A184" s="108"/>
      <c r="B184" s="13" t="str">
        <f>IF(B195&lt;&gt;"","ITEM NO.","")</f>
        <v/>
      </c>
      <c r="C184" s="97" t="str">
        <f>IF(B186&lt;&gt;"",$C$6,"")</f>
        <v/>
      </c>
    </row>
    <row r="185">
      <c r="A185" s="108"/>
      <c r="B185" s="13"/>
      <c r="C185" s="97"/>
    </row>
    <row r="186">
      <c r="A186" s="108"/>
      <c r="B186" s="109" t="str">
        <f>IF(B177&lt;$C$10,B177+1,"")</f>
        <v/>
      </c>
      <c r="C186" s="118" t="str">
        <f>IMAGE("https://api.qrserver.com/v1/create-qr-code/?size=150x150&amp;data="&amp;ENCODEURL(C184))</f>
        <v/>
      </c>
    </row>
    <row r="187">
      <c r="A187" s="108"/>
      <c r="C187" s="105"/>
    </row>
    <row r="188">
      <c r="A188" s="108"/>
      <c r="C188" s="105"/>
    </row>
    <row r="189">
      <c r="A189" s="108"/>
      <c r="C189" s="105"/>
    </row>
    <row r="190">
      <c r="A190" s="112"/>
      <c r="B190" s="113"/>
      <c r="C190" s="114"/>
    </row>
    <row r="191">
      <c r="A191" s="101"/>
      <c r="B191" s="102"/>
      <c r="C191" s="103"/>
    </row>
    <row r="192">
      <c r="A192" s="115"/>
      <c r="B192" s="116" t="str">
        <f>IF(B195&lt;&gt;"","FAST CHARGER","")</f>
        <v/>
      </c>
      <c r="C192" s="117"/>
    </row>
    <row r="193">
      <c r="A193" s="108"/>
      <c r="B193" s="13" t="str">
        <f>IF(B204&lt;&gt;"","ITEM NO.","")</f>
        <v/>
      </c>
      <c r="C193" s="97" t="str">
        <f>IF(B195&lt;&gt;"",$C$6,"")</f>
        <v/>
      </c>
    </row>
    <row r="194">
      <c r="A194" s="108"/>
      <c r="B194" s="13"/>
      <c r="C194" s="97"/>
    </row>
    <row r="195">
      <c r="A195" s="108"/>
      <c r="B195" s="109" t="str">
        <f>IF(B186&lt;$C$10,B186+1,"")</f>
        <v/>
      </c>
      <c r="C195" s="118" t="str">
        <f>IMAGE("https://api.qrserver.com/v1/create-qr-code/?size=150x150&amp;data="&amp;ENCODEURL(C193))</f>
        <v/>
      </c>
    </row>
    <row r="196">
      <c r="A196" s="108"/>
      <c r="C196" s="105"/>
    </row>
    <row r="197">
      <c r="A197" s="108"/>
      <c r="C197" s="105"/>
    </row>
    <row r="198">
      <c r="A198" s="108"/>
      <c r="C198" s="105"/>
    </row>
    <row r="199">
      <c r="A199" s="112"/>
      <c r="B199" s="113"/>
      <c r="C199" s="114"/>
    </row>
    <row r="200">
      <c r="A200" s="101"/>
      <c r="B200" s="102"/>
      <c r="C200" s="103"/>
    </row>
    <row r="201">
      <c r="A201" s="115"/>
      <c r="B201" s="116" t="str">
        <f>IF(B204&lt;&gt;"","FAST CHARGER","")</f>
        <v/>
      </c>
      <c r="C201" s="117"/>
    </row>
    <row r="202">
      <c r="A202" s="108"/>
      <c r="B202" s="13" t="str">
        <f>IF(B213&lt;&gt;"","ITEM NO.","")</f>
        <v/>
      </c>
      <c r="C202" s="97" t="str">
        <f>IF(B204&lt;&gt;"",$C$6,"")</f>
        <v/>
      </c>
    </row>
    <row r="203">
      <c r="A203" s="108"/>
      <c r="B203" s="13"/>
      <c r="C203" s="97"/>
    </row>
    <row r="204">
      <c r="A204" s="108"/>
      <c r="B204" s="109" t="str">
        <f>IF(B195&lt;$C$10,B195+1,"")</f>
        <v/>
      </c>
      <c r="C204" s="118" t="str">
        <f>IMAGE("https://api.qrserver.com/v1/create-qr-code/?size=150x150&amp;data="&amp;ENCODEURL(C202))</f>
        <v/>
      </c>
    </row>
    <row r="205">
      <c r="A205" s="108"/>
      <c r="C205" s="105"/>
    </row>
    <row r="206">
      <c r="A206" s="108"/>
      <c r="C206" s="105"/>
    </row>
    <row r="207">
      <c r="A207" s="108"/>
      <c r="C207" s="105"/>
    </row>
    <row r="208">
      <c r="A208" s="112"/>
      <c r="B208" s="113"/>
      <c r="C208" s="114"/>
    </row>
    <row r="209">
      <c r="A209" s="101"/>
      <c r="B209" s="102"/>
      <c r="C209" s="103"/>
    </row>
    <row r="210">
      <c r="A210" s="115"/>
      <c r="B210" s="116" t="str">
        <f>IF(B213&lt;&gt;"","FAST CHARGER","")</f>
        <v/>
      </c>
      <c r="C210" s="117"/>
    </row>
    <row r="211">
      <c r="A211" s="108"/>
      <c r="B211" s="13" t="str">
        <f>IF(B222&lt;&gt;"","ITEM NO.","")</f>
        <v/>
      </c>
      <c r="C211" s="97" t="str">
        <f>IF(B213&lt;&gt;"",$C$6,"")</f>
        <v/>
      </c>
    </row>
    <row r="212">
      <c r="A212" s="108"/>
      <c r="B212" s="13"/>
      <c r="C212" s="97"/>
    </row>
    <row r="213">
      <c r="A213" s="108"/>
      <c r="B213" s="109" t="str">
        <f>IF(B204&lt;$C$10,B204+1,"")</f>
        <v/>
      </c>
      <c r="C213" s="118" t="str">
        <f>IMAGE("https://api.qrserver.com/v1/create-qr-code/?size=150x150&amp;data="&amp;ENCODEURL(C211))</f>
        <v/>
      </c>
    </row>
    <row r="214">
      <c r="A214" s="108"/>
      <c r="C214" s="105"/>
    </row>
    <row r="215">
      <c r="A215" s="108"/>
      <c r="C215" s="105"/>
    </row>
    <row r="216">
      <c r="A216" s="108"/>
      <c r="C216" s="105"/>
    </row>
    <row r="217">
      <c r="A217" s="112"/>
      <c r="B217" s="113"/>
      <c r="C217" s="114"/>
    </row>
    <row r="218">
      <c r="A218" s="101"/>
      <c r="B218" s="102"/>
      <c r="C218" s="103"/>
    </row>
    <row r="219">
      <c r="A219" s="115"/>
      <c r="B219" s="116" t="str">
        <f>IF(B222&lt;&gt;"","FAST CHARGER","")</f>
        <v/>
      </c>
      <c r="C219" s="117"/>
    </row>
    <row r="220">
      <c r="A220" s="108"/>
      <c r="B220" s="13" t="str">
        <f>IF(B231&lt;&gt;"","ITEM NO.","")</f>
        <v/>
      </c>
      <c r="C220" s="97" t="str">
        <f>IF(B222&lt;&gt;"",$C$6,"")</f>
        <v/>
      </c>
    </row>
    <row r="221">
      <c r="A221" s="108"/>
      <c r="B221" s="13"/>
      <c r="C221" s="97"/>
    </row>
    <row r="222">
      <c r="A222" s="108"/>
      <c r="B222" s="109" t="str">
        <f>IF(B213&lt;$C$10,B213+1,"")</f>
        <v/>
      </c>
      <c r="C222" s="118" t="str">
        <f>IMAGE("https://api.qrserver.com/v1/create-qr-code/?size=150x150&amp;data="&amp;ENCODEURL(C220))</f>
        <v/>
      </c>
    </row>
    <row r="223">
      <c r="A223" s="108"/>
      <c r="C223" s="105"/>
    </row>
    <row r="224">
      <c r="A224" s="108"/>
      <c r="C224" s="105"/>
    </row>
    <row r="225">
      <c r="A225" s="108"/>
      <c r="C225" s="105"/>
    </row>
    <row r="226">
      <c r="A226" s="112"/>
      <c r="B226" s="113"/>
      <c r="C226" s="114"/>
    </row>
    <row r="227">
      <c r="A227" s="101"/>
      <c r="B227" s="102"/>
      <c r="C227" s="103"/>
    </row>
    <row r="228">
      <c r="A228" s="115"/>
      <c r="B228" s="116" t="str">
        <f>IF(B231&lt;&gt;"","FAST CHARGER","")</f>
        <v/>
      </c>
      <c r="C228" s="117"/>
    </row>
    <row r="229">
      <c r="A229" s="108"/>
      <c r="B229" s="13" t="str">
        <f>IF(B240&lt;&gt;"","ITEM NO.","")</f>
        <v/>
      </c>
      <c r="C229" s="97" t="str">
        <f>IF(B231&lt;&gt;"",$C$6,"")</f>
        <v/>
      </c>
    </row>
    <row r="230">
      <c r="A230" s="108"/>
      <c r="B230" s="13"/>
      <c r="C230" s="97"/>
    </row>
    <row r="231">
      <c r="A231" s="108"/>
      <c r="B231" s="109" t="str">
        <f>IF(B222&lt;$C$10,B222+1,"")</f>
        <v/>
      </c>
      <c r="C231" s="118" t="str">
        <f>IMAGE("https://api.qrserver.com/v1/create-qr-code/?size=150x150&amp;data="&amp;ENCODEURL(C229))</f>
        <v/>
      </c>
    </row>
    <row r="232">
      <c r="A232" s="108"/>
      <c r="C232" s="105"/>
    </row>
    <row r="233">
      <c r="A233" s="108"/>
      <c r="C233" s="105"/>
    </row>
    <row r="234">
      <c r="A234" s="108"/>
      <c r="C234" s="105"/>
    </row>
    <row r="235">
      <c r="A235" s="112"/>
      <c r="B235" s="113"/>
      <c r="C235" s="114"/>
    </row>
    <row r="236">
      <c r="A236" s="101"/>
      <c r="B236" s="102"/>
      <c r="C236" s="103"/>
    </row>
    <row r="237">
      <c r="A237" s="115"/>
      <c r="B237" s="116" t="str">
        <f>IF(B240&lt;&gt;"","FAST CHARGER","")</f>
        <v/>
      </c>
      <c r="C237" s="117"/>
    </row>
    <row r="238">
      <c r="A238" s="108"/>
      <c r="B238" s="13" t="str">
        <f>IF(B249&lt;&gt;"","ITEM NO.","")</f>
        <v/>
      </c>
      <c r="C238" s="97" t="str">
        <f>IF(B240&lt;&gt;"",$C$6,"")</f>
        <v/>
      </c>
    </row>
    <row r="239">
      <c r="A239" s="108"/>
      <c r="B239" s="13"/>
      <c r="C239" s="97"/>
    </row>
    <row r="240">
      <c r="A240" s="108"/>
      <c r="B240" s="109" t="str">
        <f>IF(B231&lt;$C$10,B231+1,"")</f>
        <v/>
      </c>
      <c r="C240" s="118" t="str">
        <f>IMAGE("https://api.qrserver.com/v1/create-qr-code/?size=150x150&amp;data="&amp;ENCODEURL(C238))</f>
        <v/>
      </c>
    </row>
    <row r="241">
      <c r="A241" s="108"/>
      <c r="C241" s="105"/>
    </row>
    <row r="242">
      <c r="A242" s="108"/>
      <c r="C242" s="105"/>
    </row>
    <row r="243">
      <c r="A243" s="108"/>
      <c r="C243" s="105"/>
    </row>
    <row r="244">
      <c r="A244" s="112"/>
      <c r="B244" s="113"/>
      <c r="C244" s="114"/>
    </row>
    <row r="245">
      <c r="A245" s="101"/>
      <c r="B245" s="102"/>
      <c r="C245" s="103"/>
    </row>
    <row r="246">
      <c r="A246" s="115"/>
      <c r="B246" s="116" t="str">
        <f>IF(B249&lt;&gt;"","FAST CHARGER","")</f>
        <v/>
      </c>
      <c r="C246" s="117"/>
    </row>
    <row r="247">
      <c r="A247" s="108"/>
      <c r="B247" s="13" t="str">
        <f>IF(B258&lt;&gt;"","ITEM NO.","")</f>
        <v/>
      </c>
      <c r="C247" s="97" t="str">
        <f>IF(B249&lt;&gt;"",$C$6,"")</f>
        <v/>
      </c>
    </row>
    <row r="248">
      <c r="A248" s="108"/>
      <c r="B248" s="13"/>
      <c r="C248" s="97"/>
    </row>
    <row r="249">
      <c r="A249" s="108"/>
      <c r="B249" s="109" t="str">
        <f>IF(B240&lt;$C$10,B240+1,"")</f>
        <v/>
      </c>
      <c r="C249" s="118" t="str">
        <f>IMAGE("https://api.qrserver.com/v1/create-qr-code/?size=150x150&amp;data="&amp;ENCODEURL(C247))</f>
        <v/>
      </c>
    </row>
    <row r="250">
      <c r="A250" s="108"/>
      <c r="C250" s="105"/>
    </row>
    <row r="251">
      <c r="A251" s="108"/>
      <c r="C251" s="105"/>
    </row>
    <row r="252">
      <c r="A252" s="108"/>
      <c r="C252" s="105"/>
    </row>
    <row r="253">
      <c r="A253" s="112"/>
      <c r="B253" s="113"/>
      <c r="C253" s="114"/>
    </row>
    <row r="254">
      <c r="A254" s="101"/>
      <c r="B254" s="102"/>
      <c r="C254" s="103"/>
    </row>
    <row r="255">
      <c r="A255" s="115"/>
      <c r="B255" s="116" t="str">
        <f>IF(B258&lt;&gt;"","FAST CHARGER","")</f>
        <v/>
      </c>
      <c r="C255" s="117"/>
    </row>
    <row r="256">
      <c r="A256" s="108"/>
      <c r="B256" s="13" t="str">
        <f>IF(B267&lt;&gt;"","ITEM NO.","")</f>
        <v/>
      </c>
      <c r="C256" s="97" t="str">
        <f>IF(B258&lt;&gt;"",$C$6,"")</f>
        <v/>
      </c>
    </row>
    <row r="257">
      <c r="A257" s="108"/>
      <c r="B257" s="13"/>
      <c r="C257" s="97"/>
    </row>
    <row r="258">
      <c r="A258" s="108"/>
      <c r="B258" s="109" t="str">
        <f>IF(B249&lt;$C$10,B249+1,"")</f>
        <v/>
      </c>
      <c r="C258" s="118" t="str">
        <f>IMAGE("https://api.qrserver.com/v1/create-qr-code/?size=150x150&amp;data="&amp;ENCODEURL(C256))</f>
        <v/>
      </c>
    </row>
    <row r="259">
      <c r="A259" s="108"/>
      <c r="C259" s="105"/>
    </row>
    <row r="260">
      <c r="A260" s="108"/>
      <c r="C260" s="105"/>
    </row>
    <row r="261">
      <c r="A261" s="108"/>
      <c r="C261" s="105"/>
    </row>
    <row r="262">
      <c r="A262" s="112"/>
      <c r="B262" s="113"/>
      <c r="C262" s="114"/>
    </row>
    <row r="263">
      <c r="A263" s="101"/>
      <c r="B263" s="102"/>
      <c r="C263" s="103"/>
    </row>
    <row r="264">
      <c r="A264" s="115"/>
      <c r="B264" s="116" t="str">
        <f>IF(B267&lt;&gt;"","FAST CHARGER","")</f>
        <v/>
      </c>
      <c r="C264" s="117"/>
    </row>
    <row r="265">
      <c r="A265" s="108"/>
      <c r="B265" s="13" t="str">
        <f>IF(B276&lt;&gt;"","ITEM NO.","")</f>
        <v/>
      </c>
      <c r="C265" s="97" t="str">
        <f>IF(B267&lt;&gt;"",$C$6,"")</f>
        <v/>
      </c>
    </row>
    <row r="266">
      <c r="A266" s="108"/>
      <c r="B266" s="13"/>
      <c r="C266" s="97"/>
    </row>
    <row r="267">
      <c r="A267" s="108"/>
      <c r="B267" s="109" t="str">
        <f>IF(B258&lt;$C$10,B258+1,"")</f>
        <v/>
      </c>
      <c r="C267" s="118" t="str">
        <f>IMAGE("https://api.qrserver.com/v1/create-qr-code/?size=150x150&amp;data="&amp;ENCODEURL(C265))</f>
        <v/>
      </c>
    </row>
    <row r="268">
      <c r="A268" s="108"/>
      <c r="C268" s="105"/>
    </row>
    <row r="269">
      <c r="A269" s="108"/>
      <c r="C269" s="105"/>
    </row>
    <row r="270">
      <c r="A270" s="108"/>
      <c r="C270" s="105"/>
    </row>
    <row r="271">
      <c r="A271" s="112"/>
      <c r="B271" s="113"/>
      <c r="C271" s="114"/>
    </row>
    <row r="272">
      <c r="A272" s="101"/>
      <c r="B272" s="102"/>
      <c r="C272" s="103"/>
    </row>
    <row r="273">
      <c r="A273" s="115"/>
      <c r="B273" s="116" t="str">
        <f>IF(B276&lt;&gt;"","FAST CHARGER","")</f>
        <v/>
      </c>
      <c r="C273" s="117"/>
    </row>
    <row r="274">
      <c r="A274" s="108"/>
      <c r="B274" s="13" t="str">
        <f>IF(B285&lt;&gt;"","ITEM NO.","")</f>
        <v/>
      </c>
      <c r="C274" s="97" t="str">
        <f>IF(B276&lt;&gt;"",$C$6,"")</f>
        <v/>
      </c>
    </row>
    <row r="275">
      <c r="A275" s="108"/>
      <c r="B275" s="13"/>
      <c r="C275" s="97"/>
    </row>
    <row r="276">
      <c r="A276" s="108"/>
      <c r="B276" s="109" t="str">
        <f>IF(B267&lt;$C$10,B267+1,"")</f>
        <v/>
      </c>
      <c r="C276" s="118" t="str">
        <f>IMAGE("https://api.qrserver.com/v1/create-qr-code/?size=150x150&amp;data="&amp;ENCODEURL(C274))</f>
        <v/>
      </c>
    </row>
    <row r="277">
      <c r="A277" s="108"/>
      <c r="C277" s="105"/>
    </row>
    <row r="278">
      <c r="A278" s="108"/>
      <c r="C278" s="105"/>
    </row>
    <row r="279">
      <c r="A279" s="108"/>
      <c r="C279" s="105"/>
    </row>
    <row r="280">
      <c r="A280" s="112"/>
      <c r="B280" s="113"/>
      <c r="C280" s="114"/>
    </row>
    <row r="281">
      <c r="A281" s="101"/>
      <c r="B281" s="102"/>
      <c r="C281" s="103"/>
    </row>
    <row r="282">
      <c r="A282" s="115"/>
      <c r="B282" s="116" t="str">
        <f>IF(B285&lt;&gt;"","FAST CHARGER","")</f>
        <v/>
      </c>
      <c r="C282" s="117"/>
    </row>
    <row r="283">
      <c r="A283" s="108"/>
      <c r="B283" s="13" t="str">
        <f>IF(B294&lt;&gt;"","ITEM NO.","")</f>
        <v/>
      </c>
      <c r="C283" s="97" t="str">
        <f>IF(B285&lt;&gt;"",$C$6,"")</f>
        <v/>
      </c>
    </row>
    <row r="284">
      <c r="A284" s="108"/>
      <c r="B284" s="13"/>
      <c r="C284" s="97"/>
    </row>
    <row r="285">
      <c r="A285" s="108"/>
      <c r="B285" s="109" t="str">
        <f>IF(B276&lt;$C$10,B276+1,"")</f>
        <v/>
      </c>
      <c r="C285" s="118" t="str">
        <f>IMAGE("https://api.qrserver.com/v1/create-qr-code/?size=150x150&amp;data="&amp;ENCODEURL(C283))</f>
        <v/>
      </c>
    </row>
    <row r="286">
      <c r="A286" s="108"/>
      <c r="C286" s="105"/>
    </row>
    <row r="287">
      <c r="A287" s="108"/>
      <c r="C287" s="105"/>
    </row>
    <row r="288">
      <c r="A288" s="108"/>
      <c r="C288" s="105"/>
    </row>
    <row r="289">
      <c r="A289" s="112"/>
      <c r="B289" s="113"/>
      <c r="C289" s="114"/>
    </row>
    <row r="290">
      <c r="A290" s="101"/>
      <c r="B290" s="102"/>
      <c r="C290" s="103"/>
    </row>
    <row r="291">
      <c r="A291" s="115"/>
      <c r="B291" s="116" t="str">
        <f>IF(B294&lt;&gt;"","FAST CHARGER","")</f>
        <v/>
      </c>
      <c r="C291" s="117"/>
    </row>
    <row r="292">
      <c r="A292" s="108"/>
      <c r="B292" s="13" t="str">
        <f>IF(B303&lt;&gt;"","ITEM NO.","")</f>
        <v/>
      </c>
      <c r="C292" s="97" t="str">
        <f>IF(B294&lt;&gt;"",$C$6,"")</f>
        <v/>
      </c>
    </row>
    <row r="293">
      <c r="A293" s="108"/>
      <c r="B293" s="13"/>
      <c r="C293" s="97"/>
    </row>
    <row r="294">
      <c r="A294" s="108"/>
      <c r="B294" s="109" t="str">
        <f>IF(B285&lt;$C$10,B285+1,"")</f>
        <v/>
      </c>
      <c r="C294" s="118" t="str">
        <f>IMAGE("https://api.qrserver.com/v1/create-qr-code/?size=150x150&amp;data="&amp;ENCODEURL(C292))</f>
        <v/>
      </c>
    </row>
    <row r="295">
      <c r="A295" s="108"/>
      <c r="C295" s="105"/>
    </row>
    <row r="296">
      <c r="A296" s="108"/>
      <c r="C296" s="105"/>
    </row>
    <row r="297">
      <c r="A297" s="108"/>
      <c r="C297" s="105"/>
    </row>
    <row r="298">
      <c r="A298" s="112"/>
      <c r="B298" s="113"/>
      <c r="C298" s="114"/>
    </row>
    <row r="299">
      <c r="A299" s="101"/>
      <c r="B299" s="102"/>
      <c r="C299" s="103"/>
    </row>
    <row r="300">
      <c r="A300" s="115"/>
      <c r="B300" s="116" t="str">
        <f>IF(B303&lt;&gt;"","FAST CHARGER","")</f>
        <v/>
      </c>
      <c r="C300" s="117"/>
    </row>
    <row r="301">
      <c r="A301" s="108"/>
      <c r="B301" s="13" t="str">
        <f>IF(B312&lt;&gt;"","ITEM NO.","")</f>
        <v/>
      </c>
      <c r="C301" s="97" t="str">
        <f>IF(B303&lt;&gt;"",$C$6,"")</f>
        <v/>
      </c>
    </row>
    <row r="302">
      <c r="A302" s="108"/>
      <c r="B302" s="13"/>
      <c r="C302" s="97"/>
    </row>
    <row r="303">
      <c r="A303" s="108"/>
      <c r="B303" s="109" t="str">
        <f>IF(B294&lt;$C$10,B294+1,"")</f>
        <v/>
      </c>
      <c r="C303" s="118" t="str">
        <f>IMAGE("https://api.qrserver.com/v1/create-qr-code/?size=150x150&amp;data="&amp;ENCODEURL(C301))</f>
        <v/>
      </c>
    </row>
    <row r="304">
      <c r="A304" s="108"/>
      <c r="C304" s="105"/>
    </row>
    <row r="305">
      <c r="A305" s="108"/>
      <c r="C305" s="105"/>
    </row>
    <row r="306">
      <c r="A306" s="108"/>
      <c r="C306" s="105"/>
    </row>
    <row r="307">
      <c r="A307" s="112"/>
      <c r="B307" s="113"/>
      <c r="C307" s="114"/>
    </row>
    <row r="308">
      <c r="A308" s="101"/>
      <c r="B308" s="102"/>
      <c r="C308" s="103"/>
    </row>
    <row r="309">
      <c r="A309" s="115"/>
      <c r="B309" s="116" t="str">
        <f>IF(B312&lt;&gt;"","FAST CHARGER","")</f>
        <v/>
      </c>
      <c r="C309" s="117"/>
    </row>
    <row r="310">
      <c r="A310" s="108"/>
      <c r="B310" s="13" t="str">
        <f>IF(B321&lt;&gt;"","ITEM NO.","")</f>
        <v/>
      </c>
      <c r="C310" s="97" t="str">
        <f>IF(B312&lt;&gt;"",$C$6,"")</f>
        <v/>
      </c>
    </row>
    <row r="311">
      <c r="A311" s="108"/>
      <c r="B311" s="13"/>
      <c r="C311" s="97"/>
    </row>
    <row r="312">
      <c r="A312" s="108"/>
      <c r="B312" s="109" t="str">
        <f>IF(B303&lt;$C$10,B303+1,"")</f>
        <v/>
      </c>
      <c r="C312" s="118" t="str">
        <f>IMAGE("https://api.qrserver.com/v1/create-qr-code/?size=150x150&amp;data="&amp;ENCODEURL(C310))</f>
        <v/>
      </c>
    </row>
    <row r="313">
      <c r="A313" s="108"/>
      <c r="C313" s="105"/>
    </row>
    <row r="314">
      <c r="A314" s="108"/>
      <c r="C314" s="105"/>
    </row>
    <row r="315">
      <c r="A315" s="108"/>
      <c r="C315" s="105"/>
    </row>
    <row r="316">
      <c r="A316" s="112"/>
      <c r="B316" s="113"/>
      <c r="C316" s="114"/>
    </row>
    <row r="317">
      <c r="A317" s="101"/>
      <c r="B317" s="102"/>
      <c r="C317" s="103"/>
    </row>
    <row r="318">
      <c r="A318" s="115"/>
      <c r="B318" s="116" t="str">
        <f>IF(B321&lt;&gt;"","FAST CHARGER","")</f>
        <v/>
      </c>
      <c r="C318" s="117"/>
    </row>
    <row r="319">
      <c r="A319" s="108"/>
      <c r="B319" s="13" t="str">
        <f>IF(B330&lt;&gt;"","ITEM NO.","")</f>
        <v/>
      </c>
      <c r="C319" s="97" t="str">
        <f>IF(B321&lt;&gt;"",$C$6,"")</f>
        <v/>
      </c>
    </row>
    <row r="320">
      <c r="A320" s="108"/>
      <c r="B320" s="13"/>
      <c r="C320" s="97"/>
    </row>
    <row r="321">
      <c r="A321" s="108"/>
      <c r="B321" s="109" t="str">
        <f>IF(B312&lt;$C$10,B312+1,"")</f>
        <v/>
      </c>
      <c r="C321" s="118" t="str">
        <f>IMAGE("https://api.qrserver.com/v1/create-qr-code/?size=150x150&amp;data="&amp;ENCODEURL(C319))</f>
        <v/>
      </c>
    </row>
    <row r="322">
      <c r="A322" s="108"/>
      <c r="C322" s="105"/>
    </row>
    <row r="323">
      <c r="A323" s="108"/>
      <c r="C323" s="105"/>
    </row>
    <row r="324">
      <c r="A324" s="108"/>
      <c r="C324" s="105"/>
    </row>
    <row r="325">
      <c r="A325" s="112"/>
      <c r="B325" s="113"/>
      <c r="C325" s="114"/>
    </row>
    <row r="326">
      <c r="A326" s="101"/>
      <c r="B326" s="102"/>
      <c r="C326" s="103"/>
    </row>
    <row r="327">
      <c r="A327" s="115"/>
      <c r="B327" s="116" t="str">
        <f>IF(B330&lt;&gt;"","FAST CHARGER","")</f>
        <v/>
      </c>
      <c r="C327" s="117"/>
    </row>
    <row r="328">
      <c r="A328" s="108"/>
      <c r="B328" s="13" t="str">
        <f>IF(B339&lt;&gt;"","ITEM NO.","")</f>
        <v/>
      </c>
      <c r="C328" s="97" t="str">
        <f>IF(B330&lt;&gt;"",$C$6,"")</f>
        <v/>
      </c>
    </row>
    <row r="329">
      <c r="A329" s="108"/>
      <c r="B329" s="13"/>
      <c r="C329" s="97"/>
    </row>
    <row r="330">
      <c r="A330" s="108"/>
      <c r="B330" s="109" t="str">
        <f>IF(B321&lt;$C$10,B321+1,"")</f>
        <v/>
      </c>
      <c r="C330" s="118" t="str">
        <f>IMAGE("https://api.qrserver.com/v1/create-qr-code/?size=150x150&amp;data="&amp;ENCODEURL(C328))</f>
        <v/>
      </c>
    </row>
    <row r="331">
      <c r="A331" s="108"/>
      <c r="C331" s="105"/>
    </row>
    <row r="332">
      <c r="A332" s="108"/>
      <c r="C332" s="105"/>
    </row>
    <row r="333">
      <c r="A333" s="108"/>
      <c r="C333" s="105"/>
    </row>
    <row r="334">
      <c r="A334" s="112"/>
      <c r="B334" s="113"/>
      <c r="C334" s="114"/>
    </row>
    <row r="335">
      <c r="A335" s="101"/>
      <c r="B335" s="102"/>
      <c r="C335" s="103"/>
    </row>
    <row r="336">
      <c r="A336" s="115"/>
      <c r="B336" s="116" t="str">
        <f>IF(B339&lt;&gt;"","FAST CHARGER","")</f>
        <v/>
      </c>
      <c r="C336" s="117"/>
    </row>
    <row r="337">
      <c r="A337" s="108"/>
      <c r="B337" s="13" t="str">
        <f>IF(B348&lt;&gt;"","ITEM NO.","")</f>
        <v/>
      </c>
      <c r="C337" s="97" t="str">
        <f>IF(B339&lt;&gt;"",$C$6,"")</f>
        <v/>
      </c>
    </row>
    <row r="338">
      <c r="A338" s="108"/>
      <c r="B338" s="13"/>
      <c r="C338" s="97"/>
    </row>
    <row r="339">
      <c r="A339" s="108"/>
      <c r="B339" s="109" t="str">
        <f>IF(B330&lt;$C$10,B330+1,"")</f>
        <v/>
      </c>
      <c r="C339" s="118" t="str">
        <f>IMAGE("https://api.qrserver.com/v1/create-qr-code/?size=150x150&amp;data="&amp;ENCODEURL(C337))</f>
        <v/>
      </c>
    </row>
    <row r="340">
      <c r="A340" s="108"/>
      <c r="C340" s="105"/>
    </row>
    <row r="341">
      <c r="A341" s="108"/>
      <c r="C341" s="105"/>
    </row>
    <row r="342">
      <c r="A342" s="108"/>
      <c r="C342" s="105"/>
    </row>
    <row r="343">
      <c r="A343" s="112"/>
      <c r="B343" s="113"/>
      <c r="C343" s="114"/>
    </row>
    <row r="344">
      <c r="A344" s="101"/>
      <c r="B344" s="102"/>
      <c r="C344" s="103"/>
    </row>
    <row r="345">
      <c r="A345" s="115"/>
      <c r="B345" s="116" t="str">
        <f>IF(B348&lt;&gt;"","FAST CHARGER","")</f>
        <v/>
      </c>
      <c r="C345" s="117"/>
    </row>
    <row r="346">
      <c r="A346" s="108"/>
      <c r="B346" s="13" t="str">
        <f>IF(B357&lt;&gt;"","ITEM NO.","")</f>
        <v/>
      </c>
      <c r="C346" s="97" t="str">
        <f>IF(B348&lt;&gt;"",$C$6,"")</f>
        <v/>
      </c>
    </row>
    <row r="347">
      <c r="A347" s="108"/>
      <c r="B347" s="13"/>
      <c r="C347" s="97"/>
    </row>
    <row r="348">
      <c r="A348" s="108"/>
      <c r="B348" s="109" t="str">
        <f>IF(B339&lt;$C$10,B339+1,"")</f>
        <v/>
      </c>
      <c r="C348" s="118" t="str">
        <f>IMAGE("https://api.qrserver.com/v1/create-qr-code/?size=150x150&amp;data="&amp;ENCODEURL(C346))</f>
        <v/>
      </c>
    </row>
    <row r="349">
      <c r="A349" s="108"/>
      <c r="C349" s="105"/>
    </row>
    <row r="350">
      <c r="A350" s="108"/>
      <c r="C350" s="105"/>
    </row>
    <row r="351">
      <c r="A351" s="108"/>
      <c r="C351" s="105"/>
    </row>
    <row r="352">
      <c r="A352" s="112"/>
      <c r="B352" s="113"/>
      <c r="C352" s="114"/>
    </row>
    <row r="353">
      <c r="A353" s="101"/>
      <c r="B353" s="102"/>
      <c r="C353" s="103"/>
    </row>
    <row r="354">
      <c r="A354" s="115"/>
      <c r="B354" s="116" t="str">
        <f>IF(B357&lt;&gt;"","FAST CHARGER","")</f>
        <v/>
      </c>
      <c r="C354" s="117"/>
    </row>
    <row r="355">
      <c r="A355" s="108"/>
      <c r="B355" s="13" t="str">
        <f>IF(B366&lt;&gt;"","ITEM NO.","")</f>
        <v/>
      </c>
      <c r="C355" s="97" t="str">
        <f>IF(B357&lt;&gt;"",$C$6,"")</f>
        <v/>
      </c>
    </row>
    <row r="356">
      <c r="A356" s="108"/>
      <c r="B356" s="13"/>
      <c r="C356" s="97"/>
    </row>
    <row r="357">
      <c r="A357" s="108"/>
      <c r="B357" s="109" t="str">
        <f>IF(B348&lt;$C$10,B348+1,"")</f>
        <v/>
      </c>
      <c r="C357" s="118" t="str">
        <f>IMAGE("https://api.qrserver.com/v1/create-qr-code/?size=150x150&amp;data="&amp;ENCODEURL(C355))</f>
        <v/>
      </c>
    </row>
    <row r="358">
      <c r="A358" s="108"/>
      <c r="C358" s="105"/>
    </row>
    <row r="359">
      <c r="A359" s="108"/>
      <c r="C359" s="105"/>
    </row>
    <row r="360">
      <c r="A360" s="108"/>
      <c r="C360" s="105"/>
    </row>
    <row r="361">
      <c r="A361" s="112"/>
      <c r="B361" s="113"/>
      <c r="C361" s="114"/>
    </row>
    <row r="362">
      <c r="A362" s="101"/>
      <c r="B362" s="102"/>
      <c r="C362" s="103"/>
    </row>
    <row r="363">
      <c r="A363" s="115"/>
      <c r="B363" s="116" t="str">
        <f>IF(B366&lt;&gt;"","FAST CHARGER","")</f>
        <v/>
      </c>
      <c r="C363" s="117"/>
    </row>
    <row r="364">
      <c r="A364" s="108"/>
      <c r="B364" s="13" t="str">
        <f>IF(B375&lt;&gt;"","ITEM NO.","")</f>
        <v/>
      </c>
      <c r="C364" s="97" t="str">
        <f>IF(B366&lt;&gt;"",$C$6,"")</f>
        <v/>
      </c>
    </row>
    <row r="365">
      <c r="A365" s="108"/>
      <c r="B365" s="13"/>
      <c r="C365" s="97"/>
    </row>
    <row r="366">
      <c r="A366" s="108"/>
      <c r="B366" s="109" t="str">
        <f>IF(B357&lt;$C$10,B357+1,"")</f>
        <v/>
      </c>
      <c r="C366" s="118" t="str">
        <f>IMAGE("https://api.qrserver.com/v1/create-qr-code/?size=150x150&amp;data="&amp;ENCODEURL(C364))</f>
        <v/>
      </c>
    </row>
    <row r="367">
      <c r="A367" s="108"/>
      <c r="C367" s="105"/>
    </row>
    <row r="368">
      <c r="A368" s="108"/>
      <c r="C368" s="105"/>
    </row>
    <row r="369">
      <c r="A369" s="108"/>
      <c r="C369" s="105"/>
    </row>
    <row r="370">
      <c r="A370" s="112"/>
      <c r="B370" s="113"/>
      <c r="C370" s="114"/>
    </row>
    <row r="371">
      <c r="A371" s="101"/>
      <c r="B371" s="102"/>
      <c r="C371" s="103"/>
    </row>
    <row r="372">
      <c r="A372" s="115"/>
      <c r="B372" s="116" t="str">
        <f>IF(B375&lt;&gt;"","FAST CHARGER","")</f>
        <v/>
      </c>
      <c r="C372" s="117"/>
    </row>
    <row r="373">
      <c r="A373" s="108"/>
      <c r="B373" s="13" t="str">
        <f>IF(B384&lt;&gt;"","ITEM NO.","")</f>
        <v/>
      </c>
      <c r="C373" s="97" t="str">
        <f>IF(B375&lt;&gt;"",$C$6,"")</f>
        <v/>
      </c>
    </row>
    <row r="374">
      <c r="A374" s="108"/>
      <c r="B374" s="13"/>
      <c r="C374" s="97"/>
    </row>
    <row r="375">
      <c r="A375" s="108"/>
      <c r="B375" s="109" t="str">
        <f>IF(B366&lt;$C$10,B366+1,"")</f>
        <v/>
      </c>
      <c r="C375" s="118" t="str">
        <f>IMAGE("https://api.qrserver.com/v1/create-qr-code/?size=150x150&amp;data="&amp;ENCODEURL(C373))</f>
        <v/>
      </c>
    </row>
    <row r="376">
      <c r="A376" s="108"/>
      <c r="C376" s="105"/>
    </row>
    <row r="377">
      <c r="A377" s="108"/>
      <c r="C377" s="105"/>
    </row>
    <row r="378">
      <c r="A378" s="108"/>
      <c r="C378" s="105"/>
    </row>
    <row r="379">
      <c r="A379" s="112"/>
      <c r="B379" s="113"/>
      <c r="C379" s="114"/>
    </row>
    <row r="380">
      <c r="A380" s="101"/>
      <c r="B380" s="102"/>
      <c r="C380" s="103"/>
    </row>
    <row r="381">
      <c r="A381" s="115"/>
      <c r="B381" s="116" t="str">
        <f>IF(B384&lt;&gt;"","FAST CHARGER","")</f>
        <v/>
      </c>
      <c r="C381" s="117"/>
    </row>
    <row r="382">
      <c r="A382" s="108"/>
      <c r="B382" s="13" t="str">
        <f>IF(B393&lt;&gt;"","ITEM NO.","")</f>
        <v/>
      </c>
      <c r="C382" s="97" t="str">
        <f>IF(B384&lt;&gt;"",$C$6,"")</f>
        <v/>
      </c>
    </row>
    <row r="383">
      <c r="A383" s="108"/>
      <c r="B383" s="13"/>
      <c r="C383" s="97"/>
    </row>
    <row r="384">
      <c r="A384" s="108"/>
      <c r="B384" s="109" t="str">
        <f>IF(B375&lt;$C$10,B375+1,"")</f>
        <v/>
      </c>
      <c r="C384" s="118" t="str">
        <f>IMAGE("https://api.qrserver.com/v1/create-qr-code/?size=150x150&amp;data="&amp;ENCODEURL(C382))</f>
        <v/>
      </c>
    </row>
    <row r="385">
      <c r="A385" s="108"/>
      <c r="C385" s="105"/>
    </row>
    <row r="386">
      <c r="A386" s="108"/>
      <c r="C386" s="105"/>
    </row>
    <row r="387">
      <c r="A387" s="108"/>
      <c r="C387" s="105"/>
    </row>
    <row r="388">
      <c r="A388" s="112"/>
      <c r="B388" s="113"/>
      <c r="C388" s="114"/>
    </row>
    <row r="389">
      <c r="A389" s="101"/>
      <c r="B389" s="102"/>
      <c r="C389" s="103"/>
    </row>
    <row r="390">
      <c r="A390" s="115"/>
      <c r="B390" s="116" t="str">
        <f>IF(B393&lt;&gt;"","FAST CHARGER","")</f>
        <v/>
      </c>
      <c r="C390" s="117"/>
    </row>
    <row r="391">
      <c r="A391" s="108"/>
      <c r="B391" s="13" t="str">
        <f>IF(B402&lt;&gt;"","ITEM NO.","")</f>
        <v/>
      </c>
      <c r="C391" s="97" t="str">
        <f>IF(B393&lt;&gt;"",$C$6,"")</f>
        <v/>
      </c>
    </row>
    <row r="392">
      <c r="A392" s="108"/>
      <c r="B392" s="13"/>
      <c r="C392" s="97"/>
    </row>
    <row r="393">
      <c r="A393" s="108"/>
      <c r="B393" s="109" t="str">
        <f>IF(B384&lt;$C$10,B384+1,"")</f>
        <v/>
      </c>
      <c r="C393" s="118" t="str">
        <f>IMAGE("https://api.qrserver.com/v1/create-qr-code/?size=150x150&amp;data="&amp;ENCODEURL(C391))</f>
        <v/>
      </c>
    </row>
    <row r="394">
      <c r="A394" s="108"/>
      <c r="C394" s="105"/>
    </row>
    <row r="395">
      <c r="A395" s="108"/>
      <c r="C395" s="105"/>
    </row>
    <row r="396">
      <c r="A396" s="108"/>
      <c r="C396" s="105"/>
    </row>
    <row r="397">
      <c r="A397" s="112"/>
      <c r="B397" s="113"/>
      <c r="C397" s="114"/>
    </row>
    <row r="398">
      <c r="A398" s="101"/>
      <c r="B398" s="102"/>
      <c r="C398" s="103"/>
    </row>
    <row r="399">
      <c r="A399" s="115"/>
      <c r="B399" s="116" t="str">
        <f>IF(B402&lt;&gt;"","FAST CHARGER","")</f>
        <v/>
      </c>
      <c r="C399" s="117"/>
    </row>
    <row r="400">
      <c r="A400" s="108"/>
      <c r="B400" s="13" t="str">
        <f>IF(B411&lt;&gt;"","ITEM NO.","")</f>
        <v/>
      </c>
      <c r="C400" s="97" t="str">
        <f>IF(B402&lt;&gt;"",$C$6,"")</f>
        <v/>
      </c>
    </row>
    <row r="401">
      <c r="A401" s="108"/>
      <c r="B401" s="13"/>
      <c r="C401" s="97"/>
    </row>
    <row r="402">
      <c r="A402" s="108"/>
      <c r="B402" s="109" t="str">
        <f>IF(B393&lt;$C$10,B393+1,"")</f>
        <v/>
      </c>
      <c r="C402" s="118" t="str">
        <f>IMAGE("https://api.qrserver.com/v1/create-qr-code/?size=150x150&amp;data="&amp;ENCODEURL(C400))</f>
        <v/>
      </c>
    </row>
    <row r="403">
      <c r="A403" s="108"/>
      <c r="C403" s="105"/>
    </row>
    <row r="404">
      <c r="A404" s="108"/>
      <c r="C404" s="105"/>
    </row>
    <row r="405">
      <c r="A405" s="108"/>
      <c r="C405" s="105"/>
    </row>
    <row r="406">
      <c r="A406" s="112"/>
      <c r="B406" s="113"/>
      <c r="C406" s="114"/>
    </row>
    <row r="407">
      <c r="A407" s="101"/>
      <c r="B407" s="102"/>
      <c r="C407" s="103"/>
    </row>
    <row r="408">
      <c r="A408" s="115"/>
      <c r="B408" s="116" t="str">
        <f>IF(B411&lt;&gt;"","FAST CHARGER","")</f>
        <v/>
      </c>
      <c r="C408" s="117"/>
    </row>
    <row r="409">
      <c r="A409" s="108"/>
      <c r="B409" s="13" t="str">
        <f>IF(B420&lt;&gt;"","ITEM NO.","")</f>
        <v/>
      </c>
      <c r="C409" s="97" t="str">
        <f>IF(B411&lt;&gt;"",$C$6,"")</f>
        <v/>
      </c>
    </row>
    <row r="410">
      <c r="A410" s="108"/>
      <c r="B410" s="13"/>
      <c r="C410" s="97"/>
    </row>
    <row r="411">
      <c r="A411" s="108"/>
      <c r="B411" s="109" t="str">
        <f>IF(B402&lt;$C$10,B402+1,"")</f>
        <v/>
      </c>
      <c r="C411" s="118" t="str">
        <f>IMAGE("https://api.qrserver.com/v1/create-qr-code/?size=150x150&amp;data="&amp;ENCODEURL(C409))</f>
        <v/>
      </c>
    </row>
    <row r="412">
      <c r="A412" s="108"/>
      <c r="C412" s="105"/>
    </row>
    <row r="413">
      <c r="A413" s="108"/>
      <c r="C413" s="105"/>
    </row>
    <row r="414">
      <c r="A414" s="108"/>
      <c r="C414" s="105"/>
    </row>
    <row r="415">
      <c r="A415" s="112"/>
      <c r="B415" s="113"/>
      <c r="C415" s="114"/>
    </row>
    <row r="416">
      <c r="A416" s="101"/>
      <c r="B416" s="102"/>
      <c r="C416" s="103"/>
    </row>
    <row r="417">
      <c r="A417" s="115"/>
      <c r="B417" s="116" t="str">
        <f>IF(B420&lt;&gt;"","FAST CHARGER","")</f>
        <v/>
      </c>
      <c r="C417" s="117"/>
    </row>
    <row r="418">
      <c r="A418" s="108"/>
      <c r="B418" s="13" t="str">
        <f>IF(B429&lt;&gt;"","ITEM NO.","")</f>
        <v/>
      </c>
      <c r="C418" s="97" t="str">
        <f>IF(B420&lt;&gt;"",$C$6,"")</f>
        <v/>
      </c>
    </row>
    <row r="419">
      <c r="A419" s="108"/>
      <c r="B419" s="13"/>
      <c r="C419" s="97"/>
    </row>
    <row r="420">
      <c r="A420" s="108"/>
      <c r="B420" s="109" t="str">
        <f>IF(B411&lt;$C$10,B411+1,"")</f>
        <v/>
      </c>
      <c r="C420" s="118" t="str">
        <f>IMAGE("https://api.qrserver.com/v1/create-qr-code/?size=150x150&amp;data="&amp;ENCODEURL(C418))</f>
        <v/>
      </c>
    </row>
    <row r="421">
      <c r="A421" s="108"/>
      <c r="C421" s="105"/>
    </row>
    <row r="422">
      <c r="A422" s="108"/>
      <c r="C422" s="105"/>
    </row>
    <row r="423">
      <c r="A423" s="108"/>
      <c r="C423" s="105"/>
    </row>
    <row r="424">
      <c r="A424" s="112"/>
      <c r="B424" s="113"/>
      <c r="C424" s="114"/>
    </row>
    <row r="425">
      <c r="A425" s="101"/>
      <c r="B425" s="102"/>
      <c r="C425" s="103"/>
    </row>
    <row r="426">
      <c r="A426" s="115"/>
      <c r="B426" s="116" t="str">
        <f>IF(B429&lt;&gt;"","FAST CHARGER","")</f>
        <v/>
      </c>
      <c r="C426" s="117"/>
    </row>
    <row r="427">
      <c r="A427" s="108"/>
      <c r="B427" s="13" t="str">
        <f>IF(B438&lt;&gt;"","ITEM NO.","")</f>
        <v/>
      </c>
      <c r="C427" s="97" t="str">
        <f>IF(B429&lt;&gt;"",$C$6,"")</f>
        <v/>
      </c>
    </row>
    <row r="428">
      <c r="A428" s="108"/>
      <c r="B428" s="13"/>
      <c r="C428" s="97"/>
    </row>
    <row r="429">
      <c r="A429" s="108"/>
      <c r="B429" s="109" t="str">
        <f>IF(B420&lt;$C$10,B420+1,"")</f>
        <v/>
      </c>
      <c r="C429" s="118" t="str">
        <f>IMAGE("https://api.qrserver.com/v1/create-qr-code/?size=150x150&amp;data="&amp;ENCODEURL(C427))</f>
        <v/>
      </c>
    </row>
    <row r="430">
      <c r="A430" s="108"/>
      <c r="C430" s="105"/>
    </row>
    <row r="431">
      <c r="A431" s="108"/>
      <c r="C431" s="105"/>
    </row>
    <row r="432">
      <c r="A432" s="108"/>
      <c r="C432" s="105"/>
    </row>
    <row r="433">
      <c r="A433" s="112"/>
      <c r="B433" s="113"/>
      <c r="C433" s="114"/>
    </row>
    <row r="434">
      <c r="A434" s="101"/>
      <c r="B434" s="102"/>
      <c r="C434" s="103"/>
    </row>
    <row r="435">
      <c r="A435" s="115"/>
      <c r="B435" s="116" t="str">
        <f>IF(B438&lt;&gt;"","FAST CHARGER","")</f>
        <v/>
      </c>
      <c r="C435" s="117"/>
    </row>
    <row r="436">
      <c r="A436" s="108"/>
      <c r="B436" s="13" t="str">
        <f>IF(B447&lt;&gt;"","ITEM NO.","")</f>
        <v/>
      </c>
      <c r="C436" s="97" t="str">
        <f>IF(B438&lt;&gt;"",$C$6,"")</f>
        <v/>
      </c>
    </row>
    <row r="437">
      <c r="A437" s="108"/>
      <c r="B437" s="13"/>
      <c r="C437" s="97"/>
    </row>
    <row r="438">
      <c r="A438" s="108"/>
      <c r="B438" s="109" t="str">
        <f>IF(B429&lt;$C$10,B429+1,"")</f>
        <v/>
      </c>
      <c r="C438" s="118" t="str">
        <f>IMAGE("https://api.qrserver.com/v1/create-qr-code/?size=150x150&amp;data="&amp;ENCODEURL(C436))</f>
        <v/>
      </c>
    </row>
    <row r="439">
      <c r="A439" s="108"/>
      <c r="C439" s="105"/>
    </row>
    <row r="440">
      <c r="A440" s="108"/>
      <c r="C440" s="105"/>
    </row>
    <row r="441">
      <c r="A441" s="108"/>
      <c r="C441" s="105"/>
    </row>
    <row r="442">
      <c r="A442" s="112"/>
      <c r="B442" s="113"/>
      <c r="C442" s="114"/>
    </row>
    <row r="443">
      <c r="A443" s="101"/>
      <c r="B443" s="102"/>
      <c r="C443" s="103"/>
    </row>
    <row r="444">
      <c r="A444" s="115"/>
      <c r="B444" s="116" t="str">
        <f>IF(B447&lt;&gt;"","FAST CHARGER","")</f>
        <v/>
      </c>
      <c r="C444" s="117"/>
    </row>
    <row r="445">
      <c r="A445" s="108"/>
      <c r="B445" s="13" t="str">
        <f>IF(B456&lt;&gt;"","ITEM NO.","")</f>
        <v/>
      </c>
      <c r="C445" s="97" t="str">
        <f>IF(B447&lt;&gt;"",$C$6,"")</f>
        <v/>
      </c>
    </row>
    <row r="446">
      <c r="A446" s="108"/>
      <c r="B446" s="13"/>
      <c r="C446" s="97"/>
    </row>
    <row r="447">
      <c r="A447" s="108"/>
      <c r="B447" s="109" t="str">
        <f>IF(B438&lt;$C$10,B438+1,"")</f>
        <v/>
      </c>
      <c r="C447" s="118" t="str">
        <f>IMAGE("https://api.qrserver.com/v1/create-qr-code/?size=150x150&amp;data="&amp;ENCODEURL(C445))</f>
        <v/>
      </c>
    </row>
    <row r="448">
      <c r="A448" s="108"/>
      <c r="C448" s="105"/>
    </row>
    <row r="449">
      <c r="A449" s="108"/>
      <c r="C449" s="105"/>
    </row>
    <row r="450">
      <c r="A450" s="108"/>
      <c r="C450" s="105"/>
    </row>
    <row r="451">
      <c r="A451" s="112"/>
      <c r="B451" s="113"/>
      <c r="C451" s="114"/>
    </row>
    <row r="452">
      <c r="A452" s="101"/>
      <c r="B452" s="102"/>
      <c r="C452" s="103"/>
    </row>
    <row r="453">
      <c r="A453" s="115"/>
      <c r="B453" s="116" t="str">
        <f>IF(B456&lt;&gt;"","FAST CHARGER","")</f>
        <v/>
      </c>
      <c r="C453" s="117"/>
    </row>
    <row r="454">
      <c r="A454" s="108"/>
      <c r="B454" s="13" t="str">
        <f>IF(B465&lt;&gt;"","ITEM NO.","")</f>
        <v/>
      </c>
      <c r="C454" s="97" t="str">
        <f>IF(B456&lt;&gt;"",$C$6,"")</f>
        <v/>
      </c>
    </row>
    <row r="455">
      <c r="A455" s="108"/>
      <c r="B455" s="13"/>
      <c r="C455" s="97"/>
    </row>
    <row r="456">
      <c r="A456" s="108"/>
      <c r="B456" s="109" t="str">
        <f>IF(B447&lt;$C$10,B447+1,"")</f>
        <v/>
      </c>
      <c r="C456" s="118" t="str">
        <f>IMAGE("https://api.qrserver.com/v1/create-qr-code/?size=150x150&amp;data="&amp;ENCODEURL(C454))</f>
        <v/>
      </c>
    </row>
    <row r="457">
      <c r="A457" s="108"/>
      <c r="C457" s="105"/>
    </row>
    <row r="458">
      <c r="A458" s="108"/>
      <c r="C458" s="105"/>
    </row>
    <row r="459">
      <c r="A459" s="108"/>
      <c r="C459" s="105"/>
    </row>
    <row r="460">
      <c r="A460" s="112"/>
      <c r="B460" s="113"/>
      <c r="C460" s="114"/>
    </row>
    <row r="461">
      <c r="A461" s="101"/>
      <c r="B461" s="102"/>
      <c r="C461" s="103"/>
    </row>
    <row r="462">
      <c r="A462" s="115"/>
      <c r="B462" s="116" t="str">
        <f>IF(B465&lt;&gt;"","FAST CHARGER","")</f>
        <v/>
      </c>
      <c r="C462" s="117"/>
    </row>
    <row r="463">
      <c r="A463" s="108"/>
      <c r="B463" s="13" t="str">
        <f>IF(B474&lt;&gt;"","ITEM NO.","")</f>
        <v/>
      </c>
      <c r="C463" s="97" t="str">
        <f>IF(B465&lt;&gt;"",$C$6,"")</f>
        <v/>
      </c>
    </row>
    <row r="464">
      <c r="A464" s="108"/>
      <c r="B464" s="13"/>
      <c r="C464" s="97"/>
    </row>
    <row r="465">
      <c r="A465" s="108"/>
      <c r="B465" s="109" t="str">
        <f>IF(B456&lt;$C$10,B456+1,"")</f>
        <v/>
      </c>
      <c r="C465" s="118" t="str">
        <f>IMAGE("https://api.qrserver.com/v1/create-qr-code/?size=150x150&amp;data="&amp;ENCODEURL(C463))</f>
        <v/>
      </c>
    </row>
    <row r="466">
      <c r="A466" s="108"/>
      <c r="C466" s="105"/>
    </row>
    <row r="467">
      <c r="A467" s="108"/>
      <c r="C467" s="105"/>
    </row>
    <row r="468">
      <c r="A468" s="108"/>
      <c r="C468" s="105"/>
    </row>
    <row r="469">
      <c r="A469" s="112"/>
      <c r="B469" s="113"/>
      <c r="C469" s="114"/>
    </row>
    <row r="470">
      <c r="A470" s="101"/>
      <c r="B470" s="102"/>
      <c r="C470" s="103"/>
    </row>
    <row r="471">
      <c r="A471" s="115"/>
      <c r="B471" s="116" t="str">
        <f>IF(B474&lt;&gt;"","FAST CHARGER","")</f>
        <v/>
      </c>
      <c r="C471" s="117"/>
    </row>
    <row r="472">
      <c r="A472" s="108"/>
      <c r="B472" s="13" t="str">
        <f>IF(B483&lt;&gt;"","ITEM NO.","")</f>
        <v/>
      </c>
      <c r="C472" s="97" t="str">
        <f>IF(B474&lt;&gt;"",$C$6,"")</f>
        <v/>
      </c>
    </row>
    <row r="473">
      <c r="A473" s="108"/>
      <c r="B473" s="13"/>
      <c r="C473" s="97"/>
    </row>
    <row r="474">
      <c r="A474" s="108"/>
      <c r="B474" s="109" t="str">
        <f>IF(B465&lt;$C$10,B465+1,"")</f>
        <v/>
      </c>
      <c r="C474" s="118" t="str">
        <f>IMAGE("https://api.qrserver.com/v1/create-qr-code/?size=150x150&amp;data="&amp;ENCODEURL(C472))</f>
        <v/>
      </c>
    </row>
    <row r="475">
      <c r="A475" s="108"/>
      <c r="C475" s="105"/>
    </row>
    <row r="476">
      <c r="A476" s="108"/>
      <c r="C476" s="105"/>
    </row>
    <row r="477">
      <c r="A477" s="108"/>
      <c r="C477" s="105"/>
    </row>
    <row r="478">
      <c r="A478" s="112"/>
      <c r="B478" s="113"/>
      <c r="C478" s="114"/>
    </row>
    <row r="479">
      <c r="A479" s="101"/>
      <c r="B479" s="102"/>
      <c r="C479" s="103"/>
    </row>
    <row r="480">
      <c r="A480" s="115"/>
      <c r="B480" s="116" t="str">
        <f>IF(B483&lt;&gt;"","FAST CHARGER","")</f>
        <v/>
      </c>
      <c r="C480" s="117"/>
    </row>
    <row r="481">
      <c r="A481" s="108"/>
      <c r="B481" s="13" t="str">
        <f>IF(B492&lt;&gt;"","ITEM NO.","")</f>
        <v/>
      </c>
      <c r="C481" s="97" t="str">
        <f>IF(B483&lt;&gt;"",$C$6,"")</f>
        <v/>
      </c>
    </row>
    <row r="482">
      <c r="A482" s="108"/>
      <c r="B482" s="13"/>
      <c r="C482" s="97"/>
    </row>
    <row r="483">
      <c r="A483" s="108"/>
      <c r="B483" s="109" t="str">
        <f>IF(B474&lt;$C$10,B474+1,"")</f>
        <v/>
      </c>
      <c r="C483" s="118" t="str">
        <f>IMAGE("https://api.qrserver.com/v1/create-qr-code/?size=150x150&amp;data="&amp;ENCODEURL(C481))</f>
        <v/>
      </c>
    </row>
    <row r="484">
      <c r="A484" s="108"/>
      <c r="C484" s="105"/>
    </row>
    <row r="485">
      <c r="A485" s="108"/>
      <c r="C485" s="105"/>
    </row>
    <row r="486">
      <c r="A486" s="108"/>
      <c r="C486" s="105"/>
    </row>
    <row r="487">
      <c r="A487" s="112"/>
      <c r="B487" s="113"/>
      <c r="C487" s="114"/>
    </row>
    <row r="488">
      <c r="A488" s="101"/>
      <c r="B488" s="102"/>
      <c r="C488" s="103"/>
    </row>
    <row r="489">
      <c r="A489" s="115"/>
      <c r="B489" s="116" t="str">
        <f>IF(B492&lt;&gt;"","FAST CHARGER","")</f>
        <v/>
      </c>
      <c r="C489" s="117"/>
    </row>
    <row r="490">
      <c r="A490" s="108"/>
      <c r="B490" s="13" t="str">
        <f>IF(B501&lt;&gt;"","ITEM NO.","")</f>
        <v/>
      </c>
      <c r="C490" s="97" t="str">
        <f>IF(B492&lt;&gt;"",$C$6,"")</f>
        <v/>
      </c>
    </row>
    <row r="491">
      <c r="A491" s="108"/>
      <c r="B491" s="13"/>
      <c r="C491" s="97"/>
    </row>
    <row r="492">
      <c r="A492" s="108"/>
      <c r="B492" s="109" t="str">
        <f>IF(B483&lt;$C$10,B483+1,"")</f>
        <v/>
      </c>
      <c r="C492" s="118" t="str">
        <f>IMAGE("https://api.qrserver.com/v1/create-qr-code/?size=150x150&amp;data="&amp;ENCODEURL(C490))</f>
        <v/>
      </c>
    </row>
    <row r="493">
      <c r="A493" s="108"/>
      <c r="C493" s="105"/>
    </row>
    <row r="494">
      <c r="A494" s="108"/>
      <c r="C494" s="105"/>
    </row>
    <row r="495">
      <c r="A495" s="108"/>
      <c r="C495" s="105"/>
    </row>
    <row r="496">
      <c r="A496" s="112"/>
      <c r="B496" s="113"/>
      <c r="C496" s="114"/>
    </row>
    <row r="497">
      <c r="A497" s="101"/>
      <c r="B497" s="102"/>
      <c r="C497" s="103"/>
    </row>
    <row r="498">
      <c r="A498" s="115"/>
      <c r="B498" s="116" t="str">
        <f>IF(B501&lt;&gt;"","FAST CHARGER","")</f>
        <v/>
      </c>
      <c r="C498" s="117"/>
    </row>
    <row r="499">
      <c r="A499" s="108"/>
      <c r="B499" s="13" t="str">
        <f>IF(B510&lt;&gt;"","ITEM NO.","")</f>
        <v/>
      </c>
      <c r="C499" s="97" t="str">
        <f>IF(B501&lt;&gt;"",$C$6,"")</f>
        <v/>
      </c>
    </row>
    <row r="500">
      <c r="A500" s="108"/>
      <c r="B500" s="13"/>
      <c r="C500" s="97"/>
    </row>
    <row r="501">
      <c r="A501" s="108"/>
      <c r="B501" s="109" t="str">
        <f>IF(B492&lt;$C$10,B492+1,"")</f>
        <v/>
      </c>
      <c r="C501" s="118" t="str">
        <f>IMAGE("https://api.qrserver.com/v1/create-qr-code/?size=150x150&amp;data="&amp;ENCODEURL(C499))</f>
        <v/>
      </c>
    </row>
    <row r="502">
      <c r="A502" s="108"/>
      <c r="C502" s="105"/>
    </row>
    <row r="503">
      <c r="A503" s="108"/>
      <c r="C503" s="105"/>
    </row>
    <row r="504">
      <c r="A504" s="108"/>
      <c r="C504" s="105"/>
    </row>
    <row r="505">
      <c r="A505" s="112"/>
      <c r="B505" s="113"/>
      <c r="C505" s="114"/>
    </row>
    <row r="506">
      <c r="A506" s="101"/>
      <c r="B506" s="102"/>
      <c r="C506" s="103"/>
    </row>
    <row r="507">
      <c r="A507" s="115"/>
      <c r="B507" s="116" t="str">
        <f>IF(B510&lt;&gt;"","FAST CHARGER","")</f>
        <v/>
      </c>
      <c r="C507" s="117"/>
    </row>
    <row r="508">
      <c r="A508" s="108"/>
      <c r="B508" s="13" t="str">
        <f>IF(B519&lt;&gt;"","ITEM NO.","")</f>
        <v/>
      </c>
      <c r="C508" s="97" t="str">
        <f>IF(B510&lt;&gt;"",$C$6,"")</f>
        <v/>
      </c>
    </row>
    <row r="509">
      <c r="A509" s="108"/>
      <c r="B509" s="13"/>
      <c r="C509" s="97"/>
    </row>
    <row r="510">
      <c r="A510" s="108"/>
      <c r="B510" s="109" t="str">
        <f>IF(B501&lt;$C$10,B501+1,"")</f>
        <v/>
      </c>
      <c r="C510" s="118" t="str">
        <f>IMAGE("https://api.qrserver.com/v1/create-qr-code/?size=150x150&amp;data="&amp;ENCODEURL(C508))</f>
        <v/>
      </c>
    </row>
    <row r="511">
      <c r="A511" s="108"/>
      <c r="C511" s="105"/>
    </row>
    <row r="512">
      <c r="A512" s="108"/>
      <c r="C512" s="105"/>
    </row>
    <row r="513">
      <c r="A513" s="108"/>
      <c r="C513" s="105"/>
    </row>
    <row r="514">
      <c r="A514" s="112"/>
      <c r="B514" s="113"/>
      <c r="C514" s="114"/>
    </row>
    <row r="515">
      <c r="A515" s="101"/>
      <c r="B515" s="102"/>
      <c r="C515" s="103"/>
    </row>
    <row r="516">
      <c r="A516" s="115"/>
      <c r="B516" s="116" t="str">
        <f>IF(B519&lt;&gt;"","FAST CHARGER","")</f>
        <v/>
      </c>
      <c r="C516" s="117"/>
    </row>
    <row r="517">
      <c r="A517" s="108"/>
      <c r="B517" s="13" t="str">
        <f>IF(B528&lt;&gt;"","ITEM NO.","")</f>
        <v/>
      </c>
      <c r="C517" s="97" t="str">
        <f>IF(B519&lt;&gt;"",$C$6,"")</f>
        <v/>
      </c>
    </row>
    <row r="518">
      <c r="A518" s="108"/>
      <c r="B518" s="13"/>
      <c r="C518" s="97"/>
    </row>
    <row r="519">
      <c r="A519" s="108"/>
      <c r="B519" s="109" t="str">
        <f>IF(B510&lt;$C$10,B510+1,"")</f>
        <v/>
      </c>
      <c r="C519" s="118" t="str">
        <f>IMAGE("https://api.qrserver.com/v1/create-qr-code/?size=150x150&amp;data="&amp;ENCODEURL(C517))</f>
        <v/>
      </c>
    </row>
    <row r="520">
      <c r="A520" s="108"/>
      <c r="C520" s="105"/>
    </row>
    <row r="521">
      <c r="A521" s="108"/>
      <c r="C521" s="105"/>
    </row>
    <row r="522">
      <c r="A522" s="108"/>
      <c r="C522" s="105"/>
    </row>
    <row r="523">
      <c r="A523" s="112"/>
      <c r="B523" s="113"/>
      <c r="C523" s="114"/>
    </row>
    <row r="524">
      <c r="A524" s="101"/>
      <c r="B524" s="102"/>
      <c r="C524" s="103"/>
    </row>
    <row r="525">
      <c r="A525" s="115"/>
      <c r="B525" s="116" t="str">
        <f>IF(B528&lt;&gt;"","FAST CHARGER","")</f>
        <v/>
      </c>
      <c r="C525" s="117"/>
    </row>
    <row r="526">
      <c r="A526" s="108"/>
      <c r="B526" s="13" t="str">
        <f>IF(B537&lt;&gt;"","ITEM NO.","")</f>
        <v/>
      </c>
      <c r="C526" s="97" t="str">
        <f>IF(B528&lt;&gt;"",$C$6,"")</f>
        <v/>
      </c>
    </row>
    <row r="527">
      <c r="A527" s="108"/>
      <c r="B527" s="13"/>
      <c r="C527" s="97"/>
    </row>
    <row r="528">
      <c r="A528" s="108"/>
      <c r="B528" s="109" t="str">
        <f>IF(B519&lt;$C$10,B519+1,"")</f>
        <v/>
      </c>
      <c r="C528" s="118" t="str">
        <f>IMAGE("https://api.qrserver.com/v1/create-qr-code/?size=150x150&amp;data="&amp;ENCODEURL(C526))</f>
        <v/>
      </c>
    </row>
    <row r="529">
      <c r="A529" s="108"/>
      <c r="C529" s="105"/>
    </row>
    <row r="530">
      <c r="A530" s="108"/>
      <c r="C530" s="105"/>
    </row>
    <row r="531">
      <c r="A531" s="108"/>
      <c r="C531" s="105"/>
    </row>
    <row r="532">
      <c r="A532" s="112"/>
      <c r="B532" s="113"/>
      <c r="C532" s="114"/>
    </row>
    <row r="533">
      <c r="A533" s="101"/>
      <c r="B533" s="102"/>
      <c r="C533" s="103"/>
    </row>
    <row r="534">
      <c r="A534" s="115"/>
      <c r="B534" s="116" t="str">
        <f>IF(B537&lt;&gt;"","FAST CHARGER","")</f>
        <v/>
      </c>
      <c r="C534" s="117"/>
    </row>
    <row r="535">
      <c r="A535" s="108"/>
      <c r="B535" s="13" t="str">
        <f>IF(B546&lt;&gt;"","ITEM NO.","")</f>
        <v/>
      </c>
      <c r="C535" s="97" t="str">
        <f>IF(B537&lt;&gt;"",$C$6,"")</f>
        <v/>
      </c>
    </row>
    <row r="536">
      <c r="A536" s="108"/>
      <c r="B536" s="13"/>
      <c r="C536" s="97"/>
    </row>
    <row r="537">
      <c r="A537" s="108"/>
      <c r="B537" s="109" t="str">
        <f>IF(B528&lt;$C$10,B528+1,"")</f>
        <v/>
      </c>
      <c r="C537" s="118" t="str">
        <f>IMAGE("https://api.qrserver.com/v1/create-qr-code/?size=150x150&amp;data="&amp;ENCODEURL(C535))</f>
        <v/>
      </c>
    </row>
    <row r="538">
      <c r="A538" s="108"/>
      <c r="C538" s="105"/>
    </row>
    <row r="539">
      <c r="A539" s="108"/>
      <c r="C539" s="105"/>
    </row>
    <row r="540">
      <c r="A540" s="108"/>
      <c r="C540" s="105"/>
    </row>
    <row r="541">
      <c r="A541" s="112"/>
      <c r="B541" s="113"/>
      <c r="C541" s="114"/>
    </row>
    <row r="542">
      <c r="A542" s="101"/>
      <c r="B542" s="102"/>
      <c r="C542" s="103"/>
    </row>
    <row r="543">
      <c r="A543" s="115"/>
      <c r="B543" s="116" t="str">
        <f>IF(B546&lt;&gt;"","FAST CHARGER","")</f>
        <v/>
      </c>
      <c r="C543" s="117"/>
    </row>
    <row r="544">
      <c r="A544" s="108"/>
      <c r="B544" s="13" t="str">
        <f>IF(B555&lt;&gt;"","ITEM NO.","")</f>
        <v/>
      </c>
      <c r="C544" s="97" t="str">
        <f>IF(B546&lt;&gt;"",$C$6,"")</f>
        <v/>
      </c>
    </row>
    <row r="545">
      <c r="A545" s="108"/>
      <c r="B545" s="13"/>
      <c r="C545" s="97"/>
    </row>
    <row r="546">
      <c r="A546" s="108"/>
      <c r="B546" s="109" t="str">
        <f>IF(B537&lt;$C$10,B537+1,"")</f>
        <v/>
      </c>
      <c r="C546" s="118" t="str">
        <f>IMAGE("https://api.qrserver.com/v1/create-qr-code/?size=150x150&amp;data="&amp;ENCODEURL(C544))</f>
        <v/>
      </c>
    </row>
    <row r="547">
      <c r="A547" s="108"/>
      <c r="C547" s="105"/>
    </row>
    <row r="548">
      <c r="A548" s="108"/>
      <c r="C548" s="105"/>
    </row>
    <row r="549">
      <c r="A549" s="108"/>
      <c r="C549" s="105"/>
    </row>
    <row r="550">
      <c r="A550" s="112"/>
      <c r="B550" s="113"/>
      <c r="C550" s="114"/>
    </row>
    <row r="551">
      <c r="A551" s="101"/>
      <c r="B551" s="102"/>
      <c r="C551" s="103"/>
    </row>
    <row r="552">
      <c r="A552" s="115"/>
      <c r="B552" s="116" t="str">
        <f>IF(B555&lt;&gt;"","FAST CHARGER","")</f>
        <v/>
      </c>
      <c r="C552" s="117"/>
    </row>
    <row r="553">
      <c r="A553" s="108"/>
      <c r="B553" s="13" t="str">
        <f>IF(B564&lt;&gt;"","ITEM NO.","")</f>
        <v/>
      </c>
      <c r="C553" s="97" t="str">
        <f>IF(B555&lt;&gt;"",$C$6,"")</f>
        <v/>
      </c>
    </row>
    <row r="554">
      <c r="A554" s="108"/>
      <c r="B554" s="13"/>
      <c r="C554" s="97"/>
    </row>
    <row r="555">
      <c r="A555" s="108"/>
      <c r="B555" s="109" t="str">
        <f>IF(B546&lt;$C$10,B546+1,"")</f>
        <v/>
      </c>
      <c r="C555" s="118" t="str">
        <f>IMAGE("https://api.qrserver.com/v1/create-qr-code/?size=150x150&amp;data="&amp;ENCODEURL(C553))</f>
        <v/>
      </c>
    </row>
    <row r="556">
      <c r="A556" s="108"/>
      <c r="C556" s="105"/>
    </row>
    <row r="557">
      <c r="A557" s="108"/>
      <c r="C557" s="105"/>
    </row>
    <row r="558">
      <c r="A558" s="108"/>
      <c r="C558" s="105"/>
    </row>
    <row r="559">
      <c r="A559" s="112"/>
      <c r="B559" s="113"/>
      <c r="C559" s="114"/>
    </row>
    <row r="560">
      <c r="A560" s="101"/>
      <c r="B560" s="102"/>
      <c r="C560" s="103"/>
    </row>
    <row r="561">
      <c r="A561" s="115"/>
      <c r="B561" s="116" t="str">
        <f>IF(B564&lt;&gt;"","FAST CHARGER","")</f>
        <v/>
      </c>
      <c r="C561" s="117"/>
    </row>
    <row r="562">
      <c r="A562" s="108"/>
      <c r="B562" s="13" t="str">
        <f>IF(B573&lt;&gt;"","ITEM NO.","")</f>
        <v/>
      </c>
      <c r="C562" s="97" t="str">
        <f>IF(B564&lt;&gt;"",$C$6,"")</f>
        <v/>
      </c>
    </row>
    <row r="563">
      <c r="A563" s="108"/>
      <c r="B563" s="13"/>
      <c r="C563" s="97"/>
    </row>
    <row r="564">
      <c r="A564" s="108"/>
      <c r="B564" s="109" t="str">
        <f>IF(B555&lt;$C$10,B555+1,"")</f>
        <v/>
      </c>
      <c r="C564" s="118" t="str">
        <f>IMAGE("https://api.qrserver.com/v1/create-qr-code/?size=150x150&amp;data="&amp;ENCODEURL(C562))</f>
        <v/>
      </c>
    </row>
    <row r="565">
      <c r="A565" s="108"/>
      <c r="C565" s="105"/>
    </row>
    <row r="566">
      <c r="A566" s="108"/>
      <c r="C566" s="105"/>
    </row>
    <row r="567">
      <c r="A567" s="108"/>
      <c r="C567" s="105"/>
    </row>
    <row r="568">
      <c r="A568" s="112"/>
      <c r="B568" s="113"/>
      <c r="C568" s="114"/>
    </row>
    <row r="569">
      <c r="A569" s="101"/>
      <c r="B569" s="102"/>
      <c r="C569" s="103"/>
    </row>
    <row r="570">
      <c r="A570" s="115"/>
      <c r="B570" s="116" t="str">
        <f>IF(B573&lt;&gt;"","FAST CHARGER","")</f>
        <v/>
      </c>
      <c r="C570" s="117"/>
    </row>
    <row r="571">
      <c r="A571" s="108"/>
      <c r="B571" s="13" t="str">
        <f>IF(B582&lt;&gt;"","ITEM NO.","")</f>
        <v/>
      </c>
      <c r="C571" s="97" t="str">
        <f>IF(B573&lt;&gt;"",$C$6,"")</f>
        <v/>
      </c>
    </row>
    <row r="572">
      <c r="A572" s="108"/>
      <c r="B572" s="13"/>
      <c r="C572" s="97"/>
    </row>
    <row r="573">
      <c r="A573" s="108"/>
      <c r="B573" s="109" t="str">
        <f>IF(B564&lt;$C$10,B564+1,"")</f>
        <v/>
      </c>
      <c r="C573" s="118" t="str">
        <f>IMAGE("https://api.qrserver.com/v1/create-qr-code/?size=150x150&amp;data="&amp;ENCODEURL(C571))</f>
        <v/>
      </c>
    </row>
    <row r="574">
      <c r="A574" s="108"/>
      <c r="C574" s="105"/>
    </row>
    <row r="575">
      <c r="A575" s="108"/>
      <c r="C575" s="105"/>
    </row>
    <row r="576">
      <c r="A576" s="108"/>
      <c r="C576" s="105"/>
    </row>
    <row r="577">
      <c r="A577" s="112"/>
      <c r="B577" s="113"/>
      <c r="C577" s="114"/>
    </row>
    <row r="578">
      <c r="A578" s="101"/>
      <c r="B578" s="102"/>
      <c r="C578" s="103"/>
    </row>
    <row r="579">
      <c r="A579" s="115"/>
      <c r="B579" s="116" t="str">
        <f>IF(B582&lt;&gt;"","FAST CHARGER","")</f>
        <v/>
      </c>
      <c r="C579" s="117"/>
    </row>
    <row r="580">
      <c r="A580" s="108"/>
      <c r="B580" s="13" t="str">
        <f>IF(B591&lt;&gt;"","ITEM NO.","")</f>
        <v/>
      </c>
      <c r="C580" s="97" t="str">
        <f>IF(B582&lt;&gt;"",$C$6,"")</f>
        <v/>
      </c>
    </row>
    <row r="581">
      <c r="A581" s="108"/>
      <c r="B581" s="13"/>
      <c r="C581" s="97"/>
    </row>
    <row r="582">
      <c r="A582" s="108"/>
      <c r="B582" s="109" t="str">
        <f>IF(B573&lt;$C$10,B573+1,"")</f>
        <v/>
      </c>
      <c r="C582" s="118" t="str">
        <f>IMAGE("https://api.qrserver.com/v1/create-qr-code/?size=150x150&amp;data="&amp;ENCODEURL(C580))</f>
        <v/>
      </c>
    </row>
    <row r="583">
      <c r="A583" s="108"/>
      <c r="C583" s="105"/>
    </row>
    <row r="584">
      <c r="A584" s="108"/>
      <c r="C584" s="105"/>
    </row>
    <row r="585">
      <c r="A585" s="108"/>
      <c r="C585" s="105"/>
    </row>
    <row r="586">
      <c r="A586" s="112"/>
      <c r="B586" s="113"/>
      <c r="C586" s="114"/>
    </row>
    <row r="587">
      <c r="A587" s="101"/>
      <c r="B587" s="102"/>
      <c r="C587" s="103"/>
    </row>
    <row r="588">
      <c r="A588" s="115"/>
      <c r="B588" s="116" t="str">
        <f>IF(B591&lt;&gt;"","FAST CHARGER","")</f>
        <v/>
      </c>
      <c r="C588" s="117"/>
    </row>
    <row r="589">
      <c r="A589" s="108"/>
      <c r="B589" s="13" t="str">
        <f>IF(B600&lt;&gt;"","ITEM NO.","")</f>
        <v/>
      </c>
      <c r="C589" s="97" t="str">
        <f>IF(B591&lt;&gt;"",$C$6,"")</f>
        <v/>
      </c>
    </row>
    <row r="590">
      <c r="A590" s="108"/>
      <c r="B590" s="13"/>
      <c r="C590" s="97"/>
    </row>
    <row r="591">
      <c r="A591" s="108"/>
      <c r="B591" s="109" t="str">
        <f>IF(B582&lt;$C$10,B582+1,"")</f>
        <v/>
      </c>
      <c r="C591" s="118" t="str">
        <f>IMAGE("https://api.qrserver.com/v1/create-qr-code/?size=150x150&amp;data="&amp;ENCODEURL(C589))</f>
        <v/>
      </c>
    </row>
    <row r="592">
      <c r="A592" s="108"/>
      <c r="C592" s="105"/>
    </row>
    <row r="593">
      <c r="A593" s="108"/>
      <c r="C593" s="105"/>
    </row>
    <row r="594">
      <c r="A594" s="108"/>
      <c r="C594" s="105"/>
    </row>
    <row r="595">
      <c r="A595" s="112"/>
      <c r="B595" s="113"/>
      <c r="C595" s="114"/>
    </row>
    <row r="596">
      <c r="A596" s="101"/>
      <c r="B596" s="102"/>
      <c r="C596" s="103"/>
    </row>
    <row r="597">
      <c r="A597" s="115"/>
      <c r="B597" s="116" t="str">
        <f>IF(B600&lt;&gt;"","FAST CHARGER","")</f>
        <v/>
      </c>
      <c r="C597" s="117"/>
    </row>
    <row r="598">
      <c r="A598" s="108"/>
      <c r="B598" s="13" t="str">
        <f>IF(B609&lt;&gt;"","ITEM NO.","")</f>
        <v/>
      </c>
      <c r="C598" s="97" t="str">
        <f>IF(B600&lt;&gt;"",$C$6,"")</f>
        <v/>
      </c>
    </row>
    <row r="599">
      <c r="A599" s="108"/>
      <c r="B599" s="13"/>
      <c r="C599" s="97"/>
    </row>
    <row r="600">
      <c r="A600" s="108"/>
      <c r="B600" s="109" t="str">
        <f>IF(B591&lt;$C$10,B591+1,"")</f>
        <v/>
      </c>
      <c r="C600" s="118" t="str">
        <f>IMAGE("https://api.qrserver.com/v1/create-qr-code/?size=150x150&amp;data="&amp;ENCODEURL(C598))</f>
        <v/>
      </c>
    </row>
    <row r="601">
      <c r="A601" s="108"/>
      <c r="C601" s="105"/>
    </row>
    <row r="602">
      <c r="A602" s="108"/>
      <c r="C602" s="105"/>
    </row>
    <row r="603">
      <c r="A603" s="108"/>
      <c r="C603" s="105"/>
    </row>
    <row r="604">
      <c r="A604" s="112"/>
      <c r="B604" s="113"/>
      <c r="C604" s="114"/>
    </row>
    <row r="605">
      <c r="A605" s="101"/>
      <c r="B605" s="102"/>
      <c r="C605" s="103"/>
    </row>
    <row r="606">
      <c r="A606" s="115"/>
      <c r="B606" s="116" t="str">
        <f>IF(B609&lt;&gt;"","FAST CHARGER","")</f>
        <v/>
      </c>
      <c r="C606" s="117"/>
    </row>
    <row r="607">
      <c r="A607" s="108"/>
      <c r="B607" s="13" t="str">
        <f>IF(B618&lt;&gt;"","ITEM NO.","")</f>
        <v/>
      </c>
      <c r="C607" s="97" t="str">
        <f>IF(B609&lt;&gt;"",$C$6,"")</f>
        <v/>
      </c>
    </row>
    <row r="608">
      <c r="A608" s="108"/>
      <c r="B608" s="13"/>
      <c r="C608" s="97"/>
    </row>
    <row r="609">
      <c r="A609" s="108"/>
      <c r="B609" s="109" t="str">
        <f>IF(B600&lt;$C$10,B600+1,"")</f>
        <v/>
      </c>
      <c r="C609" s="118" t="str">
        <f>IMAGE("https://api.qrserver.com/v1/create-qr-code/?size=150x150&amp;data="&amp;ENCODEURL(C607))</f>
        <v/>
      </c>
    </row>
    <row r="610">
      <c r="A610" s="108"/>
      <c r="C610" s="105"/>
    </row>
    <row r="611">
      <c r="A611" s="108"/>
      <c r="C611" s="105"/>
    </row>
    <row r="612">
      <c r="A612" s="108"/>
      <c r="C612" s="105"/>
    </row>
    <row r="613">
      <c r="A613" s="112"/>
      <c r="B613" s="113"/>
      <c r="C613" s="114"/>
    </row>
    <row r="614">
      <c r="A614" s="101"/>
      <c r="B614" s="102"/>
      <c r="C614" s="103"/>
    </row>
    <row r="615">
      <c r="A615" s="115"/>
      <c r="B615" s="116" t="str">
        <f>IF(B618&lt;&gt;"","FAST CHARGER","")</f>
        <v/>
      </c>
      <c r="C615" s="117"/>
    </row>
    <row r="616">
      <c r="A616" s="108"/>
      <c r="B616" s="13" t="str">
        <f>IF(B627&lt;&gt;"","ITEM NO.","")</f>
        <v/>
      </c>
      <c r="C616" s="97" t="str">
        <f>IF(B618&lt;&gt;"",$C$6,"")</f>
        <v/>
      </c>
    </row>
    <row r="617">
      <c r="A617" s="108"/>
      <c r="B617" s="13"/>
      <c r="C617" s="97"/>
    </row>
    <row r="618">
      <c r="A618" s="108"/>
      <c r="B618" s="109" t="str">
        <f>IF(B609&lt;$C$10,B609+1,"")</f>
        <v/>
      </c>
      <c r="C618" s="118" t="str">
        <f>IMAGE("https://api.qrserver.com/v1/create-qr-code/?size=150x150&amp;data="&amp;ENCODEURL(C616))</f>
        <v/>
      </c>
    </row>
    <row r="619">
      <c r="A619" s="108"/>
      <c r="C619" s="105"/>
    </row>
    <row r="620">
      <c r="A620" s="108"/>
      <c r="C620" s="105"/>
    </row>
    <row r="621">
      <c r="A621" s="108"/>
      <c r="C621" s="105"/>
    </row>
    <row r="622">
      <c r="A622" s="112"/>
      <c r="B622" s="113"/>
      <c r="C622" s="114"/>
    </row>
    <row r="623">
      <c r="A623" s="101"/>
      <c r="B623" s="102"/>
      <c r="C623" s="103"/>
    </row>
    <row r="624">
      <c r="A624" s="115"/>
      <c r="B624" s="116" t="str">
        <f>IF(B627&lt;&gt;"","FAST CHARGER","")</f>
        <v/>
      </c>
      <c r="C624" s="117"/>
    </row>
    <row r="625">
      <c r="A625" s="108"/>
      <c r="B625" s="13" t="str">
        <f>IF(B636&lt;&gt;"","ITEM NO.","")</f>
        <v/>
      </c>
      <c r="C625" s="97" t="str">
        <f>IF(B627&lt;&gt;"",$C$6,"")</f>
        <v/>
      </c>
    </row>
    <row r="626">
      <c r="A626" s="108"/>
      <c r="B626" s="13"/>
      <c r="C626" s="97"/>
    </row>
    <row r="627">
      <c r="A627" s="108"/>
      <c r="B627" s="109" t="str">
        <f>IF(B618&lt;$C$10,B618+1,"")</f>
        <v/>
      </c>
      <c r="C627" s="118" t="str">
        <f>IMAGE("https://api.qrserver.com/v1/create-qr-code/?size=150x150&amp;data="&amp;ENCODEURL(C625))</f>
        <v/>
      </c>
    </row>
    <row r="628">
      <c r="A628" s="108"/>
      <c r="C628" s="105"/>
    </row>
    <row r="629">
      <c r="A629" s="108"/>
      <c r="C629" s="105"/>
    </row>
    <row r="630">
      <c r="A630" s="108"/>
      <c r="C630" s="105"/>
    </row>
    <row r="631">
      <c r="A631" s="112"/>
      <c r="B631" s="113"/>
      <c r="C631" s="114"/>
    </row>
    <row r="632">
      <c r="A632" s="101"/>
      <c r="B632" s="102"/>
      <c r="C632" s="103"/>
    </row>
    <row r="633">
      <c r="A633" s="115"/>
      <c r="B633" s="116" t="str">
        <f>IF(B636&lt;&gt;"","FAST CHARGER","")</f>
        <v/>
      </c>
      <c r="C633" s="117"/>
    </row>
    <row r="634">
      <c r="A634" s="108"/>
      <c r="B634" s="13" t="str">
        <f>IF(B645&lt;&gt;"","ITEM NO.","")</f>
        <v/>
      </c>
      <c r="C634" s="97" t="str">
        <f>IF(B636&lt;&gt;"",$C$6,"")</f>
        <v/>
      </c>
    </row>
    <row r="635">
      <c r="A635" s="108"/>
      <c r="B635" s="13"/>
      <c r="C635" s="97"/>
    </row>
    <row r="636">
      <c r="A636" s="108"/>
      <c r="B636" s="109" t="str">
        <f>IF(B627&lt;$C$10,B627+1,"")</f>
        <v/>
      </c>
      <c r="C636" s="118" t="str">
        <f>IMAGE("https://api.qrserver.com/v1/create-qr-code/?size=150x150&amp;data="&amp;ENCODEURL(C634))</f>
        <v/>
      </c>
    </row>
    <row r="637">
      <c r="A637" s="108"/>
      <c r="C637" s="105"/>
    </row>
    <row r="638">
      <c r="A638" s="108"/>
      <c r="C638" s="105"/>
    </row>
    <row r="639">
      <c r="A639" s="108"/>
      <c r="C639" s="105"/>
    </row>
    <row r="640">
      <c r="A640" s="112"/>
      <c r="B640" s="113"/>
      <c r="C640" s="114"/>
    </row>
    <row r="641">
      <c r="A641" s="101"/>
      <c r="B641" s="102"/>
      <c r="C641" s="103"/>
    </row>
    <row r="642">
      <c r="A642" s="115"/>
      <c r="B642" s="116" t="str">
        <f>IF(B645&lt;&gt;"","FAST CHARGER","")</f>
        <v/>
      </c>
      <c r="C642" s="117"/>
    </row>
    <row r="643">
      <c r="A643" s="108"/>
      <c r="B643" s="13" t="str">
        <f>IF(B654&lt;&gt;"","ITEM NO.","")</f>
        <v/>
      </c>
      <c r="C643" s="97" t="str">
        <f>IF(B645&lt;&gt;"",$C$6,"")</f>
        <v/>
      </c>
    </row>
    <row r="644">
      <c r="A644" s="108"/>
      <c r="B644" s="13"/>
      <c r="C644" s="97"/>
    </row>
    <row r="645">
      <c r="A645" s="108"/>
      <c r="B645" s="109" t="str">
        <f>IF(B636&lt;$C$10,B636+1,"")</f>
        <v/>
      </c>
      <c r="C645" s="118" t="str">
        <f>IMAGE("https://api.qrserver.com/v1/create-qr-code/?size=150x150&amp;data="&amp;ENCODEURL(C643))</f>
        <v/>
      </c>
    </row>
    <row r="646">
      <c r="A646" s="108"/>
      <c r="C646" s="105"/>
    </row>
    <row r="647">
      <c r="A647" s="108"/>
      <c r="C647" s="105"/>
    </row>
    <row r="648">
      <c r="A648" s="108"/>
      <c r="C648" s="105"/>
    </row>
    <row r="649">
      <c r="A649" s="112"/>
      <c r="B649" s="113"/>
      <c r="C649" s="114"/>
    </row>
    <row r="650">
      <c r="A650" s="101"/>
      <c r="B650" s="102"/>
      <c r="C650" s="103"/>
    </row>
    <row r="651">
      <c r="A651" s="115"/>
      <c r="B651" s="116" t="str">
        <f>IF(B654&lt;&gt;"","FAST CHARGER","")</f>
        <v/>
      </c>
      <c r="C651" s="117"/>
    </row>
    <row r="652">
      <c r="A652" s="108"/>
      <c r="B652" s="13" t="str">
        <f>IF(B663&lt;&gt;"","ITEM NO.","")</f>
        <v/>
      </c>
      <c r="C652" s="97" t="str">
        <f>IF(B654&lt;&gt;"",$C$6,"")</f>
        <v/>
      </c>
    </row>
    <row r="653">
      <c r="A653" s="108"/>
      <c r="B653" s="13"/>
      <c r="C653" s="97"/>
    </row>
    <row r="654">
      <c r="A654" s="108"/>
      <c r="B654" s="109" t="str">
        <f>IF(B645&lt;$C$10,B645+1,"")</f>
        <v/>
      </c>
      <c r="C654" s="118" t="str">
        <f>IMAGE("https://api.qrserver.com/v1/create-qr-code/?size=150x150&amp;data="&amp;ENCODEURL(C652))</f>
        <v/>
      </c>
    </row>
    <row r="655">
      <c r="A655" s="108"/>
      <c r="C655" s="105"/>
    </row>
    <row r="656">
      <c r="A656" s="108"/>
      <c r="C656" s="105"/>
    </row>
    <row r="657">
      <c r="A657" s="108"/>
      <c r="C657" s="105"/>
    </row>
    <row r="658">
      <c r="A658" s="112"/>
      <c r="B658" s="113"/>
      <c r="C658" s="114"/>
    </row>
    <row r="659">
      <c r="A659" s="101"/>
      <c r="B659" s="102"/>
      <c r="C659" s="103"/>
    </row>
    <row r="660">
      <c r="A660" s="115"/>
      <c r="B660" s="116" t="str">
        <f>IF(B663&lt;&gt;"","FAST CHARGER","")</f>
        <v/>
      </c>
      <c r="C660" s="117"/>
    </row>
    <row r="661">
      <c r="A661" s="108"/>
      <c r="B661" s="13" t="str">
        <f>IF(B672&lt;&gt;"","ITEM NO.","")</f>
        <v/>
      </c>
      <c r="C661" s="97" t="str">
        <f>IF(B663&lt;&gt;"",$C$6,"")</f>
        <v/>
      </c>
    </row>
    <row r="662">
      <c r="A662" s="108"/>
      <c r="B662" s="13"/>
      <c r="C662" s="97"/>
    </row>
    <row r="663">
      <c r="A663" s="108"/>
      <c r="B663" s="109" t="str">
        <f>IF(B654&lt;$C$10,B654+1,"")</f>
        <v/>
      </c>
      <c r="C663" s="118" t="str">
        <f>IMAGE("https://api.qrserver.com/v1/create-qr-code/?size=150x150&amp;data="&amp;ENCODEURL(C661))</f>
        <v/>
      </c>
    </row>
    <row r="664">
      <c r="A664" s="108"/>
      <c r="C664" s="105"/>
    </row>
    <row r="665">
      <c r="A665" s="108"/>
      <c r="C665" s="105"/>
    </row>
    <row r="666">
      <c r="A666" s="108"/>
      <c r="C666" s="105"/>
    </row>
    <row r="667">
      <c r="A667" s="112"/>
      <c r="B667" s="113"/>
      <c r="C667" s="114"/>
    </row>
    <row r="668">
      <c r="A668" s="101"/>
      <c r="B668" s="102"/>
      <c r="C668" s="103"/>
    </row>
    <row r="669">
      <c r="A669" s="115"/>
      <c r="B669" s="116" t="str">
        <f>IF(B672&lt;&gt;"","FAST CHARGER","")</f>
        <v/>
      </c>
      <c r="C669" s="117"/>
    </row>
    <row r="670">
      <c r="A670" s="108"/>
      <c r="B670" s="13" t="str">
        <f>IF(B681&lt;&gt;"","ITEM NO.","")</f>
        <v/>
      </c>
      <c r="C670" s="97" t="str">
        <f>IF(B672&lt;&gt;"",$C$6,"")</f>
        <v/>
      </c>
    </row>
    <row r="671">
      <c r="A671" s="108"/>
      <c r="B671" s="13"/>
      <c r="C671" s="97"/>
    </row>
    <row r="672">
      <c r="A672" s="108"/>
      <c r="B672" s="109" t="str">
        <f>IF(B663&lt;$C$10,B663+1,"")</f>
        <v/>
      </c>
      <c r="C672" s="118" t="str">
        <f>IMAGE("https://api.qrserver.com/v1/create-qr-code/?size=150x150&amp;data="&amp;ENCODEURL(C670))</f>
        <v/>
      </c>
    </row>
    <row r="673">
      <c r="A673" s="108"/>
      <c r="C673" s="105"/>
    </row>
    <row r="674">
      <c r="A674" s="108"/>
      <c r="C674" s="105"/>
    </row>
    <row r="675">
      <c r="A675" s="108"/>
      <c r="C675" s="105"/>
    </row>
    <row r="676">
      <c r="A676" s="112"/>
      <c r="B676" s="113"/>
      <c r="C676" s="114"/>
    </row>
    <row r="677">
      <c r="A677" s="101"/>
      <c r="B677" s="102"/>
      <c r="C677" s="103"/>
    </row>
    <row r="678">
      <c r="A678" s="115"/>
      <c r="B678" s="116" t="str">
        <f>IF(B681&lt;&gt;"","FAST CHARGER","")</f>
        <v/>
      </c>
      <c r="C678" s="117"/>
    </row>
    <row r="679">
      <c r="A679" s="108"/>
      <c r="B679" s="13" t="str">
        <f>IF(B690&lt;&gt;"","ITEM NO.","")</f>
        <v/>
      </c>
      <c r="C679" s="97" t="str">
        <f>IF(B681&lt;&gt;"",$C$6,"")</f>
        <v/>
      </c>
    </row>
    <row r="680">
      <c r="A680" s="108"/>
      <c r="B680" s="13"/>
      <c r="C680" s="97"/>
    </row>
    <row r="681">
      <c r="A681" s="108"/>
      <c r="B681" s="109" t="str">
        <f>IF(B672&lt;$C$10,B672+1,"")</f>
        <v/>
      </c>
      <c r="C681" s="118" t="str">
        <f>IMAGE("https://api.qrserver.com/v1/create-qr-code/?size=150x150&amp;data="&amp;ENCODEURL(C679))</f>
        <v/>
      </c>
    </row>
    <row r="682">
      <c r="A682" s="108"/>
      <c r="C682" s="105"/>
    </row>
    <row r="683">
      <c r="A683" s="108"/>
      <c r="C683" s="105"/>
    </row>
    <row r="684">
      <c r="A684" s="108"/>
      <c r="C684" s="105"/>
    </row>
    <row r="685">
      <c r="A685" s="112"/>
      <c r="B685" s="113"/>
      <c r="C685" s="114"/>
    </row>
    <row r="686">
      <c r="A686" s="101"/>
      <c r="B686" s="102"/>
      <c r="C686" s="103"/>
    </row>
    <row r="687">
      <c r="A687" s="115"/>
      <c r="B687" s="116" t="str">
        <f>IF(B690&lt;&gt;"","FAST CHARGER","")</f>
        <v/>
      </c>
      <c r="C687" s="117"/>
    </row>
    <row r="688">
      <c r="A688" s="108"/>
      <c r="B688" s="13" t="str">
        <f>IF(B699&lt;&gt;"","ITEM NO.","")</f>
        <v/>
      </c>
      <c r="C688" s="97" t="str">
        <f>IF(B690&lt;&gt;"",$C$6,"")</f>
        <v/>
      </c>
    </row>
    <row r="689">
      <c r="A689" s="108"/>
      <c r="B689" s="13"/>
      <c r="C689" s="97"/>
    </row>
    <row r="690">
      <c r="A690" s="108"/>
      <c r="B690" s="109" t="str">
        <f>IF(B681&lt;$C$10,B681+1,"")</f>
        <v/>
      </c>
      <c r="C690" s="118" t="str">
        <f>IMAGE("https://api.qrserver.com/v1/create-qr-code/?size=150x150&amp;data="&amp;ENCODEURL(C688))</f>
        <v/>
      </c>
    </row>
    <row r="691">
      <c r="A691" s="108"/>
      <c r="C691" s="105"/>
    </row>
    <row r="692">
      <c r="A692" s="108"/>
      <c r="C692" s="105"/>
    </row>
    <row r="693">
      <c r="A693" s="108"/>
      <c r="C693" s="105"/>
    </row>
    <row r="694">
      <c r="A694" s="112"/>
      <c r="B694" s="113"/>
      <c r="C694" s="114"/>
    </row>
    <row r="695">
      <c r="A695" s="101"/>
      <c r="B695" s="102"/>
      <c r="C695" s="103"/>
    </row>
    <row r="696">
      <c r="A696" s="115"/>
      <c r="B696" s="116" t="str">
        <f>IF(B699&lt;&gt;"","FAST CHARGER","")</f>
        <v/>
      </c>
      <c r="C696" s="117"/>
    </row>
    <row r="697">
      <c r="A697" s="108"/>
      <c r="B697" s="13" t="str">
        <f>IF(B708&lt;&gt;"","ITEM NO.","")</f>
        <v/>
      </c>
      <c r="C697" s="97" t="str">
        <f>IF(B699&lt;&gt;"",$C$6,"")</f>
        <v/>
      </c>
    </row>
    <row r="698">
      <c r="A698" s="108"/>
      <c r="B698" s="13"/>
      <c r="C698" s="97"/>
    </row>
    <row r="699">
      <c r="A699" s="108"/>
      <c r="B699" s="109" t="str">
        <f>IF(B690&lt;$C$10,B690+1,"")</f>
        <v/>
      </c>
      <c r="C699" s="118" t="str">
        <f>IMAGE("https://api.qrserver.com/v1/create-qr-code/?size=150x150&amp;data="&amp;ENCODEURL(C697))</f>
        <v/>
      </c>
    </row>
    <row r="700">
      <c r="A700" s="108"/>
      <c r="C700" s="105"/>
    </row>
    <row r="701">
      <c r="A701" s="108"/>
      <c r="C701" s="105"/>
    </row>
    <row r="702">
      <c r="A702" s="108"/>
      <c r="C702" s="105"/>
    </row>
    <row r="703">
      <c r="A703" s="112"/>
      <c r="B703" s="113"/>
      <c r="C703" s="114"/>
    </row>
    <row r="704">
      <c r="A704" s="101"/>
      <c r="B704" s="102"/>
      <c r="C704" s="103"/>
    </row>
    <row r="705">
      <c r="A705" s="115"/>
      <c r="B705" s="116" t="str">
        <f>IF(B708&lt;&gt;"","FAST CHARGER","")</f>
        <v/>
      </c>
      <c r="C705" s="117"/>
    </row>
    <row r="706">
      <c r="A706" s="108"/>
      <c r="B706" s="13" t="str">
        <f>IF(B717&lt;&gt;"","ITEM NO.","")</f>
        <v/>
      </c>
      <c r="C706" s="97" t="str">
        <f>IF(B708&lt;&gt;"",$C$6,"")</f>
        <v/>
      </c>
    </row>
    <row r="707">
      <c r="A707" s="108"/>
      <c r="B707" s="13"/>
      <c r="C707" s="97"/>
    </row>
    <row r="708">
      <c r="A708" s="108"/>
      <c r="B708" s="109" t="str">
        <f>IF(B699&lt;$C$10,B699+1,"")</f>
        <v/>
      </c>
      <c r="C708" s="118" t="str">
        <f>IMAGE("https://api.qrserver.com/v1/create-qr-code/?size=150x150&amp;data="&amp;ENCODEURL(C706))</f>
        <v/>
      </c>
    </row>
    <row r="709">
      <c r="A709" s="108"/>
      <c r="C709" s="105"/>
    </row>
    <row r="710">
      <c r="A710" s="108"/>
      <c r="C710" s="105"/>
    </row>
    <row r="711">
      <c r="A711" s="108"/>
      <c r="C711" s="105"/>
    </row>
    <row r="712">
      <c r="A712" s="112"/>
      <c r="B712" s="113"/>
      <c r="C712" s="114"/>
    </row>
    <row r="713">
      <c r="A713" s="101"/>
      <c r="B713" s="102"/>
      <c r="C713" s="103"/>
    </row>
    <row r="714">
      <c r="A714" s="115"/>
      <c r="B714" s="116" t="str">
        <f>IF(B717&lt;&gt;"","FAST CHARGER","")</f>
        <v/>
      </c>
      <c r="C714" s="117"/>
    </row>
    <row r="715">
      <c r="A715" s="108"/>
      <c r="B715" s="13" t="str">
        <f>IF(B726&lt;&gt;"","ITEM NO.","")</f>
        <v/>
      </c>
      <c r="C715" s="97" t="str">
        <f>IF(B717&lt;&gt;"",$C$6,"")</f>
        <v/>
      </c>
    </row>
    <row r="716">
      <c r="A716" s="108"/>
      <c r="B716" s="13"/>
      <c r="C716" s="97"/>
    </row>
    <row r="717">
      <c r="A717" s="108"/>
      <c r="B717" s="109" t="str">
        <f>IF(B708&lt;$C$10,B708+1,"")</f>
        <v/>
      </c>
      <c r="C717" s="118" t="str">
        <f>IMAGE("https://api.qrserver.com/v1/create-qr-code/?size=150x150&amp;data="&amp;ENCODEURL(C715))</f>
        <v/>
      </c>
    </row>
    <row r="718">
      <c r="A718" s="108"/>
      <c r="C718" s="105"/>
    </row>
    <row r="719">
      <c r="A719" s="108"/>
      <c r="C719" s="105"/>
    </row>
    <row r="720">
      <c r="A720" s="108"/>
      <c r="C720" s="105"/>
    </row>
    <row r="721">
      <c r="A721" s="112"/>
      <c r="B721" s="113"/>
      <c r="C721" s="114"/>
    </row>
    <row r="722">
      <c r="A722" s="101"/>
      <c r="B722" s="102"/>
      <c r="C722" s="103"/>
    </row>
    <row r="723">
      <c r="A723" s="115"/>
      <c r="B723" s="116" t="str">
        <f>IF(B726&lt;&gt;"","FAST CHARGER","")</f>
        <v/>
      </c>
      <c r="C723" s="117"/>
    </row>
    <row r="724">
      <c r="A724" s="108"/>
      <c r="B724" s="13" t="str">
        <f>IF(B735&lt;&gt;"","ITEM NO.","")</f>
        <v/>
      </c>
      <c r="C724" s="97" t="str">
        <f>IF(B726&lt;&gt;"",$C$6,"")</f>
        <v/>
      </c>
    </row>
    <row r="725">
      <c r="A725" s="108"/>
      <c r="B725" s="13"/>
      <c r="C725" s="97"/>
    </row>
    <row r="726">
      <c r="A726" s="108"/>
      <c r="B726" s="109" t="str">
        <f>IF(B717&lt;$C$10,B717+1,"")</f>
        <v/>
      </c>
      <c r="C726" s="118" t="str">
        <f>IMAGE("https://api.qrserver.com/v1/create-qr-code/?size=150x150&amp;data="&amp;ENCODEURL(C724))</f>
        <v/>
      </c>
    </row>
    <row r="727">
      <c r="A727" s="108"/>
      <c r="C727" s="105"/>
    </row>
    <row r="728">
      <c r="A728" s="108"/>
      <c r="C728" s="105"/>
    </row>
    <row r="729">
      <c r="A729" s="108"/>
      <c r="C729" s="105"/>
    </row>
    <row r="730">
      <c r="A730" s="112"/>
      <c r="B730" s="113"/>
      <c r="C730" s="114"/>
    </row>
    <row r="731">
      <c r="A731" s="101"/>
      <c r="B731" s="102"/>
      <c r="C731" s="103"/>
    </row>
    <row r="732">
      <c r="A732" s="115"/>
      <c r="B732" s="116" t="str">
        <f>IF(B735&lt;&gt;"","FAST CHARGER","")</f>
        <v/>
      </c>
      <c r="C732" s="117"/>
    </row>
    <row r="733">
      <c r="A733" s="108"/>
      <c r="B733" s="13" t="str">
        <f>IF(B744&lt;&gt;"","ITEM NO.","")</f>
        <v/>
      </c>
      <c r="C733" s="97" t="str">
        <f>IF(B735&lt;&gt;"",$C$6,"")</f>
        <v/>
      </c>
    </row>
    <row r="734">
      <c r="A734" s="108"/>
      <c r="B734" s="13"/>
      <c r="C734" s="97"/>
    </row>
    <row r="735">
      <c r="A735" s="108"/>
      <c r="B735" s="109" t="str">
        <f>IF(B726&lt;$C$10,B726+1,"")</f>
        <v/>
      </c>
      <c r="C735" s="118" t="str">
        <f>IMAGE("https://api.qrserver.com/v1/create-qr-code/?size=150x150&amp;data="&amp;ENCODEURL(C733))</f>
        <v/>
      </c>
    </row>
    <row r="736">
      <c r="A736" s="108"/>
      <c r="C736" s="105"/>
    </row>
    <row r="737">
      <c r="A737" s="108"/>
      <c r="C737" s="105"/>
    </row>
    <row r="738">
      <c r="A738" s="108"/>
      <c r="C738" s="105"/>
    </row>
    <row r="739">
      <c r="A739" s="112"/>
      <c r="B739" s="113"/>
      <c r="C739" s="114"/>
    </row>
    <row r="740">
      <c r="A740" s="101"/>
      <c r="B740" s="102"/>
      <c r="C740" s="103"/>
    </row>
    <row r="741">
      <c r="A741" s="115"/>
      <c r="B741" s="116" t="str">
        <f>IF(B744&lt;&gt;"","FAST CHARGER","")</f>
        <v/>
      </c>
      <c r="C741" s="117"/>
    </row>
    <row r="742">
      <c r="A742" s="108"/>
      <c r="B742" s="13" t="str">
        <f>IF(B753&lt;&gt;"","ITEM NO.","")</f>
        <v/>
      </c>
      <c r="C742" s="97" t="str">
        <f>IF(B744&lt;&gt;"",$C$6,"")</f>
        <v/>
      </c>
    </row>
    <row r="743">
      <c r="A743" s="108"/>
      <c r="B743" s="13"/>
      <c r="C743" s="97"/>
    </row>
    <row r="744">
      <c r="A744" s="108"/>
      <c r="B744" s="109" t="str">
        <f>IF(B735&lt;$C$10,B735+1,"")</f>
        <v/>
      </c>
      <c r="C744" s="118" t="str">
        <f>IMAGE("https://api.qrserver.com/v1/create-qr-code/?size=150x150&amp;data="&amp;ENCODEURL(C742))</f>
        <v/>
      </c>
    </row>
    <row r="745">
      <c r="A745" s="108"/>
      <c r="C745" s="105"/>
    </row>
    <row r="746">
      <c r="A746" s="108"/>
      <c r="C746" s="105"/>
    </row>
    <row r="747">
      <c r="A747" s="108"/>
      <c r="C747" s="105"/>
    </row>
    <row r="748">
      <c r="A748" s="112"/>
      <c r="B748" s="113"/>
      <c r="C748" s="114"/>
    </row>
    <row r="749">
      <c r="A749" s="101"/>
      <c r="B749" s="102"/>
      <c r="C749" s="103"/>
    </row>
    <row r="750">
      <c r="A750" s="115"/>
      <c r="B750" s="116" t="str">
        <f>IF(B753&lt;&gt;"","FAST CHARGER","")</f>
        <v/>
      </c>
      <c r="C750" s="117"/>
    </row>
    <row r="751">
      <c r="A751" s="108"/>
      <c r="B751" s="13" t="str">
        <f>IF(B762&lt;&gt;"","ITEM NO.","")</f>
        <v/>
      </c>
      <c r="C751" s="97" t="str">
        <f>IF(B753&lt;&gt;"",$C$6,"")</f>
        <v/>
      </c>
    </row>
    <row r="752">
      <c r="A752" s="108"/>
      <c r="B752" s="13"/>
      <c r="C752" s="97"/>
    </row>
    <row r="753">
      <c r="A753" s="108"/>
      <c r="B753" s="109" t="str">
        <f>IF(B744&lt;$C$10,B744+1,"")</f>
        <v/>
      </c>
      <c r="C753" s="118" t="str">
        <f>IMAGE("https://api.qrserver.com/v1/create-qr-code/?size=150x150&amp;data="&amp;ENCODEURL(C751))</f>
        <v/>
      </c>
    </row>
    <row r="754">
      <c r="A754" s="108"/>
      <c r="C754" s="105"/>
    </row>
    <row r="755">
      <c r="A755" s="108"/>
      <c r="C755" s="105"/>
    </row>
    <row r="756">
      <c r="A756" s="108"/>
      <c r="C756" s="105"/>
    </row>
    <row r="757">
      <c r="A757" s="112"/>
      <c r="B757" s="113"/>
      <c r="C757" s="114"/>
    </row>
    <row r="758">
      <c r="A758" s="101"/>
      <c r="B758" s="102"/>
      <c r="C758" s="103"/>
    </row>
    <row r="759">
      <c r="A759" s="115"/>
      <c r="B759" s="116" t="str">
        <f>IF(B762&lt;&gt;"","FAST CHARGER","")</f>
        <v/>
      </c>
      <c r="C759" s="117"/>
    </row>
    <row r="760">
      <c r="A760" s="108"/>
      <c r="B760" s="13" t="str">
        <f>IF(B771&lt;&gt;"","ITEM NO.","")</f>
        <v/>
      </c>
      <c r="C760" s="97" t="str">
        <f>IF(B762&lt;&gt;"",$C$6,"")</f>
        <v/>
      </c>
    </row>
    <row r="761">
      <c r="A761" s="108"/>
      <c r="B761" s="13"/>
      <c r="C761" s="97"/>
    </row>
    <row r="762">
      <c r="A762" s="108"/>
      <c r="B762" s="109" t="str">
        <f>IF(B753&lt;$C$10,B753+1,"")</f>
        <v/>
      </c>
      <c r="C762" s="118" t="str">
        <f>IMAGE("https://api.qrserver.com/v1/create-qr-code/?size=150x150&amp;data="&amp;ENCODEURL(C760))</f>
        <v/>
      </c>
    </row>
    <row r="763">
      <c r="A763" s="108"/>
      <c r="C763" s="105"/>
    </row>
    <row r="764">
      <c r="A764" s="108"/>
      <c r="C764" s="105"/>
    </row>
    <row r="765">
      <c r="A765" s="108"/>
      <c r="C765" s="105"/>
    </row>
    <row r="766">
      <c r="A766" s="112"/>
      <c r="B766" s="113"/>
      <c r="C766" s="114"/>
    </row>
    <row r="767">
      <c r="A767" s="101"/>
      <c r="B767" s="102"/>
      <c r="C767" s="103"/>
    </row>
    <row r="768">
      <c r="A768" s="115"/>
      <c r="B768" s="116" t="str">
        <f>IF(B771&lt;&gt;"","FAST CHARGER","")</f>
        <v/>
      </c>
      <c r="C768" s="117"/>
    </row>
    <row r="769">
      <c r="A769" s="108"/>
      <c r="B769" s="13" t="str">
        <f>IF(B780&lt;&gt;"","ITEM NO.","")</f>
        <v/>
      </c>
      <c r="C769" s="97" t="str">
        <f>IF(B771&lt;&gt;"",$C$6,"")</f>
        <v/>
      </c>
    </row>
    <row r="770">
      <c r="A770" s="108"/>
      <c r="B770" s="13"/>
      <c r="C770" s="97"/>
    </row>
    <row r="771">
      <c r="A771" s="108"/>
      <c r="B771" s="109" t="str">
        <f>IF(B762&lt;$C$10,B762+1,"")</f>
        <v/>
      </c>
      <c r="C771" s="118" t="str">
        <f>IMAGE("https://api.qrserver.com/v1/create-qr-code/?size=150x150&amp;data="&amp;ENCODEURL(C769))</f>
        <v/>
      </c>
    </row>
    <row r="772">
      <c r="A772" s="108"/>
      <c r="C772" s="105"/>
    </row>
    <row r="773">
      <c r="A773" s="108"/>
      <c r="C773" s="105"/>
    </row>
    <row r="774">
      <c r="A774" s="108"/>
      <c r="C774" s="105"/>
    </row>
    <row r="775">
      <c r="A775" s="112"/>
      <c r="B775" s="113"/>
      <c r="C775" s="114"/>
    </row>
    <row r="776">
      <c r="A776" s="101"/>
      <c r="B776" s="102"/>
      <c r="C776" s="103"/>
    </row>
    <row r="777">
      <c r="A777" s="115"/>
      <c r="B777" s="116" t="str">
        <f>IF(B780&lt;&gt;"","FAST CHARGER","")</f>
        <v/>
      </c>
      <c r="C777" s="117"/>
    </row>
    <row r="778">
      <c r="A778" s="108"/>
      <c r="B778" s="13" t="str">
        <f>IF(B789&lt;&gt;"","ITEM NO.","")</f>
        <v/>
      </c>
      <c r="C778" s="97" t="str">
        <f>IF(B780&lt;&gt;"",$C$6,"")</f>
        <v/>
      </c>
    </row>
    <row r="779">
      <c r="A779" s="108"/>
      <c r="B779" s="13"/>
      <c r="C779" s="97"/>
    </row>
    <row r="780">
      <c r="A780" s="108"/>
      <c r="B780" s="109" t="str">
        <f>IF(B771&lt;$C$10,B771+1,"")</f>
        <v/>
      </c>
      <c r="C780" s="118" t="str">
        <f>IMAGE("https://api.qrserver.com/v1/create-qr-code/?size=150x150&amp;data="&amp;ENCODEURL(C778))</f>
        <v/>
      </c>
    </row>
    <row r="781">
      <c r="A781" s="108"/>
      <c r="C781" s="105"/>
    </row>
    <row r="782">
      <c r="A782" s="108"/>
      <c r="C782" s="105"/>
    </row>
    <row r="783">
      <c r="A783" s="108"/>
      <c r="C783" s="105"/>
    </row>
    <row r="784">
      <c r="A784" s="112"/>
      <c r="B784" s="113"/>
      <c r="C784" s="114"/>
    </row>
    <row r="785">
      <c r="A785" s="101"/>
      <c r="B785" s="102"/>
      <c r="C785" s="103"/>
    </row>
    <row r="786">
      <c r="A786" s="115"/>
      <c r="B786" s="116" t="str">
        <f>IF(B789&lt;&gt;"","FAST CHARGER","")</f>
        <v/>
      </c>
      <c r="C786" s="117"/>
    </row>
    <row r="787">
      <c r="A787" s="108"/>
      <c r="B787" s="13" t="str">
        <f>IF(B798&lt;&gt;"","ITEM NO.","")</f>
        <v/>
      </c>
      <c r="C787" s="97" t="str">
        <f>IF(B789&lt;&gt;"",$C$6,"")</f>
        <v/>
      </c>
    </row>
    <row r="788">
      <c r="A788" s="108"/>
      <c r="B788" s="13"/>
      <c r="C788" s="97"/>
    </row>
    <row r="789">
      <c r="A789" s="108"/>
      <c r="B789" s="109" t="str">
        <f>IF(B780&lt;$C$10,B780+1,"")</f>
        <v/>
      </c>
      <c r="C789" s="118" t="str">
        <f>IMAGE("https://api.qrserver.com/v1/create-qr-code/?size=150x150&amp;data="&amp;ENCODEURL(C787))</f>
        <v/>
      </c>
    </row>
    <row r="790">
      <c r="A790" s="108"/>
      <c r="C790" s="105"/>
    </row>
    <row r="791">
      <c r="A791" s="108"/>
      <c r="C791" s="105"/>
    </row>
    <row r="792">
      <c r="A792" s="108"/>
      <c r="C792" s="105"/>
    </row>
    <row r="793">
      <c r="A793" s="112"/>
      <c r="B793" s="113"/>
      <c r="C793" s="114"/>
    </row>
    <row r="794">
      <c r="A794" s="101"/>
      <c r="B794" s="102"/>
      <c r="C794" s="103"/>
    </row>
    <row r="795">
      <c r="A795" s="115"/>
      <c r="B795" s="116" t="str">
        <f>IF(B798&lt;&gt;"","FAST CHARGER","")</f>
        <v/>
      </c>
      <c r="C795" s="117"/>
    </row>
    <row r="796">
      <c r="A796" s="108"/>
      <c r="B796" s="13" t="str">
        <f>IF(B807&lt;&gt;"","ITEM NO.","")</f>
        <v/>
      </c>
      <c r="C796" s="97" t="str">
        <f>IF(B798&lt;&gt;"",$C$6,"")</f>
        <v/>
      </c>
    </row>
    <row r="797">
      <c r="A797" s="108"/>
      <c r="B797" s="13"/>
      <c r="C797" s="97"/>
    </row>
    <row r="798">
      <c r="A798" s="108"/>
      <c r="B798" s="109" t="str">
        <f>IF(B789&lt;$C$10,B789+1,"")</f>
        <v/>
      </c>
      <c r="C798" s="118" t="str">
        <f>IMAGE("https://api.qrserver.com/v1/create-qr-code/?size=150x150&amp;data="&amp;ENCODEURL(C796))</f>
        <v/>
      </c>
    </row>
    <row r="799">
      <c r="A799" s="108"/>
      <c r="C799" s="105"/>
    </row>
    <row r="800">
      <c r="A800" s="108"/>
      <c r="C800" s="105"/>
    </row>
    <row r="801">
      <c r="A801" s="108"/>
      <c r="C801" s="105"/>
    </row>
    <row r="802">
      <c r="A802" s="112"/>
      <c r="B802" s="113"/>
      <c r="C802" s="114"/>
    </row>
    <row r="803">
      <c r="A803" s="101"/>
      <c r="B803" s="102"/>
      <c r="C803" s="103"/>
    </row>
    <row r="804">
      <c r="A804" s="115"/>
      <c r="B804" s="116" t="str">
        <f>IF(B807&lt;&gt;"","FAST CHARGER","")</f>
        <v/>
      </c>
      <c r="C804" s="117"/>
    </row>
    <row r="805">
      <c r="A805" s="108"/>
      <c r="B805" s="13" t="str">
        <f>IF(B816&lt;&gt;"","ITEM NO.","")</f>
        <v/>
      </c>
      <c r="C805" s="97" t="str">
        <f>IF(B807&lt;&gt;"",$C$6,"")</f>
        <v/>
      </c>
    </row>
    <row r="806">
      <c r="A806" s="108"/>
      <c r="B806" s="13"/>
      <c r="C806" s="97"/>
    </row>
    <row r="807">
      <c r="A807" s="108"/>
      <c r="B807" s="109" t="str">
        <f>IF(B798&lt;$C$10,B798+1,"")</f>
        <v/>
      </c>
      <c r="C807" s="118" t="str">
        <f>IMAGE("https://api.qrserver.com/v1/create-qr-code/?size=150x150&amp;data="&amp;ENCODEURL(C805))</f>
        <v/>
      </c>
    </row>
    <row r="808">
      <c r="A808" s="108"/>
      <c r="C808" s="105"/>
    </row>
    <row r="809">
      <c r="A809" s="108"/>
      <c r="C809" s="105"/>
    </row>
    <row r="810">
      <c r="A810" s="108"/>
      <c r="C810" s="105"/>
    </row>
    <row r="811">
      <c r="A811" s="112"/>
      <c r="B811" s="113"/>
      <c r="C811" s="114"/>
    </row>
    <row r="812">
      <c r="A812" s="101"/>
      <c r="B812" s="102"/>
      <c r="C812" s="103"/>
    </row>
    <row r="813">
      <c r="A813" s="115"/>
      <c r="B813" s="116" t="str">
        <f>IF(B816&lt;&gt;"","FAST CHARGER","")</f>
        <v/>
      </c>
      <c r="C813" s="117"/>
    </row>
    <row r="814">
      <c r="A814" s="108"/>
      <c r="B814" s="13" t="str">
        <f>IF(B825&lt;&gt;"","ITEM NO.","")</f>
        <v/>
      </c>
      <c r="C814" s="97" t="str">
        <f>IF(B816&lt;&gt;"",$C$6,"")</f>
        <v/>
      </c>
    </row>
    <row r="815">
      <c r="A815" s="108"/>
      <c r="B815" s="13"/>
      <c r="C815" s="97"/>
    </row>
    <row r="816">
      <c r="A816" s="108"/>
      <c r="B816" s="109" t="str">
        <f>IF(B807&lt;$C$10,B807+1,"")</f>
        <v/>
      </c>
      <c r="C816" s="118" t="str">
        <f>IMAGE("https://api.qrserver.com/v1/create-qr-code/?size=150x150&amp;data="&amp;ENCODEURL(C814))</f>
        <v/>
      </c>
    </row>
    <row r="817">
      <c r="A817" s="108"/>
      <c r="C817" s="105"/>
    </row>
    <row r="818">
      <c r="A818" s="108"/>
      <c r="C818" s="105"/>
    </row>
    <row r="819">
      <c r="A819" s="108"/>
      <c r="C819" s="105"/>
    </row>
    <row r="820">
      <c r="A820" s="112"/>
      <c r="B820" s="113"/>
      <c r="C820" s="114"/>
    </row>
    <row r="821">
      <c r="A821" s="101"/>
      <c r="B821" s="102"/>
      <c r="C821" s="103"/>
    </row>
    <row r="822">
      <c r="A822" s="115"/>
      <c r="B822" s="116" t="str">
        <f>IF(B825&lt;&gt;"","FAST CHARGER","")</f>
        <v/>
      </c>
      <c r="C822" s="117"/>
    </row>
    <row r="823">
      <c r="A823" s="108"/>
      <c r="B823" s="13" t="str">
        <f>IF(B834&lt;&gt;"","ITEM NO.","")</f>
        <v/>
      </c>
      <c r="C823" s="97" t="str">
        <f>IF(B825&lt;&gt;"",$C$6,"")</f>
        <v/>
      </c>
    </row>
    <row r="824">
      <c r="A824" s="108"/>
      <c r="B824" s="13"/>
      <c r="C824" s="97"/>
    </row>
    <row r="825">
      <c r="A825" s="108"/>
      <c r="B825" s="109" t="str">
        <f>IF(B816&lt;$C$10,B816+1,"")</f>
        <v/>
      </c>
      <c r="C825" s="118" t="str">
        <f>IMAGE("https://api.qrserver.com/v1/create-qr-code/?size=150x150&amp;data="&amp;ENCODEURL(C823))</f>
        <v/>
      </c>
    </row>
    <row r="826">
      <c r="A826" s="108"/>
      <c r="C826" s="105"/>
    </row>
    <row r="827">
      <c r="A827" s="108"/>
      <c r="C827" s="105"/>
    </row>
    <row r="828">
      <c r="A828" s="108"/>
      <c r="C828" s="105"/>
    </row>
    <row r="829">
      <c r="A829" s="112"/>
      <c r="B829" s="113"/>
      <c r="C829" s="114"/>
    </row>
    <row r="830">
      <c r="A830" s="101"/>
      <c r="B830" s="102"/>
      <c r="C830" s="103"/>
    </row>
    <row r="831">
      <c r="A831" s="115"/>
      <c r="B831" s="116" t="str">
        <f>IF(B834&lt;&gt;"","FAST CHARGER","")</f>
        <v/>
      </c>
      <c r="C831" s="117"/>
    </row>
    <row r="832">
      <c r="A832" s="108"/>
      <c r="B832" s="13" t="str">
        <f>IF(B843&lt;&gt;"","ITEM NO.","")</f>
        <v/>
      </c>
      <c r="C832" s="97" t="str">
        <f>IF(B834&lt;&gt;"",$C$6,"")</f>
        <v/>
      </c>
    </row>
    <row r="833">
      <c r="A833" s="108"/>
      <c r="B833" s="13"/>
      <c r="C833" s="97"/>
    </row>
    <row r="834">
      <c r="A834" s="108"/>
      <c r="B834" s="109" t="str">
        <f>IF(B825&lt;$C$10,B825+1,"")</f>
        <v/>
      </c>
      <c r="C834" s="118" t="str">
        <f>IMAGE("https://api.qrserver.com/v1/create-qr-code/?size=150x150&amp;data="&amp;ENCODEURL(C832))</f>
        <v/>
      </c>
    </row>
    <row r="835">
      <c r="A835" s="108"/>
      <c r="C835" s="105"/>
    </row>
    <row r="836">
      <c r="A836" s="108"/>
      <c r="C836" s="105"/>
    </row>
    <row r="837">
      <c r="A837" s="108"/>
      <c r="C837" s="105"/>
    </row>
    <row r="838">
      <c r="A838" s="112"/>
      <c r="B838" s="113"/>
      <c r="C838" s="114"/>
    </row>
    <row r="839">
      <c r="A839" s="101"/>
      <c r="B839" s="102"/>
      <c r="C839" s="103"/>
    </row>
    <row r="840">
      <c r="A840" s="115"/>
      <c r="B840" s="116" t="str">
        <f>IF(B843&lt;&gt;"","FAST CHARGER","")</f>
        <v/>
      </c>
      <c r="C840" s="117"/>
    </row>
    <row r="841">
      <c r="A841" s="108"/>
      <c r="B841" s="13" t="str">
        <f>IF(B852&lt;&gt;"","ITEM NO.","")</f>
        <v/>
      </c>
      <c r="C841" s="97" t="str">
        <f>IF(B843&lt;&gt;"",$C$6,"")</f>
        <v/>
      </c>
    </row>
    <row r="842">
      <c r="A842" s="108"/>
      <c r="B842" s="13"/>
      <c r="C842" s="97"/>
    </row>
    <row r="843">
      <c r="A843" s="108"/>
      <c r="B843" s="109" t="str">
        <f>IF(B834&lt;$C$10,B834+1,"")</f>
        <v/>
      </c>
      <c r="C843" s="118" t="str">
        <f>IMAGE("https://api.qrserver.com/v1/create-qr-code/?size=150x150&amp;data="&amp;ENCODEURL(C841))</f>
        <v/>
      </c>
    </row>
    <row r="844">
      <c r="A844" s="108"/>
      <c r="C844" s="105"/>
    </row>
    <row r="845">
      <c r="A845" s="108"/>
      <c r="C845" s="105"/>
    </row>
    <row r="846">
      <c r="A846" s="108"/>
      <c r="C846" s="105"/>
    </row>
    <row r="847">
      <c r="A847" s="112"/>
      <c r="B847" s="113"/>
      <c r="C847" s="114"/>
    </row>
    <row r="848">
      <c r="A848" s="101"/>
      <c r="B848" s="102"/>
      <c r="C848" s="103"/>
    </row>
    <row r="849">
      <c r="A849" s="115"/>
      <c r="B849" s="116" t="str">
        <f>IF(B852&lt;&gt;"","FAST CHARGER","")</f>
        <v/>
      </c>
      <c r="C849" s="117"/>
    </row>
    <row r="850">
      <c r="A850" s="108"/>
      <c r="B850" s="13" t="str">
        <f>IF(B861&lt;&gt;"","ITEM NO.","")</f>
        <v/>
      </c>
      <c r="C850" s="97" t="str">
        <f>IF(B852&lt;&gt;"",$C$6,"")</f>
        <v/>
      </c>
    </row>
    <row r="851">
      <c r="A851" s="108"/>
      <c r="B851" s="13"/>
      <c r="C851" s="97"/>
    </row>
    <row r="852">
      <c r="A852" s="108"/>
      <c r="B852" s="109" t="str">
        <f>IF(B843&lt;$C$10,B843+1,"")</f>
        <v/>
      </c>
      <c r="C852" s="118" t="str">
        <f>IMAGE("https://api.qrserver.com/v1/create-qr-code/?size=150x150&amp;data="&amp;ENCODEURL(C850))</f>
        <v/>
      </c>
    </row>
    <row r="853">
      <c r="A853" s="108"/>
      <c r="C853" s="105"/>
    </row>
    <row r="854">
      <c r="A854" s="108"/>
      <c r="C854" s="105"/>
    </row>
    <row r="855">
      <c r="A855" s="108"/>
      <c r="C855" s="105"/>
    </row>
    <row r="856">
      <c r="A856" s="112"/>
      <c r="B856" s="113"/>
      <c r="C856" s="114"/>
    </row>
    <row r="857">
      <c r="A857" s="101"/>
      <c r="B857" s="102"/>
      <c r="C857" s="103"/>
    </row>
    <row r="858">
      <c r="A858" s="115"/>
      <c r="B858" s="116" t="str">
        <f>IF(B861&lt;&gt;"","FAST CHARGER","")</f>
        <v/>
      </c>
      <c r="C858" s="117"/>
    </row>
    <row r="859">
      <c r="A859" s="108"/>
      <c r="B859" s="13" t="str">
        <f>IF(B870&lt;&gt;"","ITEM NO.","")</f>
        <v/>
      </c>
      <c r="C859" s="97" t="str">
        <f>IF(B861&lt;&gt;"",$C$6,"")</f>
        <v/>
      </c>
    </row>
    <row r="860">
      <c r="A860" s="108"/>
      <c r="B860" s="13"/>
      <c r="C860" s="97"/>
    </row>
    <row r="861">
      <c r="A861" s="108"/>
      <c r="B861" s="109" t="str">
        <f>IF(B852&lt;$C$10,B852+1,"")</f>
        <v/>
      </c>
      <c r="C861" s="118" t="str">
        <f>IMAGE("https://api.qrserver.com/v1/create-qr-code/?size=150x150&amp;data="&amp;ENCODEURL(C859))</f>
        <v/>
      </c>
    </row>
    <row r="862">
      <c r="A862" s="108"/>
      <c r="C862" s="105"/>
    </row>
    <row r="863">
      <c r="A863" s="108"/>
      <c r="C863" s="105"/>
    </row>
    <row r="864">
      <c r="A864" s="108"/>
      <c r="C864" s="105"/>
    </row>
    <row r="865">
      <c r="A865" s="112"/>
      <c r="B865" s="113"/>
      <c r="C865" s="114"/>
    </row>
    <row r="866">
      <c r="A866" s="101"/>
      <c r="B866" s="102"/>
      <c r="C866" s="103"/>
    </row>
    <row r="867">
      <c r="A867" s="115"/>
      <c r="B867" s="116" t="str">
        <f>IF(B870&lt;&gt;"","FAST CHARGER","")</f>
        <v/>
      </c>
      <c r="C867" s="117"/>
    </row>
    <row r="868">
      <c r="A868" s="108"/>
      <c r="B868" s="13" t="str">
        <f>IF(B879&lt;&gt;"","ITEM NO.","")</f>
        <v/>
      </c>
      <c r="C868" s="97" t="str">
        <f>IF(B870&lt;&gt;"",$C$6,"")</f>
        <v/>
      </c>
    </row>
    <row r="869">
      <c r="A869" s="108"/>
      <c r="B869" s="13"/>
      <c r="C869" s="97"/>
    </row>
    <row r="870">
      <c r="A870" s="108"/>
      <c r="B870" s="109" t="str">
        <f>IF(B861&lt;$C$10,B861+1,"")</f>
        <v/>
      </c>
      <c r="C870" s="118" t="str">
        <f>IMAGE("https://api.qrserver.com/v1/create-qr-code/?size=150x150&amp;data="&amp;ENCODEURL(C868))</f>
        <v/>
      </c>
    </row>
    <row r="871">
      <c r="A871" s="108"/>
      <c r="C871" s="105"/>
    </row>
    <row r="872">
      <c r="A872" s="108"/>
      <c r="C872" s="105"/>
    </row>
    <row r="873">
      <c r="A873" s="108"/>
      <c r="C873" s="105"/>
    </row>
    <row r="874">
      <c r="A874" s="112"/>
      <c r="B874" s="113"/>
      <c r="C874" s="114"/>
    </row>
    <row r="875">
      <c r="A875" s="101"/>
      <c r="B875" s="102"/>
      <c r="C875" s="103"/>
    </row>
    <row r="876">
      <c r="A876" s="115"/>
      <c r="B876" s="116" t="str">
        <f>IF(B879&lt;&gt;"","FAST CHARGER","")</f>
        <v/>
      </c>
      <c r="C876" s="117"/>
    </row>
    <row r="877">
      <c r="A877" s="108"/>
      <c r="B877" s="13" t="str">
        <f>IF(B888&lt;&gt;"","ITEM NO.","")</f>
        <v/>
      </c>
      <c r="C877" s="97" t="str">
        <f>IF(B879&lt;&gt;"",$C$6,"")</f>
        <v/>
      </c>
    </row>
    <row r="878">
      <c r="A878" s="108"/>
      <c r="B878" s="13"/>
      <c r="C878" s="97"/>
    </row>
    <row r="879">
      <c r="A879" s="108"/>
      <c r="B879" s="109" t="str">
        <f>IF(B870&lt;$C$10,B870+1,"")</f>
        <v/>
      </c>
      <c r="C879" s="118" t="str">
        <f>IMAGE("https://api.qrserver.com/v1/create-qr-code/?size=150x150&amp;data="&amp;ENCODEURL(C877))</f>
        <v/>
      </c>
    </row>
    <row r="880">
      <c r="A880" s="108"/>
      <c r="C880" s="105"/>
    </row>
    <row r="881">
      <c r="A881" s="108"/>
      <c r="C881" s="105"/>
    </row>
    <row r="882">
      <c r="A882" s="108"/>
      <c r="C882" s="105"/>
    </row>
    <row r="883">
      <c r="A883" s="112"/>
      <c r="B883" s="113"/>
      <c r="C883" s="114"/>
    </row>
    <row r="884">
      <c r="A884" s="101"/>
      <c r="B884" s="102"/>
      <c r="C884" s="103"/>
    </row>
    <row r="885">
      <c r="A885" s="115"/>
      <c r="B885" s="116" t="str">
        <f>IF(B888&lt;&gt;"","FAST CHARGER","")</f>
        <v/>
      </c>
      <c r="C885" s="117"/>
    </row>
    <row r="886">
      <c r="A886" s="108"/>
      <c r="B886" s="13" t="str">
        <f>IF(B897&lt;&gt;"","ITEM NO.","")</f>
        <v/>
      </c>
      <c r="C886" s="97" t="str">
        <f>IF(B888&lt;&gt;"",$C$6,"")</f>
        <v/>
      </c>
    </row>
    <row r="887">
      <c r="A887" s="108"/>
      <c r="B887" s="13"/>
      <c r="C887" s="97"/>
    </row>
    <row r="888">
      <c r="A888" s="108"/>
      <c r="B888" s="109" t="str">
        <f>IF(B879&lt;$C$10,B879+1,"")</f>
        <v/>
      </c>
      <c r="C888" s="118" t="str">
        <f>IMAGE("https://api.qrserver.com/v1/create-qr-code/?size=150x150&amp;data="&amp;ENCODEURL(C886))</f>
        <v/>
      </c>
    </row>
    <row r="889">
      <c r="A889" s="108"/>
      <c r="C889" s="105"/>
    </row>
    <row r="890">
      <c r="A890" s="108"/>
      <c r="C890" s="105"/>
    </row>
    <row r="891">
      <c r="A891" s="108"/>
      <c r="C891" s="105"/>
    </row>
    <row r="892">
      <c r="A892" s="112"/>
      <c r="B892" s="113"/>
      <c r="C892" s="114"/>
    </row>
    <row r="893">
      <c r="A893" s="101"/>
      <c r="B893" s="102"/>
      <c r="C893" s="103"/>
    </row>
    <row r="894">
      <c r="A894" s="115"/>
      <c r="B894" s="116" t="str">
        <f>IF(B897&lt;&gt;"","FAST CHARGER","")</f>
        <v/>
      </c>
      <c r="C894" s="117"/>
    </row>
    <row r="895">
      <c r="A895" s="108"/>
      <c r="B895" s="13" t="str">
        <f>IF(B906&lt;&gt;"","ITEM NO.","")</f>
        <v/>
      </c>
      <c r="C895" s="97" t="str">
        <f>IF(B897&lt;&gt;"",$C$6,"")</f>
        <v/>
      </c>
    </row>
    <row r="896">
      <c r="A896" s="108"/>
      <c r="B896" s="13"/>
      <c r="C896" s="97"/>
    </row>
    <row r="897">
      <c r="A897" s="108"/>
      <c r="B897" s="109" t="str">
        <f>IF(B888&lt;$C$10,B888+1,"")</f>
        <v/>
      </c>
      <c r="C897" s="118" t="str">
        <f>IMAGE("https://api.qrserver.com/v1/create-qr-code/?size=150x150&amp;data="&amp;ENCODEURL(C895))</f>
        <v/>
      </c>
    </row>
    <row r="898">
      <c r="A898" s="108"/>
      <c r="C898" s="105"/>
    </row>
    <row r="899">
      <c r="A899" s="108"/>
      <c r="C899" s="105"/>
    </row>
    <row r="900">
      <c r="A900" s="108"/>
      <c r="C900" s="105"/>
    </row>
    <row r="901">
      <c r="A901" s="112"/>
      <c r="B901" s="113"/>
      <c r="C901" s="114"/>
    </row>
    <row r="902">
      <c r="A902" s="101"/>
      <c r="B902" s="102"/>
      <c r="C902" s="103"/>
    </row>
    <row r="903">
      <c r="A903" s="115"/>
      <c r="B903" s="116" t="str">
        <f>IF(B906&lt;&gt;"","FAST CHARGER","")</f>
        <v/>
      </c>
      <c r="C903" s="117"/>
    </row>
    <row r="904">
      <c r="A904" s="108"/>
      <c r="B904" s="13" t="str">
        <f>IF(B915&lt;&gt;"","ITEM NO.","")</f>
        <v/>
      </c>
      <c r="C904" s="97" t="str">
        <f>IF(B906&lt;&gt;"",$C$6,"")</f>
        <v/>
      </c>
    </row>
    <row r="905">
      <c r="A905" s="108"/>
      <c r="B905" s="13"/>
      <c r="C905" s="97"/>
    </row>
    <row r="906">
      <c r="A906" s="108"/>
      <c r="B906" s="109" t="str">
        <f>IF(B897&lt;$C$10,B897+1,"")</f>
        <v/>
      </c>
      <c r="C906" s="118" t="str">
        <f>IMAGE("https://api.qrserver.com/v1/create-qr-code/?size=150x150&amp;data="&amp;ENCODEURL(C904))</f>
        <v/>
      </c>
    </row>
    <row r="907">
      <c r="A907" s="108"/>
      <c r="C907" s="105"/>
    </row>
    <row r="908">
      <c r="A908" s="108"/>
      <c r="C908" s="105"/>
    </row>
    <row r="909">
      <c r="A909" s="108"/>
      <c r="C909" s="105"/>
    </row>
    <row r="910">
      <c r="A910" s="112"/>
      <c r="B910" s="113"/>
      <c r="C910" s="114"/>
    </row>
    <row r="911">
      <c r="A911" s="101"/>
      <c r="B911" s="102"/>
      <c r="C911" s="103"/>
    </row>
    <row r="912">
      <c r="A912" s="115"/>
      <c r="B912" s="116" t="str">
        <f>IF(B915&lt;&gt;"","FAST CHARGER","")</f>
        <v/>
      </c>
      <c r="C912" s="117"/>
    </row>
    <row r="913">
      <c r="A913" s="108"/>
      <c r="B913" s="13" t="str">
        <f>IF(B924&lt;&gt;"","ITEM NO.","")</f>
        <v/>
      </c>
      <c r="C913" s="97" t="str">
        <f>IF(B915&lt;&gt;"",$C$6,"")</f>
        <v/>
      </c>
    </row>
    <row r="914">
      <c r="A914" s="108"/>
      <c r="B914" s="13"/>
      <c r="C914" s="97"/>
    </row>
    <row r="915">
      <c r="A915" s="108"/>
      <c r="B915" s="109" t="str">
        <f>IF(B906&lt;$C$10,B906+1,"")</f>
        <v/>
      </c>
      <c r="C915" s="118" t="str">
        <f>IMAGE("https://api.qrserver.com/v1/create-qr-code/?size=150x150&amp;data="&amp;ENCODEURL(C913))</f>
        <v/>
      </c>
    </row>
    <row r="916">
      <c r="A916" s="108"/>
      <c r="C916" s="105"/>
    </row>
    <row r="917">
      <c r="A917" s="108"/>
      <c r="C917" s="105"/>
    </row>
    <row r="918">
      <c r="A918" s="108"/>
      <c r="C918" s="105"/>
    </row>
    <row r="919">
      <c r="A919" s="112"/>
      <c r="B919" s="113"/>
      <c r="C919" s="114"/>
    </row>
    <row r="920">
      <c r="A920" s="101"/>
      <c r="B920" s="102"/>
      <c r="C920" s="103"/>
    </row>
    <row r="921">
      <c r="A921" s="115"/>
      <c r="B921" s="116" t="str">
        <f>IF(B924&lt;&gt;"","FAST CHARGER","")</f>
        <v/>
      </c>
      <c r="C921" s="117"/>
    </row>
    <row r="922">
      <c r="A922" s="108"/>
      <c r="B922" s="13" t="str">
        <f>IF(B933&lt;&gt;"","ITEM NO.","")</f>
        <v/>
      </c>
      <c r="C922" s="97" t="str">
        <f>IF(B924&lt;&gt;"",$C$6,"")</f>
        <v/>
      </c>
    </row>
    <row r="923">
      <c r="A923" s="108"/>
      <c r="B923" s="13"/>
      <c r="C923" s="97"/>
    </row>
    <row r="924">
      <c r="A924" s="108"/>
      <c r="B924" s="109" t="str">
        <f>IF(B915&lt;$C$10,B915+1,"")</f>
        <v/>
      </c>
      <c r="C924" s="118" t="str">
        <f>IMAGE("https://api.qrserver.com/v1/create-qr-code/?size=150x150&amp;data="&amp;ENCODEURL(C922))</f>
        <v/>
      </c>
    </row>
    <row r="925">
      <c r="A925" s="108"/>
      <c r="C925" s="105"/>
    </row>
    <row r="926">
      <c r="A926" s="108"/>
      <c r="C926" s="105"/>
    </row>
    <row r="927">
      <c r="A927" s="108"/>
      <c r="C927" s="105"/>
    </row>
    <row r="928">
      <c r="A928" s="112"/>
      <c r="B928" s="113"/>
      <c r="C928" s="114"/>
    </row>
    <row r="929">
      <c r="A929" s="101"/>
      <c r="B929" s="102"/>
      <c r="C929" s="103"/>
    </row>
    <row r="930">
      <c r="A930" s="115"/>
      <c r="B930" s="116" t="str">
        <f>IF(B933&lt;&gt;"","FAST CHARGER","")</f>
        <v/>
      </c>
      <c r="C930" s="117"/>
    </row>
    <row r="931">
      <c r="A931" s="108"/>
      <c r="B931" s="13" t="str">
        <f>IF(B942&lt;&gt;"","ITEM NO.","")</f>
        <v/>
      </c>
      <c r="C931" s="97" t="str">
        <f>IF(B933&lt;&gt;"",$C$6,"")</f>
        <v/>
      </c>
    </row>
    <row r="932">
      <c r="A932" s="108"/>
      <c r="B932" s="13"/>
      <c r="C932" s="97"/>
    </row>
    <row r="933">
      <c r="A933" s="108"/>
      <c r="B933" s="109" t="str">
        <f>IF(B924&lt;$C$10,B924+1,"")</f>
        <v/>
      </c>
      <c r="C933" s="118" t="str">
        <f>IMAGE("https://api.qrserver.com/v1/create-qr-code/?size=150x150&amp;data="&amp;ENCODEURL(C931))</f>
        <v/>
      </c>
    </row>
    <row r="934">
      <c r="A934" s="108"/>
      <c r="C934" s="105"/>
    </row>
    <row r="935">
      <c r="A935" s="108"/>
      <c r="C935" s="105"/>
    </row>
    <row r="936">
      <c r="A936" s="108"/>
      <c r="C936" s="105"/>
    </row>
    <row r="937">
      <c r="A937" s="112"/>
      <c r="B937" s="113"/>
      <c r="C937" s="114"/>
    </row>
    <row r="938">
      <c r="A938" s="101"/>
      <c r="B938" s="102"/>
      <c r="C938" s="103"/>
    </row>
    <row r="939">
      <c r="A939" s="115"/>
      <c r="B939" s="116" t="str">
        <f>IF(B942&lt;&gt;"","FAST CHARGER","")</f>
        <v/>
      </c>
      <c r="C939" s="117"/>
    </row>
    <row r="940">
      <c r="A940" s="108"/>
      <c r="B940" s="13" t="str">
        <f>IF(B951&lt;&gt;"","ITEM NO.","")</f>
        <v/>
      </c>
      <c r="C940" s="97" t="str">
        <f>IF(B942&lt;&gt;"",$C$6,"")</f>
        <v/>
      </c>
    </row>
    <row r="941">
      <c r="A941" s="108"/>
      <c r="B941" s="13"/>
      <c r="C941" s="97"/>
    </row>
    <row r="942">
      <c r="A942" s="108"/>
      <c r="B942" s="109" t="str">
        <f>IF(B933&lt;$C$10,B933+1,"")</f>
        <v/>
      </c>
      <c r="C942" s="118" t="str">
        <f>IMAGE("https://api.qrserver.com/v1/create-qr-code/?size=150x150&amp;data="&amp;ENCODEURL(C940))</f>
        <v/>
      </c>
    </row>
    <row r="943">
      <c r="A943" s="108"/>
      <c r="C943" s="105"/>
    </row>
    <row r="944">
      <c r="A944" s="108"/>
      <c r="C944" s="105"/>
    </row>
    <row r="945">
      <c r="A945" s="108"/>
      <c r="C945" s="105"/>
    </row>
    <row r="946">
      <c r="A946" s="112"/>
      <c r="B946" s="113"/>
      <c r="C946" s="114"/>
    </row>
    <row r="947">
      <c r="A947" s="101"/>
      <c r="B947" s="102"/>
      <c r="C947" s="103"/>
    </row>
    <row r="948">
      <c r="A948" s="115"/>
      <c r="B948" s="116" t="str">
        <f>IF(B951&lt;&gt;"","FAST CHARGER","")</f>
        <v/>
      </c>
      <c r="C948" s="117"/>
    </row>
    <row r="949">
      <c r="A949" s="108"/>
      <c r="B949" s="13" t="str">
        <f>IF(B960&lt;&gt;"","ITEM NO.","")</f>
        <v/>
      </c>
      <c r="C949" s="97" t="str">
        <f>IF(B951&lt;&gt;"",$C$6,"")</f>
        <v/>
      </c>
    </row>
    <row r="950">
      <c r="A950" s="108"/>
      <c r="B950" s="13"/>
      <c r="C950" s="97"/>
    </row>
    <row r="951">
      <c r="A951" s="108"/>
      <c r="B951" s="109" t="str">
        <f>IF(B942&lt;$C$10,B942+1,"")</f>
        <v/>
      </c>
      <c r="C951" s="118" t="str">
        <f>IMAGE("https://api.qrserver.com/v1/create-qr-code/?size=150x150&amp;data="&amp;ENCODEURL(C949))</f>
        <v/>
      </c>
    </row>
    <row r="952">
      <c r="A952" s="108"/>
      <c r="C952" s="105"/>
    </row>
    <row r="953">
      <c r="A953" s="108"/>
      <c r="C953" s="105"/>
    </row>
    <row r="954">
      <c r="A954" s="108"/>
      <c r="C954" s="105"/>
    </row>
    <row r="955">
      <c r="A955" s="112"/>
      <c r="B955" s="113"/>
      <c r="C955" s="114"/>
    </row>
    <row r="956">
      <c r="A956" s="101"/>
      <c r="B956" s="102"/>
      <c r="C956" s="103"/>
    </row>
    <row r="957">
      <c r="A957" s="115"/>
      <c r="B957" s="116" t="str">
        <f>IF(B960&lt;&gt;"","FAST CHARGER","")</f>
        <v/>
      </c>
      <c r="C957" s="117"/>
    </row>
    <row r="958">
      <c r="A958" s="108"/>
      <c r="B958" s="13" t="str">
        <f>IF(B969&lt;&gt;"","ITEM NO.","")</f>
        <v/>
      </c>
      <c r="C958" s="97" t="str">
        <f>IF(B960&lt;&gt;"",$C$6,"")</f>
        <v/>
      </c>
    </row>
    <row r="959">
      <c r="A959" s="108"/>
      <c r="B959" s="13"/>
      <c r="C959" s="97"/>
    </row>
    <row r="960">
      <c r="A960" s="108"/>
      <c r="B960" s="109" t="str">
        <f>IF(B951&lt;$C$10,B951+1,"")</f>
        <v/>
      </c>
      <c r="C960" s="118" t="str">
        <f>IMAGE("https://api.qrserver.com/v1/create-qr-code/?size=150x150&amp;data="&amp;ENCODEURL(C958))</f>
        <v/>
      </c>
    </row>
    <row r="961">
      <c r="A961" s="108"/>
      <c r="C961" s="105"/>
    </row>
    <row r="962">
      <c r="A962" s="108"/>
      <c r="C962" s="105"/>
    </row>
    <row r="963">
      <c r="A963" s="108"/>
      <c r="C963" s="105"/>
    </row>
    <row r="964">
      <c r="A964" s="112"/>
      <c r="B964" s="113"/>
      <c r="C964" s="114"/>
    </row>
    <row r="965">
      <c r="A965" s="101"/>
      <c r="B965" s="102"/>
      <c r="C965" s="103"/>
    </row>
    <row r="966">
      <c r="A966" s="115"/>
      <c r="B966" s="116" t="str">
        <f>IF(B969&lt;&gt;"","FAST CHARGER","")</f>
        <v/>
      </c>
      <c r="C966" s="117"/>
    </row>
    <row r="967">
      <c r="A967" s="108"/>
      <c r="B967" s="13" t="str">
        <f>IF(B978&lt;&gt;"","ITEM NO.","")</f>
        <v/>
      </c>
      <c r="C967" s="97" t="str">
        <f>IF(B969&lt;&gt;"",$C$6,"")</f>
        <v/>
      </c>
    </row>
    <row r="968">
      <c r="A968" s="108"/>
      <c r="B968" s="13"/>
      <c r="C968" s="97"/>
    </row>
    <row r="969">
      <c r="A969" s="108"/>
      <c r="B969" s="109" t="str">
        <f>IF(B960&lt;$C$10,B960+1,"")</f>
        <v/>
      </c>
      <c r="C969" s="118" t="str">
        <f>IMAGE("https://api.qrserver.com/v1/create-qr-code/?size=150x150&amp;data="&amp;ENCODEURL(C967))</f>
        <v/>
      </c>
    </row>
    <row r="970">
      <c r="A970" s="108"/>
      <c r="C970" s="105"/>
    </row>
    <row r="971">
      <c r="A971" s="108"/>
      <c r="C971" s="105"/>
    </row>
    <row r="972">
      <c r="A972" s="108"/>
      <c r="C972" s="105"/>
    </row>
    <row r="973">
      <c r="A973" s="112"/>
      <c r="B973" s="113"/>
      <c r="C973" s="114"/>
    </row>
    <row r="974">
      <c r="A974" s="101"/>
      <c r="B974" s="102"/>
      <c r="C974" s="103"/>
    </row>
    <row r="975">
      <c r="A975" s="115"/>
      <c r="B975" s="116" t="str">
        <f>IF(B978&lt;&gt;"","FAST CHARGER","")</f>
        <v/>
      </c>
      <c r="C975" s="117"/>
    </row>
    <row r="976">
      <c r="A976" s="108"/>
      <c r="B976" s="13" t="str">
        <f>IF(B987&lt;&gt;"","ITEM NO.","")</f>
        <v/>
      </c>
      <c r="C976" s="97" t="str">
        <f>IF(B978&lt;&gt;"",$C$6,"")</f>
        <v/>
      </c>
    </row>
    <row r="977">
      <c r="A977" s="108"/>
      <c r="B977" s="13"/>
      <c r="C977" s="97"/>
    </row>
    <row r="978">
      <c r="A978" s="108"/>
      <c r="B978" s="109" t="str">
        <f>IF(B969&lt;$C$10,B969+1,"")</f>
        <v/>
      </c>
      <c r="C978" s="118" t="str">
        <f>IMAGE("https://api.qrserver.com/v1/create-qr-code/?size=150x150&amp;data="&amp;ENCODEURL(C976))</f>
        <v/>
      </c>
    </row>
    <row r="979">
      <c r="A979" s="108"/>
      <c r="C979" s="105"/>
    </row>
    <row r="980">
      <c r="A980" s="108"/>
      <c r="C980" s="105"/>
    </row>
    <row r="981">
      <c r="A981" s="108"/>
      <c r="C981" s="105"/>
    </row>
    <row r="982">
      <c r="A982" s="112"/>
      <c r="B982" s="113"/>
      <c r="C982" s="114"/>
    </row>
    <row r="983">
      <c r="A983" s="101"/>
      <c r="B983" s="102"/>
      <c r="C983" s="103"/>
    </row>
    <row r="984">
      <c r="A984" s="115"/>
      <c r="B984" s="116" t="str">
        <f>IF(B987&lt;&gt;"","FAST CHARGER","")</f>
        <v/>
      </c>
      <c r="C984" s="117"/>
    </row>
    <row r="985">
      <c r="A985" s="108"/>
      <c r="B985" s="13" t="str">
        <f>IF(B996&lt;&gt;"","ITEM NO.","")</f>
        <v/>
      </c>
      <c r="C985" s="97" t="str">
        <f>IF(B987&lt;&gt;"",$C$6,"")</f>
        <v/>
      </c>
    </row>
    <row r="986">
      <c r="A986" s="108"/>
      <c r="B986" s="13"/>
      <c r="C986" s="97"/>
    </row>
    <row r="987">
      <c r="A987" s="108"/>
      <c r="B987" s="109" t="str">
        <f>IF(B978&lt;$C$10,B978+1,"")</f>
        <v/>
      </c>
      <c r="C987" s="118" t="str">
        <f>IMAGE("https://api.qrserver.com/v1/create-qr-code/?size=150x150&amp;data="&amp;ENCODEURL(C985))</f>
        <v/>
      </c>
    </row>
    <row r="988">
      <c r="A988" s="108"/>
      <c r="C988" s="105"/>
    </row>
    <row r="989">
      <c r="A989" s="108"/>
      <c r="C989" s="105"/>
    </row>
    <row r="990">
      <c r="A990" s="108"/>
      <c r="C990" s="105"/>
    </row>
    <row r="991">
      <c r="A991" s="112"/>
      <c r="B991" s="113"/>
      <c r="C991" s="114"/>
    </row>
    <row r="992">
      <c r="A992" s="101"/>
      <c r="B992" s="102"/>
      <c r="C992" s="103"/>
    </row>
    <row r="993">
      <c r="A993" s="115"/>
      <c r="B993" s="116" t="str">
        <f>IF(B996&lt;&gt;"","FAST CHARGER","")</f>
        <v/>
      </c>
      <c r="C993" s="117"/>
    </row>
    <row r="994">
      <c r="A994" s="108"/>
      <c r="B994" s="13" t="str">
        <f>IF(B1005&lt;&gt;"","ITEM NO.","")</f>
        <v/>
      </c>
      <c r="C994" s="97" t="str">
        <f>IF(B996&lt;&gt;"",$C$6,"")</f>
        <v/>
      </c>
    </row>
    <row r="995">
      <c r="A995" s="108"/>
      <c r="B995" s="13"/>
      <c r="C995" s="97"/>
    </row>
    <row r="996">
      <c r="A996" s="108"/>
      <c r="B996" s="109" t="str">
        <f>IF(B987&lt;$C$10,B987+1,"")</f>
        <v/>
      </c>
      <c r="C996" s="118" t="str">
        <f>IMAGE("https://api.qrserver.com/v1/create-qr-code/?size=150x150&amp;data="&amp;ENCODEURL(C994))</f>
        <v/>
      </c>
    </row>
    <row r="997">
      <c r="A997" s="108"/>
      <c r="C997" s="105"/>
    </row>
    <row r="998">
      <c r="A998" s="108"/>
      <c r="C998" s="105"/>
    </row>
    <row r="999">
      <c r="A999" s="108"/>
      <c r="C999" s="105"/>
    </row>
    <row r="1000">
      <c r="A1000" s="112"/>
      <c r="B1000" s="113"/>
      <c r="C1000" s="114"/>
    </row>
    <row r="1001">
      <c r="A1001" s="101"/>
      <c r="B1001" s="102"/>
      <c r="C1001" s="103"/>
    </row>
    <row r="1002">
      <c r="A1002" s="115"/>
      <c r="B1002" s="116" t="str">
        <f>IF(B1005&lt;&gt;"","FAST CHARGER","")</f>
        <v/>
      </c>
      <c r="C1002" s="117"/>
    </row>
    <row r="1003">
      <c r="A1003" s="108"/>
      <c r="B1003" s="13" t="str">
        <f>IF(B1012&lt;&gt;"","ITEM NO.","")</f>
        <v/>
      </c>
      <c r="C1003" s="97" t="str">
        <f>IF(B1005&lt;&gt;"",$C$6,"")</f>
        <v/>
      </c>
    </row>
    <row r="1004">
      <c r="A1004" s="108"/>
      <c r="B1004" s="13"/>
      <c r="C1004" s="97"/>
    </row>
    <row r="1005">
      <c r="A1005" s="108"/>
      <c r="B1005" s="109" t="str">
        <f>IF(B996&lt;$C$10,B996+1,"")</f>
        <v/>
      </c>
      <c r="C1005" s="118" t="str">
        <f>IMAGE("https://api.qrserver.com/v1/create-qr-code/?size=150x150&amp;data="&amp;ENCODEURL(C1003))</f>
        <v/>
      </c>
    </row>
    <row r="1006">
      <c r="A1006" s="108"/>
      <c r="C1006" s="105"/>
    </row>
    <row r="1007">
      <c r="A1007" s="108"/>
      <c r="C1007" s="105"/>
    </row>
    <row r="1008">
      <c r="A1008" s="108"/>
      <c r="C1008" s="105"/>
    </row>
    <row r="1009">
      <c r="A1009" s="112"/>
      <c r="B1009" s="113"/>
      <c r="C1009" s="114"/>
    </row>
  </sheetData>
  <mergeCells count="223">
    <mergeCell ref="B798:B801"/>
    <mergeCell ref="C798:C801"/>
    <mergeCell ref="B807:B810"/>
    <mergeCell ref="C807:C810"/>
    <mergeCell ref="B816:B819"/>
    <mergeCell ref="C816:C819"/>
    <mergeCell ref="C825:C828"/>
    <mergeCell ref="B825:B828"/>
    <mergeCell ref="B834:B837"/>
    <mergeCell ref="C834:C837"/>
    <mergeCell ref="B843:B846"/>
    <mergeCell ref="C843:C846"/>
    <mergeCell ref="B852:B855"/>
    <mergeCell ref="C852:C855"/>
    <mergeCell ref="B861:B864"/>
    <mergeCell ref="C861:C864"/>
    <mergeCell ref="B870:B873"/>
    <mergeCell ref="C870:C873"/>
    <mergeCell ref="B879:B882"/>
    <mergeCell ref="C879:C882"/>
    <mergeCell ref="C888:C891"/>
    <mergeCell ref="B888:B891"/>
    <mergeCell ref="B897:B900"/>
    <mergeCell ref="C897:C900"/>
    <mergeCell ref="B906:B909"/>
    <mergeCell ref="C906:C909"/>
    <mergeCell ref="B915:B918"/>
    <mergeCell ref="C915:C918"/>
    <mergeCell ref="B924:B927"/>
    <mergeCell ref="C924:C927"/>
    <mergeCell ref="B933:B936"/>
    <mergeCell ref="C933:C936"/>
    <mergeCell ref="B942:B945"/>
    <mergeCell ref="C942:C945"/>
    <mergeCell ref="C951:C954"/>
    <mergeCell ref="B951:B954"/>
    <mergeCell ref="B960:B963"/>
    <mergeCell ref="C960:C963"/>
    <mergeCell ref="B969:B972"/>
    <mergeCell ref="C969:C972"/>
    <mergeCell ref="B978:B981"/>
    <mergeCell ref="C978:C981"/>
    <mergeCell ref="B231:B234"/>
    <mergeCell ref="C231:C234"/>
    <mergeCell ref="B240:B243"/>
    <mergeCell ref="C240:C243"/>
    <mergeCell ref="B249:B252"/>
    <mergeCell ref="C249:C252"/>
    <mergeCell ref="C258:C261"/>
    <mergeCell ref="B258:B261"/>
    <mergeCell ref="B267:B270"/>
    <mergeCell ref="C267:C270"/>
    <mergeCell ref="B276:B279"/>
    <mergeCell ref="C276:C279"/>
    <mergeCell ref="B285:B288"/>
    <mergeCell ref="C285:C288"/>
    <mergeCell ref="B294:B297"/>
    <mergeCell ref="C294:C297"/>
    <mergeCell ref="B303:B306"/>
    <mergeCell ref="C303:C306"/>
    <mergeCell ref="B312:B315"/>
    <mergeCell ref="C312:C315"/>
    <mergeCell ref="C321:C324"/>
    <mergeCell ref="B321:B324"/>
    <mergeCell ref="B330:B333"/>
    <mergeCell ref="C330:C333"/>
    <mergeCell ref="B339:B342"/>
    <mergeCell ref="C339:C342"/>
    <mergeCell ref="B348:B351"/>
    <mergeCell ref="C348:C351"/>
    <mergeCell ref="B357:B360"/>
    <mergeCell ref="C357:C360"/>
    <mergeCell ref="B366:B369"/>
    <mergeCell ref="C366:C369"/>
    <mergeCell ref="B375:B378"/>
    <mergeCell ref="C375:C378"/>
    <mergeCell ref="C384:C387"/>
    <mergeCell ref="B384:B387"/>
    <mergeCell ref="B393:B396"/>
    <mergeCell ref="C393:C396"/>
    <mergeCell ref="B402:B405"/>
    <mergeCell ref="C402:C405"/>
    <mergeCell ref="B411:B414"/>
    <mergeCell ref="C411:C414"/>
    <mergeCell ref="B987:B990"/>
    <mergeCell ref="C987:C990"/>
    <mergeCell ref="B996:B999"/>
    <mergeCell ref="C996:C999"/>
    <mergeCell ref="B1005:B1008"/>
    <mergeCell ref="C1005:C1008"/>
    <mergeCell ref="A1:B10"/>
    <mergeCell ref="B15:B18"/>
    <mergeCell ref="C15:C18"/>
    <mergeCell ref="B24:B27"/>
    <mergeCell ref="C24:C27"/>
    <mergeCell ref="B33:B36"/>
    <mergeCell ref="C33:C36"/>
    <mergeCell ref="B42:B45"/>
    <mergeCell ref="C42:C45"/>
    <mergeCell ref="B51:B54"/>
    <mergeCell ref="C51:C54"/>
    <mergeCell ref="B60:B63"/>
    <mergeCell ref="C60:C63"/>
    <mergeCell ref="C69:C72"/>
    <mergeCell ref="B69:B72"/>
    <mergeCell ref="B78:B81"/>
    <mergeCell ref="C78:C81"/>
    <mergeCell ref="B87:B90"/>
    <mergeCell ref="C87:C90"/>
    <mergeCell ref="B96:B99"/>
    <mergeCell ref="C96:C99"/>
    <mergeCell ref="B105:B108"/>
    <mergeCell ref="C105:C108"/>
    <mergeCell ref="B114:B117"/>
    <mergeCell ref="C114:C117"/>
    <mergeCell ref="B123:B126"/>
    <mergeCell ref="C123:C126"/>
    <mergeCell ref="C132:C135"/>
    <mergeCell ref="B132:B135"/>
    <mergeCell ref="B141:B144"/>
    <mergeCell ref="C141:C144"/>
    <mergeCell ref="B150:B153"/>
    <mergeCell ref="C150:C153"/>
    <mergeCell ref="B159:B162"/>
    <mergeCell ref="C159:C162"/>
    <mergeCell ref="B168:B171"/>
    <mergeCell ref="C168:C171"/>
    <mergeCell ref="B177:B180"/>
    <mergeCell ref="C177:C180"/>
    <mergeCell ref="B186:B189"/>
    <mergeCell ref="C186:C189"/>
    <mergeCell ref="C195:C198"/>
    <mergeCell ref="B195:B198"/>
    <mergeCell ref="B204:B207"/>
    <mergeCell ref="C204:C207"/>
    <mergeCell ref="B213:B216"/>
    <mergeCell ref="C213:C216"/>
    <mergeCell ref="B222:B225"/>
    <mergeCell ref="C222:C225"/>
    <mergeCell ref="B420:B423"/>
    <mergeCell ref="C420:C423"/>
    <mergeCell ref="B429:B432"/>
    <mergeCell ref="C429:C432"/>
    <mergeCell ref="B438:B441"/>
    <mergeCell ref="C438:C441"/>
    <mergeCell ref="C447:C450"/>
    <mergeCell ref="B447:B450"/>
    <mergeCell ref="B456:B459"/>
    <mergeCell ref="C456:C459"/>
    <mergeCell ref="B465:B468"/>
    <mergeCell ref="C465:C468"/>
    <mergeCell ref="B474:B477"/>
    <mergeCell ref="C474:C477"/>
    <mergeCell ref="B483:B486"/>
    <mergeCell ref="C483:C486"/>
    <mergeCell ref="B492:B495"/>
    <mergeCell ref="C492:C495"/>
    <mergeCell ref="B501:B504"/>
    <mergeCell ref="C501:C504"/>
    <mergeCell ref="C510:C513"/>
    <mergeCell ref="B510:B513"/>
    <mergeCell ref="B519:B522"/>
    <mergeCell ref="C519:C522"/>
    <mergeCell ref="B528:B531"/>
    <mergeCell ref="C528:C531"/>
    <mergeCell ref="B537:B540"/>
    <mergeCell ref="C537:C540"/>
    <mergeCell ref="B546:B549"/>
    <mergeCell ref="C546:C549"/>
    <mergeCell ref="B555:B558"/>
    <mergeCell ref="C555:C558"/>
    <mergeCell ref="B564:B567"/>
    <mergeCell ref="C564:C567"/>
    <mergeCell ref="C573:C576"/>
    <mergeCell ref="B573:B576"/>
    <mergeCell ref="B582:B585"/>
    <mergeCell ref="C582:C585"/>
    <mergeCell ref="B591:B594"/>
    <mergeCell ref="C591:C594"/>
    <mergeCell ref="B600:B603"/>
    <mergeCell ref="C600:C603"/>
    <mergeCell ref="B609:B612"/>
    <mergeCell ref="C609:C612"/>
    <mergeCell ref="B618:B621"/>
    <mergeCell ref="C618:C621"/>
    <mergeCell ref="B627:B630"/>
    <mergeCell ref="C627:C630"/>
    <mergeCell ref="C636:C639"/>
    <mergeCell ref="B636:B639"/>
    <mergeCell ref="B645:B648"/>
    <mergeCell ref="C645:C648"/>
    <mergeCell ref="B654:B657"/>
    <mergeCell ref="C654:C657"/>
    <mergeCell ref="B663:B666"/>
    <mergeCell ref="C663:C666"/>
    <mergeCell ref="B672:B675"/>
    <mergeCell ref="C672:C675"/>
    <mergeCell ref="B681:B684"/>
    <mergeCell ref="C681:C684"/>
    <mergeCell ref="B690:B693"/>
    <mergeCell ref="C690:C693"/>
    <mergeCell ref="C699:C702"/>
    <mergeCell ref="B699:B702"/>
    <mergeCell ref="B708:B711"/>
    <mergeCell ref="C708:C711"/>
    <mergeCell ref="B717:B720"/>
    <mergeCell ref="C717:C720"/>
    <mergeCell ref="B726:B729"/>
    <mergeCell ref="C726:C729"/>
    <mergeCell ref="B735:B738"/>
    <mergeCell ref="C735:C738"/>
    <mergeCell ref="B744:B747"/>
    <mergeCell ref="C744:C747"/>
    <mergeCell ref="B753:B756"/>
    <mergeCell ref="C753:C756"/>
    <mergeCell ref="C762:C765"/>
    <mergeCell ref="B762:B765"/>
    <mergeCell ref="B771:B774"/>
    <mergeCell ref="C771:C774"/>
    <mergeCell ref="B780:B783"/>
    <mergeCell ref="C780:C783"/>
    <mergeCell ref="B789:B792"/>
    <mergeCell ref="C789:C792"/>
  </mergeCells>
  <dataValidations>
    <dataValidation type="list" allowBlank="1" showErrorMessage="1" sqref="C6">
      <formula1>"10002048.A1"</formula1>
    </dataValidation>
    <dataValidation type="list" allowBlank="1" showErrorMessage="1" sqref="C3">
      <formula1>'RH - KE'!$H$3:$H1009</formula1>
    </dataValidation>
  </dataValidations>
  <printOptions horizontalCentered="1" verticalCentered="1"/>
  <pageMargins bottom="0.03937007874015748" footer="0.0" header="0.0" left="0.03937007874015748" right="0.03937007874015748" top="0.03937007874015748"/>
  <pageSetup orientation="landscape" pageOrder="overThenDown" paperHeight="1.3976377952755905in" paperWidth="1.968503937007874in"/>
  <rowBreaks count="73" manualBreakCount="73">
    <brk id="640" man="1"/>
    <brk man="1"/>
    <brk id="514" man="1"/>
    <brk id="388" man="1"/>
    <brk id="262" man="1"/>
    <brk id="136" man="1"/>
    <brk id="649" man="1"/>
    <brk id="10" man="1"/>
    <brk id="523" man="1"/>
    <brk id="397" man="1"/>
    <brk id="271" man="1"/>
    <brk id="145" man="1"/>
    <brk id="19" man="1"/>
    <brk id="532" man="1"/>
    <brk id="406" man="1"/>
    <brk id="280" man="1"/>
    <brk id="154" man="1"/>
    <brk id="28" man="1"/>
    <brk id="541" man="1"/>
    <brk id="415" man="1"/>
    <brk id="289" man="1"/>
    <brk id="163" man="1"/>
    <brk id="37" man="1"/>
    <brk id="550" man="1"/>
    <brk id="424" man="1"/>
    <brk id="298" man="1"/>
    <brk id="172" man="1"/>
    <brk id="46" man="1"/>
    <brk id="559" man="1"/>
    <brk id="433" man="1"/>
    <brk id="307" man="1"/>
    <brk id="181" man="1"/>
    <brk id="55" man="1"/>
    <brk id="568" man="1"/>
    <brk id="442" man="1"/>
    <brk id="316" man="1"/>
    <brk id="190" man="1"/>
    <brk id="64" man="1"/>
    <brk id="577" man="1"/>
    <brk id="451" man="1"/>
    <brk id="325" man="1"/>
    <brk id="199" man="1"/>
    <brk id="73" man="1"/>
    <brk id="586" man="1"/>
    <brk id="460" man="1"/>
    <brk id="334" man="1"/>
    <brk id="208" man="1"/>
    <brk id="82" man="1"/>
    <brk id="595" man="1"/>
    <brk id="469" man="1"/>
    <brk id="343" man="1"/>
    <brk id="217" man="1"/>
    <brk id="91" man="1"/>
    <brk id="604" man="1"/>
    <brk id="478" man="1"/>
    <brk id="352" man="1"/>
    <brk id="226" man="1"/>
    <brk id="100" man="1"/>
    <brk id="613" man="1"/>
    <brk id="487" man="1"/>
    <brk id="361" man="1"/>
    <brk id="235" man="1"/>
    <brk id="109" man="1"/>
    <brk id="622" man="1"/>
    <brk id="496" man="1"/>
    <brk id="370" man="1"/>
    <brk id="244" man="1"/>
    <brk id="118" man="1"/>
    <brk id="631" man="1"/>
    <brk id="505" man="1"/>
    <brk id="379" man="1"/>
    <brk id="253" man="1"/>
    <brk id="127" man="1"/>
  </rowBreaks>
  <colBreaks count="2" manualBreakCount="2">
    <brk man="1"/>
    <brk id="3" man="1"/>
  </colBrea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63"/>
    <col customWidth="1" min="3" max="3" width="35.75"/>
    <col customWidth="1" min="4" max="9" width="18.88"/>
  </cols>
  <sheetData>
    <row r="1" ht="22.5" customHeight="1">
      <c r="A1" s="119" t="s">
        <v>877</v>
      </c>
      <c r="B1" s="119" t="s">
        <v>249</v>
      </c>
      <c r="C1" s="120" t="s">
        <v>878</v>
      </c>
    </row>
    <row r="2" ht="22.5" customHeight="1">
      <c r="A2" s="121">
        <v>45803.604972974535</v>
      </c>
      <c r="B2" s="122" t="s">
        <v>328</v>
      </c>
      <c r="C2" s="123">
        <v>3.5054400808442E13</v>
      </c>
    </row>
    <row r="3" ht="22.5" customHeight="1">
      <c r="A3" s="124">
        <v>45803.6090784375</v>
      </c>
      <c r="B3" s="125" t="s">
        <v>331</v>
      </c>
      <c r="C3" s="126">
        <v>3.50424068795176E14</v>
      </c>
      <c r="G3" s="127" t="s">
        <v>879</v>
      </c>
    </row>
    <row r="4" ht="22.5" customHeight="1">
      <c r="A4" s="124">
        <v>45803.61266677083</v>
      </c>
      <c r="B4" s="125" t="s">
        <v>356</v>
      </c>
      <c r="C4" s="126">
        <v>3.5201670840541E14</v>
      </c>
      <c r="E4" s="128" t="str">
        <f t="shared" ref="E4:E6" si="1">B2</f>
        <v>Forest Road</v>
      </c>
      <c r="F4" s="129">
        <v>16.0</v>
      </c>
      <c r="G4" s="13" t="b">
        <v>1</v>
      </c>
    </row>
    <row r="5" ht="22.5" customHeight="1">
      <c r="A5" s="124"/>
      <c r="B5" s="125" t="s">
        <v>356</v>
      </c>
      <c r="C5" s="126">
        <v>3.52016708404421E14</v>
      </c>
      <c r="E5" s="128" t="str">
        <f t="shared" si="1"/>
        <v>Karambee</v>
      </c>
      <c r="F5" s="129">
        <v>18.0</v>
      </c>
      <c r="G5" s="13" t="b">
        <v>1</v>
      </c>
    </row>
    <row r="6" ht="22.5" customHeight="1">
      <c r="A6" s="124"/>
      <c r="B6" s="125" t="s">
        <v>356</v>
      </c>
      <c r="C6" s="126">
        <v>3.52016708408992E14</v>
      </c>
      <c r="E6" s="128" t="str">
        <f t="shared" si="1"/>
        <v>Thika Centre</v>
      </c>
      <c r="F6" s="130">
        <f t="shared" ref="F6:F10" si="2">COUNTIF(B:B,E6)</f>
        <v>4</v>
      </c>
      <c r="G6" s="13" t="b">
        <v>1</v>
      </c>
    </row>
    <row r="7" ht="22.5" customHeight="1">
      <c r="A7" s="124"/>
      <c r="B7" s="125" t="s">
        <v>356</v>
      </c>
      <c r="C7" s="126">
        <v>3.50612078648183E14</v>
      </c>
      <c r="E7" s="131" t="s">
        <v>318</v>
      </c>
      <c r="F7" s="130">
        <f t="shared" si="2"/>
        <v>11</v>
      </c>
      <c r="G7" s="13" t="b">
        <v>1</v>
      </c>
    </row>
    <row r="8" ht="22.5" customHeight="1">
      <c r="A8" s="124">
        <v>45803.61546018519</v>
      </c>
      <c r="B8" s="125" t="s">
        <v>303</v>
      </c>
      <c r="C8" s="126">
        <v>3.50544501509247E14</v>
      </c>
      <c r="E8" s="128" t="str">
        <f>B8</f>
        <v>Outering</v>
      </c>
      <c r="F8" s="130">
        <f t="shared" si="2"/>
        <v>14</v>
      </c>
      <c r="G8" s="13" t="b">
        <v>1</v>
      </c>
    </row>
    <row r="9" ht="22.5" customHeight="1">
      <c r="A9" s="124"/>
      <c r="B9" s="125" t="s">
        <v>303</v>
      </c>
      <c r="C9" s="126">
        <v>3.52016701785131E14</v>
      </c>
      <c r="E9" s="128" t="str">
        <f>B22</f>
        <v>Roysambu</v>
      </c>
      <c r="F9" s="130">
        <f t="shared" si="2"/>
        <v>12</v>
      </c>
      <c r="G9" s="13" t="b">
        <v>1</v>
      </c>
    </row>
    <row r="10" ht="22.5" customHeight="1">
      <c r="A10" s="124"/>
      <c r="B10" s="125" t="s">
        <v>303</v>
      </c>
      <c r="C10" s="126">
        <v>3.50317170019917E14</v>
      </c>
      <c r="E10" s="128" t="str">
        <f>B33</f>
        <v>Kayole</v>
      </c>
      <c r="F10" s="130">
        <f t="shared" si="2"/>
        <v>10</v>
      </c>
      <c r="G10" s="13" t="b">
        <v>1</v>
      </c>
    </row>
    <row r="11" ht="22.5" customHeight="1">
      <c r="A11" s="124"/>
      <c r="B11" s="125" t="s">
        <v>303</v>
      </c>
      <c r="C11" s="126">
        <v>3.50544501509114E14</v>
      </c>
      <c r="E11" s="128" t="str">
        <f>B42</f>
        <v>GreenWheels HQ</v>
      </c>
      <c r="F11" s="129">
        <v>13.0</v>
      </c>
      <c r="G11" s="13" t="b">
        <v>1</v>
      </c>
    </row>
    <row r="12" ht="22.5" customHeight="1">
      <c r="A12" s="124"/>
      <c r="B12" s="125" t="s">
        <v>303</v>
      </c>
      <c r="C12" s="126">
        <v>3.52016708404256E14</v>
      </c>
      <c r="E12" s="128" t="str">
        <f t="shared" ref="E12:E13" si="3">B47</f>
        <v>Wayaki Way</v>
      </c>
      <c r="F12" s="130">
        <f t="shared" ref="F12:F13" si="4">COUNTIF(B:B,E12)</f>
        <v>13</v>
      </c>
      <c r="G12" s="13" t="b">
        <v>1</v>
      </c>
    </row>
    <row r="13" ht="22.5" customHeight="1">
      <c r="A13" s="124"/>
      <c r="B13" s="125" t="s">
        <v>303</v>
      </c>
      <c r="C13" s="126">
        <v>3.5201670831223E13</v>
      </c>
      <c r="E13" s="128" t="str">
        <f t="shared" si="3"/>
        <v>Suguta</v>
      </c>
      <c r="F13" s="130">
        <f t="shared" si="4"/>
        <v>22</v>
      </c>
      <c r="G13" s="13" t="b">
        <v>1</v>
      </c>
    </row>
    <row r="14" ht="22.5" customHeight="1">
      <c r="A14" s="124"/>
      <c r="B14" s="125" t="s">
        <v>303</v>
      </c>
      <c r="C14" s="126">
        <v>3.52016708409131E14</v>
      </c>
      <c r="E14" s="131" t="s">
        <v>289</v>
      </c>
      <c r="F14" s="130">
        <f>sum(F4:F13)</f>
        <v>133</v>
      </c>
      <c r="G14" s="13" t="b">
        <v>1</v>
      </c>
    </row>
    <row r="15" ht="22.5" customHeight="1">
      <c r="A15" s="124"/>
      <c r="B15" s="125" t="s">
        <v>303</v>
      </c>
      <c r="C15" s="126">
        <v>3.52016708406624E14</v>
      </c>
      <c r="E15" s="128"/>
      <c r="F15" s="130"/>
    </row>
    <row r="16" ht="22.5" customHeight="1">
      <c r="A16" s="124"/>
      <c r="B16" s="125" t="s">
        <v>303</v>
      </c>
      <c r="C16" s="126">
        <v>3.52016701786626E14</v>
      </c>
    </row>
    <row r="17" ht="22.5" customHeight="1">
      <c r="A17" s="124"/>
      <c r="B17" s="125" t="s">
        <v>303</v>
      </c>
      <c r="C17" s="126">
        <v>3.52016708382627E14</v>
      </c>
    </row>
    <row r="18" ht="22.5" customHeight="1">
      <c r="A18" s="124"/>
      <c r="B18" s="125" t="s">
        <v>303</v>
      </c>
      <c r="C18" s="126">
        <v>3.52016708407283E14</v>
      </c>
    </row>
    <row r="19" ht="22.5" customHeight="1">
      <c r="A19" s="124"/>
      <c r="B19" s="125" t="s">
        <v>303</v>
      </c>
      <c r="C19" s="126">
        <v>3.52016701728149E14</v>
      </c>
    </row>
    <row r="20" ht="22.5" customHeight="1">
      <c r="A20" s="124"/>
      <c r="B20" s="125" t="s">
        <v>303</v>
      </c>
      <c r="C20" s="126">
        <v>3.52016701728222E14</v>
      </c>
    </row>
    <row r="21" ht="22.5" customHeight="1">
      <c r="A21" s="124"/>
      <c r="B21" s="125" t="s">
        <v>303</v>
      </c>
      <c r="C21" s="126">
        <v>3.52016708380399E14</v>
      </c>
    </row>
    <row r="22" ht="22.5" customHeight="1">
      <c r="A22" s="124">
        <v>45803.61685841435</v>
      </c>
      <c r="B22" s="125" t="s">
        <v>322</v>
      </c>
      <c r="C22" s="126">
        <v>3.50612078670096E14</v>
      </c>
    </row>
    <row r="23" ht="22.5" customHeight="1">
      <c r="A23" s="124">
        <v>45803.61708788194</v>
      </c>
      <c r="B23" s="125" t="s">
        <v>322</v>
      </c>
      <c r="C23" s="126">
        <v>3.52016708378666E14</v>
      </c>
    </row>
    <row r="24" ht="22.5" customHeight="1">
      <c r="A24" s="124">
        <v>45803.61736017361</v>
      </c>
      <c r="B24" s="125" t="s">
        <v>322</v>
      </c>
      <c r="C24" s="126">
        <v>3.52016708382056E14</v>
      </c>
    </row>
    <row r="25" ht="22.5" customHeight="1">
      <c r="A25" s="124">
        <v>45803.61754146991</v>
      </c>
      <c r="B25" s="125" t="s">
        <v>322</v>
      </c>
      <c r="C25" s="126">
        <v>3.50612078656541E14</v>
      </c>
    </row>
    <row r="26" ht="22.5" customHeight="1">
      <c r="A26" s="124">
        <v>45803.61780116898</v>
      </c>
      <c r="B26" s="125" t="s">
        <v>322</v>
      </c>
      <c r="C26" s="126">
        <v>3.50612078634746E14</v>
      </c>
    </row>
    <row r="27" ht="22.5" customHeight="1">
      <c r="A27" s="124">
        <v>45803.61800524306</v>
      </c>
      <c r="B27" s="125" t="s">
        <v>322</v>
      </c>
      <c r="C27" s="126">
        <v>3.5061207817588E14</v>
      </c>
    </row>
    <row r="28" ht="22.5" customHeight="1">
      <c r="A28" s="124">
        <v>45803.61819390046</v>
      </c>
      <c r="B28" s="125" t="s">
        <v>322</v>
      </c>
      <c r="C28" s="126">
        <v>3.50612078338835E14</v>
      </c>
    </row>
    <row r="29" ht="22.5" customHeight="1">
      <c r="A29" s="124">
        <v>45803.61842255787</v>
      </c>
      <c r="B29" s="125" t="s">
        <v>322</v>
      </c>
      <c r="C29" s="126">
        <v>3.50612078663265E14</v>
      </c>
    </row>
    <row r="30" ht="22.5" customHeight="1">
      <c r="A30" s="124">
        <v>45803.61861300926</v>
      </c>
      <c r="B30" s="125" t="s">
        <v>322</v>
      </c>
      <c r="C30" s="126">
        <v>3.50612078634233E14</v>
      </c>
    </row>
    <row r="31" ht="22.5" customHeight="1">
      <c r="A31" s="124">
        <v>45803.61883056713</v>
      </c>
      <c r="B31" s="125" t="s">
        <v>322</v>
      </c>
      <c r="C31" s="126">
        <v>3.50612078664875E14</v>
      </c>
    </row>
    <row r="32" ht="22.5" customHeight="1">
      <c r="A32" s="124">
        <v>45803.61914340278</v>
      </c>
      <c r="B32" s="125" t="s">
        <v>322</v>
      </c>
      <c r="C32" s="126">
        <v>3.50612078659172E14</v>
      </c>
    </row>
    <row r="33" ht="22.5" customHeight="1">
      <c r="A33" s="124">
        <v>45803.61934283565</v>
      </c>
      <c r="B33" s="125" t="s">
        <v>880</v>
      </c>
      <c r="C33" s="126">
        <v>3.5042406696982E13</v>
      </c>
    </row>
    <row r="34" ht="22.5" customHeight="1">
      <c r="A34" s="124">
        <v>45803.61972756944</v>
      </c>
      <c r="B34" s="125" t="s">
        <v>322</v>
      </c>
      <c r="C34" s="126">
        <v>3.52016708409248E14</v>
      </c>
    </row>
    <row r="35" ht="22.5" customHeight="1">
      <c r="A35" s="124">
        <v>45803.62017613426</v>
      </c>
      <c r="B35" s="125" t="s">
        <v>880</v>
      </c>
      <c r="C35" s="126">
        <v>3.50544501502168E14</v>
      </c>
    </row>
    <row r="36" ht="22.5" customHeight="1">
      <c r="A36" s="124">
        <v>45803.62127487268</v>
      </c>
      <c r="B36" s="125" t="s">
        <v>880</v>
      </c>
      <c r="C36" s="126">
        <v>3.50424066967165E14</v>
      </c>
    </row>
    <row r="37" ht="22.5" customHeight="1">
      <c r="A37" s="124">
        <v>45803.62451355324</v>
      </c>
      <c r="B37" s="125" t="s">
        <v>880</v>
      </c>
      <c r="C37" s="126">
        <v>3.50544503817254E14</v>
      </c>
    </row>
    <row r="38" ht="22.5" customHeight="1">
      <c r="A38" s="124">
        <v>45803.62585174768</v>
      </c>
      <c r="B38" s="125" t="s">
        <v>880</v>
      </c>
      <c r="C38" s="126">
        <v>3.50424062487485E14</v>
      </c>
    </row>
    <row r="39" ht="22.5" customHeight="1">
      <c r="A39" s="124">
        <v>45803.62638902778</v>
      </c>
      <c r="B39" s="125" t="s">
        <v>880</v>
      </c>
      <c r="C39" s="126">
        <v>3.5201670837264E13</v>
      </c>
    </row>
    <row r="40" ht="22.5" customHeight="1">
      <c r="A40" s="124">
        <v>45803.627092627314</v>
      </c>
      <c r="B40" s="125" t="s">
        <v>880</v>
      </c>
      <c r="C40" s="126">
        <v>3.50424080823307E14</v>
      </c>
    </row>
    <row r="41" ht="22.5" customHeight="1">
      <c r="A41" s="124">
        <v>45803.627923101856</v>
      </c>
      <c r="B41" s="125" t="s">
        <v>880</v>
      </c>
      <c r="C41" s="126">
        <v>3.5054408817403E13</v>
      </c>
    </row>
    <row r="42" ht="22.5" customHeight="1">
      <c r="A42" s="124">
        <v>45803.62940186342</v>
      </c>
      <c r="B42" s="125" t="s">
        <v>355</v>
      </c>
      <c r="C42" s="126">
        <v>3.50612079051395E14</v>
      </c>
    </row>
    <row r="43" ht="22.5" customHeight="1">
      <c r="A43" s="124">
        <v>45803.62979784722</v>
      </c>
      <c r="B43" s="125" t="s">
        <v>355</v>
      </c>
      <c r="C43" s="126" t="s">
        <v>881</v>
      </c>
    </row>
    <row r="44" ht="22.5" customHeight="1">
      <c r="A44" s="124">
        <v>45803.63048872685</v>
      </c>
      <c r="B44" s="125" t="s">
        <v>355</v>
      </c>
      <c r="C44" s="126" t="s">
        <v>882</v>
      </c>
    </row>
    <row r="45" ht="22.5" customHeight="1">
      <c r="A45" s="124">
        <v>45803.6308330787</v>
      </c>
      <c r="B45" s="125" t="s">
        <v>355</v>
      </c>
      <c r="C45" s="126" t="s">
        <v>883</v>
      </c>
    </row>
    <row r="46" ht="22.5" customHeight="1">
      <c r="A46" s="124">
        <v>45803.63128475695</v>
      </c>
      <c r="B46" s="125" t="s">
        <v>355</v>
      </c>
      <c r="C46" s="126">
        <v>3.50317170019982E14</v>
      </c>
    </row>
    <row r="47" ht="22.5" customHeight="1">
      <c r="A47" s="124">
        <v>45803.635026296295</v>
      </c>
      <c r="B47" s="125" t="s">
        <v>311</v>
      </c>
      <c r="C47" s="126">
        <v>3.52016701785024E14</v>
      </c>
    </row>
    <row r="48" ht="22.5" customHeight="1">
      <c r="A48" s="124">
        <v>45803.637135868055</v>
      </c>
      <c r="B48" s="125" t="s">
        <v>350</v>
      </c>
      <c r="C48" s="126">
        <v>3.52016708404181E14</v>
      </c>
    </row>
    <row r="49" ht="22.5" customHeight="1">
      <c r="A49" s="124">
        <v>45803.63809375</v>
      </c>
      <c r="B49" s="125" t="s">
        <v>350</v>
      </c>
      <c r="C49" s="126">
        <v>3.52016701786568E14</v>
      </c>
    </row>
    <row r="50" ht="22.5" customHeight="1">
      <c r="A50" s="124">
        <v>45803.63824774306</v>
      </c>
      <c r="B50" s="125" t="s">
        <v>311</v>
      </c>
      <c r="C50" s="126">
        <v>3.52016701748576E14</v>
      </c>
    </row>
    <row r="51" ht="22.5" customHeight="1">
      <c r="A51" s="124">
        <v>45803.640363287035</v>
      </c>
      <c r="B51" s="125" t="s">
        <v>350</v>
      </c>
      <c r="C51" s="126">
        <v>3.50424062488976E14</v>
      </c>
    </row>
    <row r="52" ht="22.5" customHeight="1">
      <c r="A52" s="124">
        <v>45803.64088122685</v>
      </c>
      <c r="B52" s="125" t="s">
        <v>350</v>
      </c>
      <c r="C52" s="126">
        <v>3.52016701727562E14</v>
      </c>
    </row>
    <row r="53" ht="22.5" customHeight="1">
      <c r="A53" s="124">
        <v>45803.64151746528</v>
      </c>
      <c r="B53" s="125" t="s">
        <v>880</v>
      </c>
      <c r="C53" s="126">
        <v>3.52625695099604E14</v>
      </c>
    </row>
    <row r="54" ht="22.5" customHeight="1">
      <c r="A54" s="124">
        <v>45803.64170758102</v>
      </c>
      <c r="B54" s="125" t="s">
        <v>350</v>
      </c>
      <c r="C54" s="126">
        <v>3.5201670832145E14</v>
      </c>
    </row>
    <row r="55" ht="22.5" customHeight="1">
      <c r="A55" s="124">
        <v>45803.64231957176</v>
      </c>
      <c r="B55" s="125" t="s">
        <v>880</v>
      </c>
      <c r="C55" s="126">
        <v>3.58424060862511E14</v>
      </c>
    </row>
    <row r="56" ht="22.5" customHeight="1">
      <c r="A56" s="124">
        <v>45803.64301929398</v>
      </c>
      <c r="B56" s="125" t="s">
        <v>331</v>
      </c>
      <c r="C56" s="126">
        <v>3.50544503177449E14</v>
      </c>
    </row>
    <row r="57" ht="22.5" customHeight="1">
      <c r="A57" s="124"/>
      <c r="B57" s="125" t="s">
        <v>331</v>
      </c>
      <c r="C57" s="126">
        <v>3.52016708381652E14</v>
      </c>
    </row>
    <row r="58" ht="22.5" customHeight="1">
      <c r="A58" s="124"/>
      <c r="B58" s="125" t="s">
        <v>331</v>
      </c>
      <c r="C58" s="126">
        <v>3.52016708382478E14</v>
      </c>
    </row>
    <row r="59" ht="22.5" customHeight="1">
      <c r="A59" s="124"/>
      <c r="B59" s="125" t="s">
        <v>331</v>
      </c>
      <c r="C59" s="126">
        <v>3.52016708381124E14</v>
      </c>
    </row>
    <row r="60" ht="22.5" customHeight="1">
      <c r="A60" s="124"/>
      <c r="B60" s="125" t="s">
        <v>331</v>
      </c>
      <c r="C60" s="126">
        <v>3.52016708378872E14</v>
      </c>
    </row>
    <row r="61" ht="22.5" customHeight="1">
      <c r="A61" s="124"/>
      <c r="B61" s="125" t="s">
        <v>331</v>
      </c>
      <c r="C61" s="126">
        <v>3.5201670178071E14</v>
      </c>
    </row>
    <row r="62" ht="22.5" customHeight="1">
      <c r="A62" s="124"/>
      <c r="B62" s="125" t="s">
        <v>331</v>
      </c>
      <c r="C62" s="126">
        <v>3.52016708378625E14</v>
      </c>
    </row>
    <row r="63" ht="22.5" customHeight="1">
      <c r="A63" s="124"/>
      <c r="B63" s="125" t="s">
        <v>331</v>
      </c>
      <c r="C63" s="126">
        <v>3.52016708381215E14</v>
      </c>
    </row>
    <row r="64" ht="22.5" customHeight="1">
      <c r="A64" s="124"/>
      <c r="B64" s="125" t="s">
        <v>331</v>
      </c>
      <c r="C64" s="126">
        <v>3.52016708408455E14</v>
      </c>
    </row>
    <row r="65" ht="22.5" customHeight="1">
      <c r="A65" s="124"/>
      <c r="B65" s="125" t="s">
        <v>331</v>
      </c>
      <c r="C65" s="126">
        <v>3.52016708381371E14</v>
      </c>
    </row>
    <row r="66" ht="22.5" customHeight="1">
      <c r="A66" s="124"/>
      <c r="B66" s="125" t="s">
        <v>331</v>
      </c>
      <c r="C66" s="126">
        <v>3.52016701773111E14</v>
      </c>
    </row>
    <row r="67" ht="22.5" customHeight="1">
      <c r="A67" s="124"/>
      <c r="B67" s="125" t="s">
        <v>331</v>
      </c>
      <c r="C67" s="126">
        <v>3.52016708396106E14</v>
      </c>
    </row>
    <row r="68" ht="22.5" customHeight="1">
      <c r="A68" s="124"/>
      <c r="B68" s="125" t="s">
        <v>331</v>
      </c>
      <c r="C68" s="126">
        <v>3.52016708404082E14</v>
      </c>
    </row>
    <row r="69" ht="22.5" customHeight="1">
      <c r="A69" s="124"/>
      <c r="B69" s="125" t="s">
        <v>331</v>
      </c>
      <c r="C69" s="126">
        <v>3.5201670840452E14</v>
      </c>
    </row>
    <row r="70" ht="22.5" customHeight="1">
      <c r="A70" s="124"/>
      <c r="B70" s="125" t="s">
        <v>331</v>
      </c>
      <c r="C70" s="126">
        <v>3.52016708382015E14</v>
      </c>
    </row>
    <row r="71" ht="22.5" customHeight="1">
      <c r="A71" s="124"/>
      <c r="B71" s="125" t="s">
        <v>331</v>
      </c>
      <c r="C71" s="126">
        <v>3.52016708408331E14</v>
      </c>
    </row>
    <row r="72" ht="22.5" customHeight="1">
      <c r="A72" s="124"/>
      <c r="B72" s="125" t="s">
        <v>331</v>
      </c>
      <c r="C72" s="126">
        <v>3.52016708376082E14</v>
      </c>
    </row>
    <row r="73" ht="22.5" customHeight="1">
      <c r="A73" s="124"/>
      <c r="B73" s="125" t="s">
        <v>331</v>
      </c>
      <c r="C73" s="126">
        <v>3.52016708380043E14</v>
      </c>
    </row>
    <row r="74" ht="22.5" customHeight="1">
      <c r="A74" s="124">
        <v>45803.6475637963</v>
      </c>
      <c r="B74" s="125" t="s">
        <v>355</v>
      </c>
      <c r="C74" s="126">
        <v>3.52016708357223E14</v>
      </c>
    </row>
    <row r="75" ht="22.5" customHeight="1">
      <c r="A75" s="124">
        <v>45803.64815521991</v>
      </c>
      <c r="B75" s="125" t="s">
        <v>355</v>
      </c>
      <c r="C75" s="126">
        <v>3.52016708376702E14</v>
      </c>
    </row>
    <row r="76" ht="22.5" customHeight="1">
      <c r="A76" s="124">
        <v>45803.64854195602</v>
      </c>
      <c r="B76" s="125" t="s">
        <v>355</v>
      </c>
      <c r="C76" s="126">
        <v>3.52016708378856E14</v>
      </c>
    </row>
    <row r="77" ht="22.5" customHeight="1">
      <c r="A77" s="124">
        <v>45803.648953599535</v>
      </c>
      <c r="B77" s="125" t="s">
        <v>355</v>
      </c>
      <c r="C77" s="126">
        <v>3.52016701727406E14</v>
      </c>
    </row>
    <row r="78" ht="22.5" customHeight="1">
      <c r="A78" s="124">
        <v>45803.64931537037</v>
      </c>
      <c r="B78" s="125" t="s">
        <v>355</v>
      </c>
      <c r="C78" s="126">
        <v>3.52016708305503E14</v>
      </c>
    </row>
    <row r="79" ht="22.5" customHeight="1">
      <c r="A79" s="124">
        <v>45803.64978125</v>
      </c>
      <c r="B79" s="125" t="s">
        <v>355</v>
      </c>
      <c r="C79" s="126">
        <v>3.5201670837727E14</v>
      </c>
    </row>
    <row r="80" ht="22.5" customHeight="1">
      <c r="A80" s="124">
        <v>45803.65007106481</v>
      </c>
      <c r="B80" s="125" t="s">
        <v>355</v>
      </c>
      <c r="C80" s="126">
        <v>3.52016708407036E14</v>
      </c>
    </row>
    <row r="81" ht="22.5" customHeight="1">
      <c r="A81" s="124">
        <v>45803.6589815162</v>
      </c>
      <c r="B81" s="125" t="s">
        <v>350</v>
      </c>
      <c r="C81" s="126">
        <v>3.5201670832145E14</v>
      </c>
    </row>
    <row r="82" ht="22.5" customHeight="1">
      <c r="A82" s="124">
        <v>45803.660742141205</v>
      </c>
      <c r="B82" s="125" t="s">
        <v>350</v>
      </c>
      <c r="C82" s="126">
        <v>3.50612078651278E14</v>
      </c>
    </row>
    <row r="83" ht="22.5" customHeight="1">
      <c r="A83" s="124">
        <v>45803.661300162035</v>
      </c>
      <c r="B83" s="125" t="s">
        <v>350</v>
      </c>
      <c r="C83" s="126">
        <v>3.5201670837874E14</v>
      </c>
    </row>
    <row r="84" ht="22.5" customHeight="1">
      <c r="A84" s="124">
        <v>45803.661902893524</v>
      </c>
      <c r="B84" s="125" t="s">
        <v>350</v>
      </c>
      <c r="C84" s="126">
        <v>3.52016708380092E14</v>
      </c>
    </row>
    <row r="85" ht="22.5" customHeight="1">
      <c r="A85" s="124">
        <v>45803.66241304398</v>
      </c>
      <c r="B85" s="125" t="s">
        <v>350</v>
      </c>
      <c r="C85" s="126" t="s">
        <v>884</v>
      </c>
    </row>
    <row r="86" ht="22.5" customHeight="1">
      <c r="A86" s="124">
        <v>45803.66412855324</v>
      </c>
      <c r="B86" s="125" t="s">
        <v>350</v>
      </c>
      <c r="C86" s="126">
        <v>3.52016708381538E14</v>
      </c>
    </row>
    <row r="87" ht="22.5" customHeight="1">
      <c r="A87" s="124">
        <v>45803.6646230787</v>
      </c>
      <c r="B87" s="125" t="s">
        <v>350</v>
      </c>
      <c r="C87" s="126">
        <v>3.52016708382544E14</v>
      </c>
    </row>
    <row r="88" ht="22.5" customHeight="1">
      <c r="A88" s="124">
        <v>45803.66716048611</v>
      </c>
      <c r="B88" s="125" t="s">
        <v>350</v>
      </c>
      <c r="C88" s="126">
        <v>3.50544500812972E14</v>
      </c>
    </row>
    <row r="89" ht="22.5" customHeight="1">
      <c r="A89" s="124">
        <v>45803.66763899305</v>
      </c>
      <c r="B89" s="125" t="s">
        <v>350</v>
      </c>
      <c r="C89" s="126">
        <v>3.52016701750689E14</v>
      </c>
    </row>
    <row r="90" ht="22.5" customHeight="1">
      <c r="A90" s="124">
        <v>45803.66839446759</v>
      </c>
      <c r="B90" s="125" t="s">
        <v>311</v>
      </c>
      <c r="C90" s="126">
        <v>3.50544501509031E14</v>
      </c>
    </row>
    <row r="91" ht="22.5" customHeight="1">
      <c r="A91" s="124">
        <v>45803.668878125</v>
      </c>
      <c r="B91" s="125" t="s">
        <v>350</v>
      </c>
      <c r="C91" s="126">
        <v>3.5201670838152E14</v>
      </c>
    </row>
    <row r="92" ht="22.5" customHeight="1">
      <c r="A92" s="124">
        <v>45803.66969729167</v>
      </c>
      <c r="B92" s="125" t="s">
        <v>328</v>
      </c>
      <c r="C92" s="126">
        <v>3.520160816E9</v>
      </c>
    </row>
    <row r="93" ht="22.5" customHeight="1">
      <c r="A93" s="124">
        <v>45803.67048884259</v>
      </c>
      <c r="B93" s="125" t="s">
        <v>350</v>
      </c>
      <c r="C93" s="126">
        <v>3.52016708376017E14</v>
      </c>
    </row>
    <row r="94" ht="22.5" customHeight="1">
      <c r="A94" s="124">
        <v>45803.67087347222</v>
      </c>
      <c r="B94" s="125" t="s">
        <v>328</v>
      </c>
      <c r="C94" s="126">
        <v>3.52016701775835E14</v>
      </c>
    </row>
    <row r="95" ht="22.5" customHeight="1">
      <c r="A95" s="124">
        <v>45803.671141342595</v>
      </c>
      <c r="B95" s="125" t="s">
        <v>350</v>
      </c>
      <c r="C95" s="126">
        <v>3.52016708380431E14</v>
      </c>
    </row>
    <row r="96" ht="22.5" customHeight="1">
      <c r="A96" s="124">
        <v>45803.671677708335</v>
      </c>
      <c r="B96" s="125" t="s">
        <v>350</v>
      </c>
      <c r="C96" s="126">
        <v>3.52016708406509E14</v>
      </c>
    </row>
    <row r="97" ht="22.5" customHeight="1">
      <c r="A97" s="124">
        <v>45803.67215950231</v>
      </c>
      <c r="B97" s="125" t="s">
        <v>350</v>
      </c>
      <c r="C97" s="126">
        <v>3.52016708382619E14</v>
      </c>
    </row>
    <row r="98" ht="22.5" customHeight="1">
      <c r="A98" s="124">
        <v>45803.672192349535</v>
      </c>
      <c r="B98" s="125" t="s">
        <v>328</v>
      </c>
      <c r="C98" s="126">
        <v>3.52016708405196E14</v>
      </c>
    </row>
    <row r="99" ht="22.5" customHeight="1">
      <c r="A99" s="124">
        <v>45803.67259628473</v>
      </c>
      <c r="B99" s="125" t="s">
        <v>350</v>
      </c>
      <c r="C99" s="126">
        <v>3.52016701750598E14</v>
      </c>
    </row>
    <row r="100" ht="22.5" customHeight="1">
      <c r="A100" s="124">
        <v>45803.673080243054</v>
      </c>
      <c r="B100" s="125" t="s">
        <v>328</v>
      </c>
      <c r="C100" s="126">
        <v>3.52016708382007E14</v>
      </c>
    </row>
    <row r="101" ht="22.5" customHeight="1">
      <c r="A101" s="124">
        <v>45803.67321047454</v>
      </c>
      <c r="B101" s="125" t="s">
        <v>350</v>
      </c>
      <c r="C101" s="126">
        <v>3.52016708408067E14</v>
      </c>
    </row>
    <row r="102" ht="22.5" customHeight="1">
      <c r="A102" s="124">
        <v>45803.67369391204</v>
      </c>
      <c r="B102" s="125" t="s">
        <v>328</v>
      </c>
      <c r="C102" s="126">
        <v>3.52016708376009E14</v>
      </c>
    </row>
    <row r="103" ht="22.5" customHeight="1">
      <c r="A103" s="124">
        <v>45803.675150219904</v>
      </c>
      <c r="B103" s="125" t="s">
        <v>328</v>
      </c>
      <c r="C103" s="126">
        <v>3.52016708377148E14</v>
      </c>
    </row>
    <row r="104" ht="22.5" customHeight="1">
      <c r="A104" s="124">
        <v>45803.67584111111</v>
      </c>
      <c r="B104" s="125" t="s">
        <v>328</v>
      </c>
      <c r="C104" s="126">
        <v>3.52016708357165E14</v>
      </c>
    </row>
    <row r="105" ht="22.5" customHeight="1">
      <c r="A105" s="124">
        <v>45803.681393946754</v>
      </c>
      <c r="B105" s="125" t="s">
        <v>311</v>
      </c>
      <c r="C105" s="126">
        <v>1.126900638E9</v>
      </c>
    </row>
    <row r="106" ht="22.5" customHeight="1">
      <c r="A106" s="124">
        <v>45803.68238402778</v>
      </c>
      <c r="B106" s="125" t="s">
        <v>311</v>
      </c>
      <c r="C106" s="126">
        <v>3.52016708321369E14</v>
      </c>
    </row>
    <row r="107" ht="22.5" customHeight="1">
      <c r="A107" s="124">
        <v>45803.685928321764</v>
      </c>
      <c r="B107" s="125" t="s">
        <v>311</v>
      </c>
      <c r="C107" s="126">
        <v>3.52016708409271E14</v>
      </c>
    </row>
    <row r="108" ht="22.5" customHeight="1">
      <c r="A108" s="124">
        <v>45803.68838263889</v>
      </c>
      <c r="B108" s="125" t="s">
        <v>311</v>
      </c>
      <c r="C108" s="126">
        <v>3.52016708380142E14</v>
      </c>
    </row>
    <row r="109" ht="22.5" customHeight="1">
      <c r="A109" s="124">
        <v>45803.68880945602</v>
      </c>
      <c r="B109" s="125" t="s">
        <v>311</v>
      </c>
      <c r="C109" s="126">
        <v>3.52018701780603E14</v>
      </c>
    </row>
    <row r="110" ht="22.5" customHeight="1">
      <c r="A110" s="124">
        <v>45803.6894656713</v>
      </c>
      <c r="B110" s="125" t="s">
        <v>311</v>
      </c>
      <c r="C110" s="126">
        <v>3.50317170045474E14</v>
      </c>
    </row>
    <row r="111" ht="22.5" customHeight="1">
      <c r="A111" s="124">
        <v>45803.69019849537</v>
      </c>
      <c r="B111" s="125" t="s">
        <v>311</v>
      </c>
      <c r="C111" s="126">
        <v>3.52016701780736E14</v>
      </c>
    </row>
    <row r="112" ht="22.5" customHeight="1">
      <c r="A112" s="124">
        <v>45803.69079381945</v>
      </c>
      <c r="B112" s="125" t="s">
        <v>311</v>
      </c>
      <c r="C112" s="126">
        <v>3.52016708321526E14</v>
      </c>
    </row>
    <row r="113" ht="22.5" customHeight="1">
      <c r="A113" s="124">
        <v>45803.691235046295</v>
      </c>
      <c r="B113" s="125" t="s">
        <v>311</v>
      </c>
      <c r="C113" s="126">
        <v>3.52016701735664E14</v>
      </c>
    </row>
    <row r="114" ht="22.5" customHeight="1">
      <c r="A114" s="124">
        <v>45803.705053171296</v>
      </c>
      <c r="B114" s="125" t="s">
        <v>311</v>
      </c>
      <c r="C114" s="126">
        <v>3.52016701780512E14</v>
      </c>
    </row>
    <row r="115" ht="22.5" customHeight="1">
      <c r="A115" s="124">
        <v>45803.72254274305</v>
      </c>
      <c r="B115" s="125" t="s">
        <v>328</v>
      </c>
      <c r="C115" s="126">
        <v>3.52016708357165E14</v>
      </c>
    </row>
    <row r="116" ht="22.5" customHeight="1">
      <c r="A116" s="124">
        <v>45803.72306398148</v>
      </c>
      <c r="B116" s="125" t="s">
        <v>328</v>
      </c>
      <c r="C116" s="126">
        <v>3.52016708404926E14</v>
      </c>
    </row>
    <row r="117" ht="22.5" customHeight="1">
      <c r="A117" s="124">
        <v>45803.72349880787</v>
      </c>
      <c r="B117" s="125" t="s">
        <v>328</v>
      </c>
      <c r="C117" s="126">
        <v>3.52016709361984E14</v>
      </c>
    </row>
    <row r="118" ht="22.5" customHeight="1">
      <c r="A118" s="124">
        <v>45803.7242833912</v>
      </c>
      <c r="B118" s="125" t="s">
        <v>328</v>
      </c>
      <c r="C118" s="126">
        <v>3.52016701750531E14</v>
      </c>
    </row>
    <row r="119" ht="22.5" customHeight="1">
      <c r="A119" s="124">
        <v>45803.72473716435</v>
      </c>
      <c r="B119" s="125" t="s">
        <v>328</v>
      </c>
      <c r="C119" s="126">
        <v>3.52016708382064E14</v>
      </c>
    </row>
    <row r="120" ht="22.5" customHeight="1">
      <c r="A120" s="124">
        <v>45803.725214895836</v>
      </c>
      <c r="B120" s="125" t="s">
        <v>328</v>
      </c>
      <c r="C120" s="126">
        <v>3.52016708381272E14</v>
      </c>
    </row>
    <row r="121" ht="22.5" customHeight="1">
      <c r="A121" s="124">
        <v>45803.72565097222</v>
      </c>
      <c r="B121" s="125" t="s">
        <v>328</v>
      </c>
      <c r="C121" s="126">
        <v>3.52016708381314E14</v>
      </c>
    </row>
    <row r="122" ht="22.5" customHeight="1">
      <c r="A122" s="124">
        <v>45803.72609542824</v>
      </c>
      <c r="B122" s="125" t="s">
        <v>328</v>
      </c>
      <c r="C122" s="126">
        <v>3.5201670838128E14</v>
      </c>
    </row>
    <row r="123" ht="22.5" customHeight="1">
      <c r="A123" s="124">
        <v>45803.72659467593</v>
      </c>
      <c r="B123" s="125" t="s">
        <v>328</v>
      </c>
      <c r="C123" s="126">
        <v>3.52016708404868E14</v>
      </c>
    </row>
    <row r="124" ht="22.5" customHeight="1">
      <c r="A124" s="124">
        <v>45803.727983125005</v>
      </c>
      <c r="B124" s="125" t="s">
        <v>350</v>
      </c>
      <c r="C124" s="126">
        <v>3.50612078174834E14</v>
      </c>
    </row>
    <row r="125" ht="22.5" customHeight="1">
      <c r="A125" s="124">
        <v>45804.55949201389</v>
      </c>
      <c r="B125" s="125" t="s">
        <v>318</v>
      </c>
      <c r="C125" s="126">
        <v>3.50612078659248E14</v>
      </c>
    </row>
    <row r="126" ht="22.5" customHeight="1">
      <c r="A126" s="124">
        <v>45804.560078842595</v>
      </c>
      <c r="B126" s="125" t="s">
        <v>318</v>
      </c>
      <c r="C126" s="126">
        <v>3.50612078648415E14</v>
      </c>
    </row>
    <row r="127" ht="22.5" customHeight="1">
      <c r="A127" s="124">
        <v>45804.56141923611</v>
      </c>
      <c r="B127" s="125" t="s">
        <v>318</v>
      </c>
      <c r="C127" s="126">
        <v>3.5061207866319E14</v>
      </c>
    </row>
    <row r="128" ht="22.5" customHeight="1">
      <c r="A128" s="124">
        <v>45804.56200680556</v>
      </c>
      <c r="B128" s="125" t="s">
        <v>318</v>
      </c>
      <c r="C128" s="126">
        <v>3.50612078659396E14</v>
      </c>
    </row>
    <row r="129" ht="22.5" customHeight="1">
      <c r="A129" s="124">
        <v>45804.56294833333</v>
      </c>
      <c r="B129" s="125" t="s">
        <v>318</v>
      </c>
      <c r="C129" s="126">
        <v>3.50612078634753E14</v>
      </c>
    </row>
    <row r="130" ht="22.5" customHeight="1">
      <c r="A130" s="124">
        <v>45804.56464457176</v>
      </c>
      <c r="B130" s="125" t="s">
        <v>318</v>
      </c>
      <c r="C130" s="126">
        <v>3.52016708402953E14</v>
      </c>
    </row>
    <row r="131" ht="22.5" customHeight="1">
      <c r="A131" s="124">
        <v>45804.56520528936</v>
      </c>
      <c r="B131" s="125" t="s">
        <v>318</v>
      </c>
      <c r="C131" s="126">
        <v>3.52016709362016E14</v>
      </c>
    </row>
    <row r="132" ht="22.5" customHeight="1">
      <c r="A132" s="124">
        <v>45804.566203078706</v>
      </c>
      <c r="B132" s="125" t="s">
        <v>318</v>
      </c>
      <c r="C132" s="126">
        <v>3.52016708376942E14</v>
      </c>
    </row>
    <row r="133" ht="22.5" customHeight="1">
      <c r="A133" s="124">
        <v>45804.5667172338</v>
      </c>
      <c r="B133" s="125" t="s">
        <v>318</v>
      </c>
      <c r="C133" s="126">
        <v>3.520167084993E12</v>
      </c>
    </row>
    <row r="134" ht="22.5" customHeight="1">
      <c r="A134" s="124">
        <v>45804.56746333333</v>
      </c>
      <c r="B134" s="125" t="s">
        <v>318</v>
      </c>
      <c r="C134" s="126">
        <v>3.50612078634449E14</v>
      </c>
    </row>
    <row r="135" ht="22.5" customHeight="1">
      <c r="A135" s="124">
        <v>45804.568602326384</v>
      </c>
      <c r="B135" s="125" t="s">
        <v>318</v>
      </c>
      <c r="C135" s="126">
        <v>3.50612078649355E14</v>
      </c>
    </row>
    <row r="136">
      <c r="C136" s="30"/>
    </row>
    <row r="137">
      <c r="C137" s="30"/>
    </row>
    <row r="138">
      <c r="C138" s="30"/>
    </row>
    <row r="139">
      <c r="C139" s="30"/>
    </row>
    <row r="140">
      <c r="C140" s="30"/>
    </row>
    <row r="141">
      <c r="C141" s="30"/>
    </row>
    <row r="142">
      <c r="C142" s="30"/>
    </row>
    <row r="143">
      <c r="C143" s="30"/>
    </row>
    <row r="144">
      <c r="C144" s="30"/>
    </row>
    <row r="145">
      <c r="C145" s="30"/>
    </row>
    <row r="146">
      <c r="C146" s="30"/>
    </row>
    <row r="147">
      <c r="C147" s="30"/>
    </row>
    <row r="148">
      <c r="C148" s="30"/>
    </row>
    <row r="149">
      <c r="C149" s="30"/>
    </row>
    <row r="150">
      <c r="C150" s="30"/>
    </row>
    <row r="151">
      <c r="C151" s="30"/>
    </row>
    <row r="152">
      <c r="C152" s="30"/>
    </row>
    <row r="153">
      <c r="C153" s="30"/>
    </row>
    <row r="154">
      <c r="C154" s="30"/>
    </row>
    <row r="155">
      <c r="C155" s="30"/>
    </row>
    <row r="156">
      <c r="C156" s="30"/>
    </row>
    <row r="157">
      <c r="C157" s="30"/>
    </row>
    <row r="158">
      <c r="C158" s="30"/>
    </row>
    <row r="159">
      <c r="C159" s="30"/>
    </row>
    <row r="160">
      <c r="C160" s="30"/>
    </row>
    <row r="161">
      <c r="C161" s="30"/>
    </row>
    <row r="162">
      <c r="C162" s="30"/>
    </row>
    <row r="163">
      <c r="C163" s="30"/>
    </row>
    <row r="164">
      <c r="C164" s="30"/>
    </row>
    <row r="165">
      <c r="C165" s="30"/>
    </row>
    <row r="166">
      <c r="C166" s="30"/>
    </row>
    <row r="167">
      <c r="C167" s="30"/>
    </row>
    <row r="168">
      <c r="C168" s="30"/>
    </row>
    <row r="169">
      <c r="C169" s="30"/>
    </row>
    <row r="170">
      <c r="C170" s="30"/>
    </row>
    <row r="171">
      <c r="C171" s="30"/>
    </row>
    <row r="172">
      <c r="C172" s="30"/>
    </row>
    <row r="173">
      <c r="C173" s="30"/>
    </row>
    <row r="174">
      <c r="C174" s="30"/>
    </row>
    <row r="175">
      <c r="C175" s="30"/>
    </row>
    <row r="176">
      <c r="C176" s="30"/>
    </row>
    <row r="177">
      <c r="C177" s="30"/>
    </row>
    <row r="178">
      <c r="C178" s="30"/>
    </row>
    <row r="179">
      <c r="C179" s="30"/>
    </row>
    <row r="180">
      <c r="C180" s="30"/>
    </row>
    <row r="181">
      <c r="C181" s="30"/>
    </row>
    <row r="182">
      <c r="C182" s="30"/>
    </row>
    <row r="183">
      <c r="C183" s="30"/>
    </row>
    <row r="184">
      <c r="C184" s="30"/>
    </row>
    <row r="185">
      <c r="C185" s="30"/>
    </row>
    <row r="186">
      <c r="C186" s="30"/>
    </row>
    <row r="187">
      <c r="C187" s="30"/>
    </row>
    <row r="188">
      <c r="C188" s="30"/>
    </row>
    <row r="189">
      <c r="C189" s="30"/>
    </row>
    <row r="190">
      <c r="C190" s="30"/>
    </row>
    <row r="191">
      <c r="C191" s="30"/>
    </row>
    <row r="192">
      <c r="C192" s="30"/>
    </row>
    <row r="193">
      <c r="C193" s="30"/>
    </row>
    <row r="194">
      <c r="C194" s="30"/>
    </row>
    <row r="195">
      <c r="C195" s="30"/>
    </row>
    <row r="196">
      <c r="C196" s="30"/>
    </row>
    <row r="197">
      <c r="C197" s="30"/>
    </row>
    <row r="198">
      <c r="C198" s="30"/>
    </row>
    <row r="199">
      <c r="C199" s="30"/>
    </row>
    <row r="200">
      <c r="C200" s="30"/>
    </row>
    <row r="201">
      <c r="C201" s="30"/>
    </row>
    <row r="202">
      <c r="C202" s="30"/>
    </row>
    <row r="203">
      <c r="C203" s="30"/>
    </row>
    <row r="204">
      <c r="C204" s="30"/>
    </row>
    <row r="205">
      <c r="C205" s="30"/>
    </row>
    <row r="206">
      <c r="C206" s="30"/>
    </row>
    <row r="207">
      <c r="C207" s="30"/>
    </row>
    <row r="208">
      <c r="C208" s="30"/>
    </row>
    <row r="209">
      <c r="C209" s="30"/>
    </row>
    <row r="210">
      <c r="C210" s="30"/>
    </row>
    <row r="211">
      <c r="C211" s="30"/>
    </row>
    <row r="212">
      <c r="C212" s="30"/>
    </row>
    <row r="213">
      <c r="C213" s="30"/>
    </row>
    <row r="214">
      <c r="C214" s="30"/>
    </row>
    <row r="215">
      <c r="C215" s="30"/>
    </row>
    <row r="216">
      <c r="C216" s="30"/>
    </row>
    <row r="217">
      <c r="C217" s="30"/>
    </row>
    <row r="218">
      <c r="C218" s="30"/>
    </row>
    <row r="219">
      <c r="C219" s="30"/>
    </row>
    <row r="220">
      <c r="C220" s="30"/>
    </row>
    <row r="221">
      <c r="C221" s="30"/>
    </row>
    <row r="222">
      <c r="C222" s="30"/>
    </row>
    <row r="223">
      <c r="C223" s="30"/>
    </row>
    <row r="224">
      <c r="C224" s="30"/>
    </row>
    <row r="225">
      <c r="C225" s="30"/>
    </row>
    <row r="226">
      <c r="C226" s="30"/>
    </row>
    <row r="227">
      <c r="C227" s="30"/>
    </row>
    <row r="228">
      <c r="C228" s="30"/>
    </row>
    <row r="229">
      <c r="C229" s="30"/>
    </row>
    <row r="230">
      <c r="C230" s="30"/>
    </row>
    <row r="231">
      <c r="C231" s="30"/>
    </row>
    <row r="232">
      <c r="C232" s="30"/>
    </row>
    <row r="233">
      <c r="C233" s="30"/>
    </row>
    <row r="234">
      <c r="C234" s="30"/>
    </row>
    <row r="235">
      <c r="C235" s="30"/>
    </row>
  </sheetData>
  <drawing r:id="rId4"/>
  <legacyDrawing r:id="rId5"/>
  <tableParts count="1">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75"/>
  </cols>
  <sheetData>
    <row r="1">
      <c r="A1" s="20" t="s">
        <v>885</v>
      </c>
      <c r="B1" s="20" t="s">
        <v>886</v>
      </c>
    </row>
    <row r="2">
      <c r="A2" s="13" t="s">
        <v>248</v>
      </c>
      <c r="B2" s="13" t="s">
        <v>249</v>
      </c>
    </row>
    <row r="3">
      <c r="A3" s="13" t="s">
        <v>72</v>
      </c>
      <c r="B3" s="13" t="s">
        <v>887</v>
      </c>
    </row>
    <row r="4">
      <c r="A4" s="13" t="s">
        <v>382</v>
      </c>
      <c r="B4" s="13" t="s">
        <v>843</v>
      </c>
    </row>
    <row r="5">
      <c r="A5" s="13" t="s">
        <v>888</v>
      </c>
      <c r="B5" s="13" t="s">
        <v>889</v>
      </c>
    </row>
    <row r="6">
      <c r="A6" s="13" t="s">
        <v>836</v>
      </c>
      <c r="B6" s="13" t="s">
        <v>890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25"/>
  </cols>
  <sheetData>
    <row r="1">
      <c r="A1" s="132" t="s">
        <v>891</v>
      </c>
      <c r="B1" s="133" t="s">
        <v>892</v>
      </c>
      <c r="C1" s="133" t="s">
        <v>893</v>
      </c>
      <c r="D1" s="133" t="s">
        <v>894</v>
      </c>
      <c r="E1" s="133" t="s">
        <v>895</v>
      </c>
      <c r="F1" s="133" t="s">
        <v>896</v>
      </c>
    </row>
    <row r="2">
      <c r="A2" s="134" t="s">
        <v>249</v>
      </c>
      <c r="B2" s="135">
        <v>1.0</v>
      </c>
      <c r="C2" s="134" t="s">
        <v>318</v>
      </c>
      <c r="D2" s="136">
        <v>6746256.0</v>
      </c>
      <c r="E2" s="136">
        <v>6748601.0</v>
      </c>
      <c r="F2" s="136">
        <v>4169380.0</v>
      </c>
    </row>
    <row r="3">
      <c r="A3" s="134" t="s">
        <v>249</v>
      </c>
      <c r="B3" s="135">
        <v>2.0</v>
      </c>
      <c r="C3" s="134" t="s">
        <v>897</v>
      </c>
      <c r="D3" s="136">
        <v>6746256.0</v>
      </c>
      <c r="E3" s="136">
        <v>6748602.0</v>
      </c>
      <c r="F3" s="136">
        <v>4169382.0</v>
      </c>
    </row>
    <row r="4">
      <c r="A4" s="134" t="s">
        <v>249</v>
      </c>
      <c r="B4" s="135">
        <v>3.0</v>
      </c>
      <c r="C4" s="134" t="s">
        <v>898</v>
      </c>
      <c r="D4" s="136">
        <v>6746256.0</v>
      </c>
      <c r="E4" s="136">
        <v>6748603.0</v>
      </c>
      <c r="F4" s="136">
        <v>4169384.0</v>
      </c>
    </row>
    <row r="5">
      <c r="A5" s="134" t="s">
        <v>249</v>
      </c>
      <c r="B5" s="135">
        <v>4.0</v>
      </c>
      <c r="C5" s="134" t="s">
        <v>899</v>
      </c>
      <c r="D5" s="136">
        <v>6746256.0</v>
      </c>
      <c r="E5" s="136">
        <v>6748604.0</v>
      </c>
      <c r="F5" s="136">
        <v>4169386.0</v>
      </c>
      <c r="H5" s="134"/>
    </row>
    <row r="6">
      <c r="A6" s="134" t="s">
        <v>249</v>
      </c>
      <c r="B6" s="135">
        <v>5.0</v>
      </c>
      <c r="C6" s="134" t="s">
        <v>900</v>
      </c>
      <c r="D6" s="136">
        <v>6746256.0</v>
      </c>
      <c r="E6" s="136">
        <v>6748605.0</v>
      </c>
      <c r="F6" s="136">
        <v>4169388.0</v>
      </c>
      <c r="H6" s="134"/>
    </row>
    <row r="7">
      <c r="A7" s="134" t="s">
        <v>249</v>
      </c>
      <c r="B7" s="135">
        <v>6.0</v>
      </c>
      <c r="C7" s="134" t="s">
        <v>880</v>
      </c>
      <c r="D7" s="136">
        <v>6746256.0</v>
      </c>
      <c r="E7" s="136">
        <v>6748606.0</v>
      </c>
      <c r="F7" s="136">
        <v>4169390.0</v>
      </c>
      <c r="H7" s="134"/>
    </row>
    <row r="8">
      <c r="A8" s="134" t="s">
        <v>249</v>
      </c>
      <c r="B8" s="135">
        <v>7.0</v>
      </c>
      <c r="C8" s="134" t="s">
        <v>328</v>
      </c>
      <c r="D8" s="136">
        <v>6746256.0</v>
      </c>
      <c r="E8" s="136">
        <v>6748607.0</v>
      </c>
      <c r="F8" s="136">
        <v>4169392.0</v>
      </c>
      <c r="H8" s="134"/>
    </row>
    <row r="9">
      <c r="A9" s="134" t="s">
        <v>249</v>
      </c>
      <c r="B9" s="135">
        <v>8.0</v>
      </c>
      <c r="C9" s="134" t="s">
        <v>262</v>
      </c>
      <c r="D9" s="136">
        <v>6746256.0</v>
      </c>
      <c r="E9" s="136">
        <v>6748608.0</v>
      </c>
      <c r="F9" s="136">
        <v>4169394.0</v>
      </c>
      <c r="H9" s="134"/>
    </row>
    <row r="10">
      <c r="A10" s="134" t="s">
        <v>249</v>
      </c>
      <c r="B10" s="135">
        <v>9.0</v>
      </c>
      <c r="C10" s="134" t="s">
        <v>303</v>
      </c>
      <c r="D10" s="136">
        <v>6746256.0</v>
      </c>
      <c r="E10" s="136">
        <v>6748609.0</v>
      </c>
      <c r="F10" s="136">
        <v>4169396.0</v>
      </c>
      <c r="H10" s="134"/>
    </row>
    <row r="11">
      <c r="A11" s="134" t="s">
        <v>249</v>
      </c>
      <c r="B11" s="135">
        <v>10.0</v>
      </c>
      <c r="C11" s="134" t="s">
        <v>350</v>
      </c>
      <c r="D11" s="136">
        <v>6746256.0</v>
      </c>
      <c r="E11" s="136">
        <v>6748610.0</v>
      </c>
      <c r="F11" s="136">
        <v>4169398.0</v>
      </c>
    </row>
    <row r="12">
      <c r="A12" s="134" t="s">
        <v>249</v>
      </c>
      <c r="B12" s="135">
        <v>11.0</v>
      </c>
      <c r="C12" s="134" t="s">
        <v>331</v>
      </c>
      <c r="D12" s="136">
        <v>6746256.0</v>
      </c>
      <c r="E12" s="136">
        <v>6748611.0</v>
      </c>
      <c r="F12" s="136">
        <v>4169400.0</v>
      </c>
    </row>
    <row r="13">
      <c r="A13" s="134" t="s">
        <v>249</v>
      </c>
      <c r="B13" s="135">
        <v>12.0</v>
      </c>
      <c r="C13" s="134" t="s">
        <v>901</v>
      </c>
      <c r="D13" s="136">
        <v>6746256.0</v>
      </c>
      <c r="E13" s="136">
        <v>6748612.0</v>
      </c>
      <c r="F13" s="136">
        <v>4169402.0</v>
      </c>
    </row>
    <row r="14">
      <c r="A14" s="134" t="s">
        <v>249</v>
      </c>
      <c r="B14" s="135">
        <v>13.0</v>
      </c>
      <c r="C14" s="137" t="s">
        <v>354</v>
      </c>
      <c r="D14" s="136">
        <v>6746256.0</v>
      </c>
      <c r="E14" s="136">
        <v>6748613.0</v>
      </c>
      <c r="F14" s="136">
        <v>4169404.0</v>
      </c>
    </row>
    <row r="15">
      <c r="A15" s="134" t="s">
        <v>249</v>
      </c>
      <c r="B15" s="135">
        <v>14.0</v>
      </c>
      <c r="C15" s="137" t="s">
        <v>902</v>
      </c>
      <c r="D15" s="136">
        <v>6746256.0</v>
      </c>
      <c r="E15" s="136">
        <v>6748614.0</v>
      </c>
      <c r="F15" s="136">
        <v>4169406.0</v>
      </c>
    </row>
    <row r="16">
      <c r="A16" s="134" t="s">
        <v>249</v>
      </c>
      <c r="B16" s="135">
        <v>15.0</v>
      </c>
      <c r="C16" s="137" t="s">
        <v>903</v>
      </c>
      <c r="D16" s="136">
        <v>6746256.0</v>
      </c>
      <c r="E16" s="136">
        <v>6748615.0</v>
      </c>
      <c r="F16" s="136">
        <v>4169408.0</v>
      </c>
    </row>
    <row r="17">
      <c r="A17" s="134" t="s">
        <v>249</v>
      </c>
      <c r="B17" s="135">
        <v>16.0</v>
      </c>
      <c r="C17" s="138"/>
      <c r="D17" s="136">
        <v>6746256.0</v>
      </c>
      <c r="E17" s="136">
        <v>6748616.0</v>
      </c>
      <c r="F17" s="136">
        <v>4169410.0</v>
      </c>
    </row>
    <row r="18">
      <c r="A18" s="134" t="s">
        <v>249</v>
      </c>
      <c r="B18" s="135">
        <v>17.0</v>
      </c>
      <c r="C18" s="138"/>
      <c r="D18" s="136">
        <v>6746256.0</v>
      </c>
      <c r="E18" s="136">
        <v>6748617.0</v>
      </c>
      <c r="F18" s="136">
        <v>4169412.0</v>
      </c>
    </row>
    <row r="19">
      <c r="A19" s="134" t="s">
        <v>249</v>
      </c>
      <c r="B19" s="135">
        <v>18.0</v>
      </c>
      <c r="C19" s="138"/>
      <c r="D19" s="136">
        <v>6746256.0</v>
      </c>
      <c r="E19" s="136">
        <v>6748618.0</v>
      </c>
      <c r="F19" s="136">
        <v>4169414.0</v>
      </c>
    </row>
    <row r="20">
      <c r="A20" s="134" t="s">
        <v>249</v>
      </c>
      <c r="B20" s="135">
        <v>19.0</v>
      </c>
      <c r="C20" s="138"/>
      <c r="D20" s="136">
        <v>6746256.0</v>
      </c>
      <c r="E20" s="136">
        <v>6748619.0</v>
      </c>
      <c r="F20" s="136">
        <v>4169416.0</v>
      </c>
    </row>
    <row r="21">
      <c r="A21" s="134" t="s">
        <v>249</v>
      </c>
      <c r="B21" s="135">
        <v>20.0</v>
      </c>
      <c r="C21" s="138"/>
      <c r="D21" s="136">
        <v>6746256.0</v>
      </c>
      <c r="E21" s="136">
        <v>6748620.0</v>
      </c>
      <c r="F21" s="136">
        <v>4169418.0</v>
      </c>
    </row>
    <row r="22">
      <c r="A22" s="134" t="s">
        <v>249</v>
      </c>
      <c r="B22" s="135">
        <v>21.0</v>
      </c>
      <c r="C22" s="138"/>
      <c r="D22" s="136">
        <v>6746256.0</v>
      </c>
      <c r="E22" s="136">
        <v>6748621.0</v>
      </c>
      <c r="F22" s="136">
        <v>4169420.0</v>
      </c>
    </row>
    <row r="23">
      <c r="A23" s="134" t="s">
        <v>249</v>
      </c>
      <c r="B23" s="135">
        <v>22.0</v>
      </c>
      <c r="C23" s="138"/>
      <c r="D23" s="136">
        <v>6746256.0</v>
      </c>
      <c r="E23" s="136">
        <v>6748622.0</v>
      </c>
      <c r="F23" s="136">
        <v>4169422.0</v>
      </c>
    </row>
    <row r="24">
      <c r="A24" s="134" t="s">
        <v>249</v>
      </c>
      <c r="B24" s="135">
        <v>23.0</v>
      </c>
      <c r="C24" s="138"/>
      <c r="D24" s="136">
        <v>6746256.0</v>
      </c>
      <c r="E24" s="136">
        <v>6748623.0</v>
      </c>
      <c r="F24" s="136">
        <v>4169424.0</v>
      </c>
    </row>
    <row r="25">
      <c r="A25" s="134" t="s">
        <v>249</v>
      </c>
      <c r="B25" s="135">
        <v>24.0</v>
      </c>
      <c r="C25" s="138"/>
      <c r="D25" s="136">
        <v>6746256.0</v>
      </c>
      <c r="E25" s="136">
        <v>6748624.0</v>
      </c>
      <c r="F25" s="136">
        <v>4169426.0</v>
      </c>
    </row>
    <row r="26">
      <c r="A26" s="134" t="s">
        <v>249</v>
      </c>
      <c r="B26" s="135">
        <v>25.0</v>
      </c>
      <c r="C26" s="138"/>
      <c r="D26" s="136">
        <v>6746256.0</v>
      </c>
      <c r="E26" s="136">
        <v>6748625.0</v>
      </c>
      <c r="F26" s="136">
        <v>4169428.0</v>
      </c>
    </row>
    <row r="27">
      <c r="A27" s="134" t="s">
        <v>249</v>
      </c>
      <c r="B27" s="135">
        <v>26.0</v>
      </c>
      <c r="C27" s="138"/>
      <c r="D27" s="136">
        <v>6746256.0</v>
      </c>
      <c r="E27" s="136">
        <v>6748626.0</v>
      </c>
      <c r="F27" s="136">
        <v>4169430.0</v>
      </c>
    </row>
    <row r="28">
      <c r="A28" s="134" t="s">
        <v>249</v>
      </c>
      <c r="B28" s="135">
        <v>27.0</v>
      </c>
      <c r="C28" s="138"/>
      <c r="D28" s="136">
        <v>6746256.0</v>
      </c>
      <c r="E28" s="136">
        <v>6748627.0</v>
      </c>
      <c r="F28" s="136">
        <v>4169432.0</v>
      </c>
    </row>
    <row r="29">
      <c r="A29" s="134" t="s">
        <v>249</v>
      </c>
      <c r="B29" s="135">
        <v>28.0</v>
      </c>
      <c r="C29" s="138"/>
      <c r="D29" s="136">
        <v>6746256.0</v>
      </c>
      <c r="E29" s="136">
        <v>6748628.0</v>
      </c>
      <c r="F29" s="136">
        <v>4169434.0</v>
      </c>
    </row>
    <row r="30">
      <c r="A30" s="134" t="s">
        <v>249</v>
      </c>
      <c r="B30" s="135">
        <v>29.0</v>
      </c>
      <c r="C30" s="138"/>
      <c r="D30" s="136">
        <v>6746256.0</v>
      </c>
      <c r="E30" s="136">
        <v>6748629.0</v>
      </c>
      <c r="F30" s="136">
        <v>4169436.0</v>
      </c>
    </row>
    <row r="31">
      <c r="A31" s="134" t="s">
        <v>249</v>
      </c>
      <c r="B31" s="135">
        <v>30.0</v>
      </c>
      <c r="C31" s="138"/>
      <c r="D31" s="136">
        <v>6746256.0</v>
      </c>
      <c r="E31" s="136">
        <v>6748630.0</v>
      </c>
      <c r="F31" s="136">
        <v>4169438.0</v>
      </c>
    </row>
    <row r="32">
      <c r="B32" s="30"/>
    </row>
    <row r="33">
      <c r="B33" s="30"/>
    </row>
    <row r="34">
      <c r="B34" s="30"/>
    </row>
    <row r="35">
      <c r="B35" s="30"/>
    </row>
    <row r="36">
      <c r="B36" s="30"/>
    </row>
    <row r="37">
      <c r="B37" s="30"/>
    </row>
    <row r="38">
      <c r="B38" s="30"/>
    </row>
    <row r="39">
      <c r="B39" s="30"/>
    </row>
    <row r="40">
      <c r="B40" s="30"/>
    </row>
    <row r="41">
      <c r="B41" s="30"/>
    </row>
    <row r="42">
      <c r="B42" s="30"/>
    </row>
    <row r="43">
      <c r="B43" s="30"/>
    </row>
    <row r="44">
      <c r="B44" s="30"/>
    </row>
    <row r="45">
      <c r="B45" s="30"/>
    </row>
    <row r="46">
      <c r="B46" s="30"/>
    </row>
    <row r="47">
      <c r="B47" s="30"/>
    </row>
    <row r="48">
      <c r="B48" s="30"/>
    </row>
    <row r="49">
      <c r="B49" s="30"/>
    </row>
    <row r="50">
      <c r="B50" s="30"/>
    </row>
    <row r="51">
      <c r="B51" s="30"/>
    </row>
    <row r="52">
      <c r="B52" s="30"/>
    </row>
    <row r="53">
      <c r="B53" s="30"/>
    </row>
    <row r="54">
      <c r="B54" s="30"/>
    </row>
    <row r="55">
      <c r="B55" s="30"/>
    </row>
    <row r="56">
      <c r="B56" s="30"/>
    </row>
    <row r="57">
      <c r="B57" s="30"/>
    </row>
    <row r="58">
      <c r="B58" s="30"/>
    </row>
    <row r="59">
      <c r="B59" s="30"/>
    </row>
    <row r="60">
      <c r="B60" s="30"/>
    </row>
    <row r="61">
      <c r="B61" s="30"/>
    </row>
    <row r="62">
      <c r="B62" s="30"/>
    </row>
    <row r="63">
      <c r="B63" s="30"/>
    </row>
    <row r="64">
      <c r="B64" s="30"/>
    </row>
    <row r="65">
      <c r="B65" s="30"/>
    </row>
    <row r="66">
      <c r="B66" s="30"/>
    </row>
    <row r="67">
      <c r="B67" s="30"/>
    </row>
    <row r="68">
      <c r="B68" s="30"/>
    </row>
    <row r="69">
      <c r="B69" s="30"/>
    </row>
    <row r="70">
      <c r="B70" s="30"/>
    </row>
    <row r="71">
      <c r="B71" s="30"/>
    </row>
    <row r="72">
      <c r="B72" s="30"/>
    </row>
    <row r="73">
      <c r="B73" s="30"/>
    </row>
    <row r="74">
      <c r="B74" s="30"/>
    </row>
    <row r="75">
      <c r="B75" s="30"/>
    </row>
    <row r="76">
      <c r="B76" s="30"/>
    </row>
    <row r="77">
      <c r="B77" s="30"/>
    </row>
    <row r="78">
      <c r="B78" s="30"/>
    </row>
    <row r="79">
      <c r="B79" s="30"/>
    </row>
    <row r="80">
      <c r="B80" s="30"/>
    </row>
    <row r="81">
      <c r="B81" s="30"/>
    </row>
    <row r="82">
      <c r="B82" s="30"/>
    </row>
    <row r="83">
      <c r="B83" s="30"/>
    </row>
    <row r="84">
      <c r="B84" s="30"/>
    </row>
    <row r="85">
      <c r="B85" s="30"/>
    </row>
    <row r="86">
      <c r="B86" s="30"/>
    </row>
    <row r="87">
      <c r="B87" s="30"/>
    </row>
    <row r="88">
      <c r="B88" s="30"/>
    </row>
    <row r="89">
      <c r="B89" s="30"/>
    </row>
    <row r="90">
      <c r="B90" s="30"/>
    </row>
    <row r="91">
      <c r="B91" s="30"/>
    </row>
    <row r="92">
      <c r="B92" s="30"/>
    </row>
    <row r="93">
      <c r="B93" s="30"/>
    </row>
    <row r="94">
      <c r="B94" s="30"/>
    </row>
    <row r="95">
      <c r="B95" s="30"/>
    </row>
    <row r="96">
      <c r="B96" s="30"/>
    </row>
    <row r="97">
      <c r="B97" s="30"/>
    </row>
    <row r="98">
      <c r="B98" s="30"/>
    </row>
    <row r="99">
      <c r="B99" s="30"/>
    </row>
    <row r="100">
      <c r="B100" s="30"/>
    </row>
    <row r="101">
      <c r="B101" s="30"/>
    </row>
    <row r="102">
      <c r="B102" s="30"/>
    </row>
    <row r="103">
      <c r="B103" s="30"/>
    </row>
    <row r="104">
      <c r="B104" s="30"/>
    </row>
    <row r="105">
      <c r="B105" s="30"/>
    </row>
    <row r="106">
      <c r="B106" s="30"/>
    </row>
    <row r="107">
      <c r="B107" s="30"/>
    </row>
    <row r="108">
      <c r="B108" s="30"/>
    </row>
    <row r="109">
      <c r="B109" s="30"/>
    </row>
    <row r="110">
      <c r="B110" s="30"/>
    </row>
    <row r="111">
      <c r="B111" s="30"/>
    </row>
    <row r="112">
      <c r="B112" s="30"/>
    </row>
    <row r="113">
      <c r="B113" s="30"/>
    </row>
    <row r="114">
      <c r="B114" s="30"/>
    </row>
    <row r="115">
      <c r="B115" s="30"/>
    </row>
    <row r="116">
      <c r="B116" s="30"/>
    </row>
    <row r="117">
      <c r="B117" s="30"/>
    </row>
    <row r="118">
      <c r="B118" s="30"/>
    </row>
    <row r="119">
      <c r="B119" s="30"/>
    </row>
    <row r="120">
      <c r="B120" s="30"/>
    </row>
    <row r="121">
      <c r="B121" s="30"/>
    </row>
    <row r="122">
      <c r="B122" s="30"/>
    </row>
    <row r="123">
      <c r="B123" s="30"/>
    </row>
    <row r="124">
      <c r="B124" s="30"/>
    </row>
    <row r="125">
      <c r="B125" s="30"/>
    </row>
    <row r="126">
      <c r="B126" s="30"/>
    </row>
    <row r="127">
      <c r="B127" s="30"/>
    </row>
    <row r="128">
      <c r="B128" s="30"/>
    </row>
    <row r="129">
      <c r="B129" s="30"/>
    </row>
    <row r="130">
      <c r="B130" s="30"/>
    </row>
    <row r="131">
      <c r="B131" s="30"/>
    </row>
    <row r="132">
      <c r="B132" s="30"/>
    </row>
    <row r="133">
      <c r="B133" s="30"/>
    </row>
    <row r="134">
      <c r="B134" s="30"/>
    </row>
    <row r="135">
      <c r="B135" s="30"/>
    </row>
    <row r="136">
      <c r="B136" s="30"/>
    </row>
    <row r="137">
      <c r="B137" s="30"/>
    </row>
    <row r="138">
      <c r="B138" s="30"/>
    </row>
    <row r="139">
      <c r="B139" s="30"/>
    </row>
    <row r="140">
      <c r="B140" s="30"/>
    </row>
    <row r="141">
      <c r="B141" s="30"/>
    </row>
    <row r="142">
      <c r="B142" s="30"/>
    </row>
    <row r="143">
      <c r="B143" s="30"/>
    </row>
    <row r="144">
      <c r="B144" s="30"/>
    </row>
    <row r="145">
      <c r="B145" s="30"/>
    </row>
    <row r="146">
      <c r="B146" s="30"/>
    </row>
    <row r="147">
      <c r="B147" s="30"/>
    </row>
    <row r="148">
      <c r="B148" s="30"/>
    </row>
    <row r="149">
      <c r="B149" s="30"/>
    </row>
    <row r="150">
      <c r="B150" s="30"/>
    </row>
    <row r="151">
      <c r="B151" s="30"/>
    </row>
    <row r="152">
      <c r="B152" s="30"/>
    </row>
    <row r="153">
      <c r="B153" s="30"/>
    </row>
    <row r="154">
      <c r="B154" s="30"/>
    </row>
    <row r="155">
      <c r="B155" s="30"/>
    </row>
    <row r="156">
      <c r="B156" s="30"/>
    </row>
    <row r="157">
      <c r="B157" s="30"/>
    </row>
    <row r="158">
      <c r="B158" s="30"/>
    </row>
    <row r="159">
      <c r="B159" s="30"/>
    </row>
    <row r="160">
      <c r="B160" s="30"/>
    </row>
    <row r="161">
      <c r="B161" s="30"/>
    </row>
    <row r="162">
      <c r="B162" s="30"/>
    </row>
    <row r="163">
      <c r="B163" s="30"/>
    </row>
    <row r="164">
      <c r="B164" s="30"/>
    </row>
    <row r="165">
      <c r="B165" s="30"/>
    </row>
    <row r="166">
      <c r="B166" s="30"/>
    </row>
    <row r="167">
      <c r="B167" s="30"/>
    </row>
    <row r="168">
      <c r="B168" s="30"/>
    </row>
    <row r="169">
      <c r="B169" s="30"/>
    </row>
    <row r="170">
      <c r="B170" s="30"/>
    </row>
    <row r="171">
      <c r="B171" s="30"/>
    </row>
    <row r="172">
      <c r="B172" s="30"/>
    </row>
    <row r="173">
      <c r="B173" s="30"/>
    </row>
    <row r="174">
      <c r="B174" s="30"/>
    </row>
    <row r="175">
      <c r="B175" s="30"/>
    </row>
    <row r="176">
      <c r="B176" s="30"/>
    </row>
    <row r="177">
      <c r="B177" s="30"/>
    </row>
    <row r="178">
      <c r="B178" s="30"/>
    </row>
    <row r="179">
      <c r="B179" s="30"/>
    </row>
    <row r="180">
      <c r="B180" s="30"/>
    </row>
    <row r="181">
      <c r="B181" s="30"/>
    </row>
    <row r="182">
      <c r="B182" s="30"/>
    </row>
    <row r="183">
      <c r="B183" s="30"/>
    </row>
    <row r="184">
      <c r="B184" s="30"/>
    </row>
    <row r="185">
      <c r="B185" s="30"/>
    </row>
    <row r="186">
      <c r="B186" s="30"/>
    </row>
    <row r="187">
      <c r="B187" s="30"/>
    </row>
    <row r="188">
      <c r="B188" s="30"/>
    </row>
    <row r="189">
      <c r="B189" s="30"/>
    </row>
    <row r="190">
      <c r="B190" s="30"/>
    </row>
    <row r="191">
      <c r="B191" s="30"/>
    </row>
    <row r="192">
      <c r="B192" s="30"/>
    </row>
    <row r="193">
      <c r="B193" s="30"/>
    </row>
    <row r="194">
      <c r="B194" s="30"/>
    </row>
    <row r="195">
      <c r="B195" s="30"/>
    </row>
    <row r="196">
      <c r="B196" s="30"/>
    </row>
    <row r="197">
      <c r="B197" s="30"/>
    </row>
    <row r="198">
      <c r="B198" s="30"/>
    </row>
    <row r="199">
      <c r="B199" s="30"/>
    </row>
    <row r="200">
      <c r="B200" s="30"/>
    </row>
    <row r="201">
      <c r="B201" s="30"/>
    </row>
    <row r="202">
      <c r="B202" s="30"/>
    </row>
    <row r="203">
      <c r="B203" s="30"/>
    </row>
    <row r="204">
      <c r="B204" s="30"/>
    </row>
    <row r="205">
      <c r="B205" s="30"/>
    </row>
    <row r="206">
      <c r="B206" s="30"/>
    </row>
    <row r="207">
      <c r="B207" s="30"/>
    </row>
    <row r="208">
      <c r="B208" s="30"/>
    </row>
    <row r="209">
      <c r="B209" s="30"/>
    </row>
    <row r="210">
      <c r="B210" s="30"/>
    </row>
    <row r="211">
      <c r="B211" s="30"/>
    </row>
    <row r="212">
      <c r="B212" s="30"/>
    </row>
    <row r="213">
      <c r="B213" s="30"/>
    </row>
    <row r="214">
      <c r="B214" s="30"/>
    </row>
    <row r="215">
      <c r="B215" s="30"/>
    </row>
    <row r="216">
      <c r="B216" s="30"/>
    </row>
    <row r="217">
      <c r="B217" s="30"/>
    </row>
    <row r="218">
      <c r="B218" s="30"/>
    </row>
    <row r="219">
      <c r="B219" s="30"/>
    </row>
    <row r="220">
      <c r="B220" s="30"/>
    </row>
    <row r="221">
      <c r="B221" s="30"/>
    </row>
    <row r="222">
      <c r="B222" s="30"/>
    </row>
    <row r="223">
      <c r="B223" s="30"/>
    </row>
    <row r="224">
      <c r="B224" s="30"/>
    </row>
    <row r="225">
      <c r="B225" s="30"/>
    </row>
    <row r="226">
      <c r="B226" s="30"/>
    </row>
    <row r="227">
      <c r="B227" s="30"/>
    </row>
    <row r="228">
      <c r="B228" s="30"/>
    </row>
    <row r="229">
      <c r="B229" s="30"/>
    </row>
    <row r="230">
      <c r="B230" s="30"/>
    </row>
    <row r="231">
      <c r="B231" s="30"/>
    </row>
    <row r="232">
      <c r="B232" s="30"/>
    </row>
    <row r="233">
      <c r="B233" s="30"/>
    </row>
    <row r="234">
      <c r="B234" s="30"/>
    </row>
    <row r="235">
      <c r="B235" s="30"/>
    </row>
    <row r="236">
      <c r="B236" s="30"/>
    </row>
    <row r="237">
      <c r="B237" s="30"/>
    </row>
    <row r="238">
      <c r="B238" s="30"/>
    </row>
    <row r="239">
      <c r="B239" s="30"/>
    </row>
    <row r="240">
      <c r="B240" s="30"/>
    </row>
    <row r="241">
      <c r="B241" s="30"/>
    </row>
    <row r="242">
      <c r="B242" s="30"/>
    </row>
    <row r="243">
      <c r="B243" s="30"/>
    </row>
    <row r="244">
      <c r="B244" s="30"/>
    </row>
    <row r="245">
      <c r="B245" s="30"/>
    </row>
    <row r="246">
      <c r="B246" s="30"/>
    </row>
    <row r="247">
      <c r="B247" s="30"/>
    </row>
    <row r="248">
      <c r="B248" s="30"/>
    </row>
    <row r="249">
      <c r="B249" s="30"/>
    </row>
    <row r="250">
      <c r="B250" s="30"/>
    </row>
    <row r="251">
      <c r="B251" s="30"/>
    </row>
    <row r="252">
      <c r="B252" s="30"/>
    </row>
    <row r="253">
      <c r="B253" s="30"/>
    </row>
    <row r="254">
      <c r="B254" s="30"/>
    </row>
    <row r="255">
      <c r="B255" s="30"/>
    </row>
    <row r="256">
      <c r="B256" s="30"/>
    </row>
    <row r="257">
      <c r="B257" s="30"/>
    </row>
    <row r="258">
      <c r="B258" s="30"/>
    </row>
    <row r="259">
      <c r="B259" s="30"/>
    </row>
    <row r="260">
      <c r="B260" s="30"/>
    </row>
    <row r="261">
      <c r="B261" s="30"/>
    </row>
    <row r="262">
      <c r="B262" s="30"/>
    </row>
    <row r="263">
      <c r="B263" s="30"/>
    </row>
    <row r="264">
      <c r="B264" s="30"/>
    </row>
    <row r="265">
      <c r="B265" s="30"/>
    </row>
    <row r="266">
      <c r="B266" s="30"/>
    </row>
    <row r="267">
      <c r="B267" s="30"/>
    </row>
    <row r="268">
      <c r="B268" s="30"/>
    </row>
    <row r="269">
      <c r="B269" s="30"/>
    </row>
    <row r="270">
      <c r="B270" s="30"/>
    </row>
    <row r="271">
      <c r="B271" s="30"/>
    </row>
    <row r="272">
      <c r="B272" s="30"/>
    </row>
    <row r="273">
      <c r="B273" s="30"/>
    </row>
    <row r="274">
      <c r="B274" s="30"/>
    </row>
    <row r="275">
      <c r="B275" s="30"/>
    </row>
    <row r="276">
      <c r="B276" s="30"/>
    </row>
    <row r="277">
      <c r="B277" s="30"/>
    </row>
    <row r="278">
      <c r="B278" s="30"/>
    </row>
    <row r="279">
      <c r="B279" s="30"/>
    </row>
    <row r="280">
      <c r="B280" s="30"/>
    </row>
    <row r="281">
      <c r="B281" s="30"/>
    </row>
    <row r="282">
      <c r="B282" s="30"/>
    </row>
    <row r="283">
      <c r="B283" s="30"/>
    </row>
    <row r="284">
      <c r="B284" s="30"/>
    </row>
    <row r="285">
      <c r="B285" s="30"/>
    </row>
    <row r="286">
      <c r="B286" s="30"/>
    </row>
    <row r="287">
      <c r="B287" s="30"/>
    </row>
    <row r="288">
      <c r="B288" s="30"/>
    </row>
    <row r="289">
      <c r="B289" s="30"/>
    </row>
    <row r="290">
      <c r="B290" s="30"/>
    </row>
    <row r="291">
      <c r="B291" s="30"/>
    </row>
    <row r="292">
      <c r="B292" s="30"/>
    </row>
    <row r="293">
      <c r="B293" s="30"/>
    </row>
    <row r="294">
      <c r="B294" s="30"/>
    </row>
    <row r="295">
      <c r="B295" s="30"/>
    </row>
    <row r="296">
      <c r="B296" s="30"/>
    </row>
    <row r="297">
      <c r="B297" s="30"/>
    </row>
    <row r="298">
      <c r="B298" s="30"/>
    </row>
    <row r="299">
      <c r="B299" s="30"/>
    </row>
    <row r="300">
      <c r="B300" s="30"/>
    </row>
    <row r="301">
      <c r="B301" s="30"/>
    </row>
    <row r="302">
      <c r="B302" s="30"/>
    </row>
    <row r="303">
      <c r="B303" s="30"/>
    </row>
    <row r="304">
      <c r="B304" s="30"/>
    </row>
    <row r="305">
      <c r="B305" s="30"/>
    </row>
    <row r="306">
      <c r="B306" s="30"/>
    </row>
    <row r="307">
      <c r="B307" s="30"/>
    </row>
    <row r="308">
      <c r="B308" s="30"/>
    </row>
    <row r="309">
      <c r="B309" s="30"/>
    </row>
    <row r="310">
      <c r="B310" s="30"/>
    </row>
    <row r="311">
      <c r="B311" s="30"/>
    </row>
    <row r="312">
      <c r="B312" s="30"/>
    </row>
    <row r="313">
      <c r="B313" s="30"/>
    </row>
    <row r="314">
      <c r="B314" s="30"/>
    </row>
    <row r="315">
      <c r="B315" s="30"/>
    </row>
    <row r="316">
      <c r="B316" s="30"/>
    </row>
    <row r="317">
      <c r="B317" s="30"/>
    </row>
    <row r="318">
      <c r="B318" s="30"/>
    </row>
    <row r="319">
      <c r="B319" s="30"/>
    </row>
    <row r="320">
      <c r="B320" s="30"/>
    </row>
    <row r="321">
      <c r="B321" s="30"/>
    </row>
    <row r="322">
      <c r="B322" s="30"/>
    </row>
    <row r="323">
      <c r="B323" s="30"/>
    </row>
    <row r="324">
      <c r="B324" s="30"/>
    </row>
    <row r="325">
      <c r="B325" s="30"/>
    </row>
    <row r="326">
      <c r="B326" s="30"/>
    </row>
    <row r="327">
      <c r="B327" s="30"/>
    </row>
    <row r="328">
      <c r="B328" s="30"/>
    </row>
    <row r="329">
      <c r="B329" s="30"/>
    </row>
    <row r="330">
      <c r="B330" s="30"/>
    </row>
    <row r="331">
      <c r="B331" s="30"/>
    </row>
    <row r="332">
      <c r="B332" s="30"/>
    </row>
    <row r="333">
      <c r="B333" s="30"/>
    </row>
    <row r="334">
      <c r="B334" s="30"/>
    </row>
    <row r="335">
      <c r="B335" s="30"/>
    </row>
    <row r="336">
      <c r="B336" s="30"/>
    </row>
    <row r="337">
      <c r="B337" s="30"/>
    </row>
    <row r="338">
      <c r="B338" s="30"/>
    </row>
    <row r="339">
      <c r="B339" s="30"/>
    </row>
    <row r="340">
      <c r="B340" s="30"/>
    </row>
    <row r="341">
      <c r="B341" s="30"/>
    </row>
    <row r="342">
      <c r="B342" s="30"/>
    </row>
    <row r="343">
      <c r="B343" s="30"/>
    </row>
    <row r="344">
      <c r="B344" s="30"/>
    </row>
    <row r="345">
      <c r="B345" s="30"/>
    </row>
    <row r="346">
      <c r="B346" s="30"/>
    </row>
    <row r="347">
      <c r="B347" s="30"/>
    </row>
    <row r="348">
      <c r="B348" s="30"/>
    </row>
    <row r="349">
      <c r="B349" s="30"/>
    </row>
    <row r="350">
      <c r="B350" s="30"/>
    </row>
    <row r="351">
      <c r="B351" s="30"/>
    </row>
    <row r="352">
      <c r="B352" s="30"/>
    </row>
    <row r="353">
      <c r="B353" s="30"/>
    </row>
    <row r="354">
      <c r="B354" s="30"/>
    </row>
    <row r="355">
      <c r="B355" s="30"/>
    </row>
    <row r="356">
      <c r="B356" s="30"/>
    </row>
    <row r="357">
      <c r="B357" s="30"/>
    </row>
    <row r="358">
      <c r="B358" s="30"/>
    </row>
    <row r="359">
      <c r="B359" s="30"/>
    </row>
    <row r="360">
      <c r="B360" s="30"/>
    </row>
    <row r="361">
      <c r="B361" s="30"/>
    </row>
    <row r="362">
      <c r="B362" s="30"/>
    </row>
    <row r="363">
      <c r="B363" s="30"/>
    </row>
    <row r="364">
      <c r="B364" s="30"/>
    </row>
    <row r="365">
      <c r="B365" s="30"/>
    </row>
    <row r="366">
      <c r="B366" s="30"/>
    </row>
    <row r="367">
      <c r="B367" s="30"/>
    </row>
    <row r="368">
      <c r="B368" s="30"/>
    </row>
    <row r="369">
      <c r="B369" s="30"/>
    </row>
    <row r="370">
      <c r="B370" s="30"/>
    </row>
    <row r="371">
      <c r="B371" s="30"/>
    </row>
    <row r="372">
      <c r="B372" s="30"/>
    </row>
    <row r="373">
      <c r="B373" s="30"/>
    </row>
    <row r="374">
      <c r="B374" s="30"/>
    </row>
    <row r="375">
      <c r="B375" s="30"/>
    </row>
    <row r="376">
      <c r="B376" s="30"/>
    </row>
    <row r="377">
      <c r="B377" s="30"/>
    </row>
    <row r="378">
      <c r="B378" s="30"/>
    </row>
    <row r="379">
      <c r="B379" s="30"/>
    </row>
    <row r="380">
      <c r="B380" s="30"/>
    </row>
    <row r="381">
      <c r="B381" s="30"/>
    </row>
    <row r="382">
      <c r="B382" s="30"/>
    </row>
    <row r="383">
      <c r="B383" s="30"/>
    </row>
    <row r="384">
      <c r="B384" s="30"/>
    </row>
    <row r="385">
      <c r="B385" s="30"/>
    </row>
    <row r="386">
      <c r="B386" s="30"/>
    </row>
    <row r="387">
      <c r="B387" s="30"/>
    </row>
    <row r="388">
      <c r="B388" s="30"/>
    </row>
    <row r="389">
      <c r="B389" s="30"/>
    </row>
    <row r="390">
      <c r="B390" s="30"/>
    </row>
    <row r="391">
      <c r="B391" s="30"/>
    </row>
    <row r="392">
      <c r="B392" s="30"/>
    </row>
    <row r="393">
      <c r="B393" s="30"/>
    </row>
    <row r="394">
      <c r="B394" s="30"/>
    </row>
    <row r="395">
      <c r="B395" s="30"/>
    </row>
    <row r="396">
      <c r="B396" s="30"/>
    </row>
    <row r="397">
      <c r="B397" s="30"/>
    </row>
    <row r="398">
      <c r="B398" s="30"/>
    </row>
    <row r="399">
      <c r="B399" s="30"/>
    </row>
    <row r="400">
      <c r="B400" s="30"/>
    </row>
    <row r="401">
      <c r="B401" s="30"/>
    </row>
    <row r="402">
      <c r="B402" s="30"/>
    </row>
    <row r="403">
      <c r="B403" s="30"/>
    </row>
    <row r="404">
      <c r="B404" s="30"/>
    </row>
    <row r="405">
      <c r="B405" s="30"/>
    </row>
    <row r="406">
      <c r="B406" s="30"/>
    </row>
    <row r="407">
      <c r="B407" s="30"/>
    </row>
    <row r="408">
      <c r="B408" s="30"/>
    </row>
    <row r="409">
      <c r="B409" s="30"/>
    </row>
    <row r="410">
      <c r="B410" s="30"/>
    </row>
    <row r="411">
      <c r="B411" s="30"/>
    </row>
    <row r="412">
      <c r="B412" s="30"/>
    </row>
    <row r="413">
      <c r="B413" s="30"/>
    </row>
    <row r="414">
      <c r="B414" s="30"/>
    </row>
    <row r="415">
      <c r="B415" s="30"/>
    </row>
    <row r="416">
      <c r="B416" s="30"/>
    </row>
    <row r="417">
      <c r="B417" s="30"/>
    </row>
    <row r="418">
      <c r="B418" s="30"/>
    </row>
    <row r="419">
      <c r="B419" s="30"/>
    </row>
    <row r="420">
      <c r="B420" s="30"/>
    </row>
    <row r="421">
      <c r="B421" s="30"/>
    </row>
    <row r="422">
      <c r="B422" s="30"/>
    </row>
    <row r="423">
      <c r="B423" s="30"/>
    </row>
    <row r="424">
      <c r="B424" s="30"/>
    </row>
    <row r="425">
      <c r="B425" s="30"/>
    </row>
    <row r="426">
      <c r="B426" s="30"/>
    </row>
    <row r="427">
      <c r="B427" s="30"/>
    </row>
    <row r="428">
      <c r="B428" s="30"/>
    </row>
    <row r="429">
      <c r="B429" s="30"/>
    </row>
    <row r="430">
      <c r="B430" s="30"/>
    </row>
    <row r="431">
      <c r="B431" s="30"/>
    </row>
    <row r="432">
      <c r="B432" s="30"/>
    </row>
    <row r="433">
      <c r="B433" s="30"/>
    </row>
    <row r="434">
      <c r="B434" s="30"/>
    </row>
    <row r="435">
      <c r="B435" s="30"/>
    </row>
    <row r="436">
      <c r="B436" s="30"/>
    </row>
    <row r="437">
      <c r="B437" s="30"/>
    </row>
    <row r="438">
      <c r="B438" s="30"/>
    </row>
    <row r="439">
      <c r="B439" s="30"/>
    </row>
    <row r="440">
      <c r="B440" s="30"/>
    </row>
    <row r="441">
      <c r="B441" s="30"/>
    </row>
    <row r="442">
      <c r="B442" s="30"/>
    </row>
    <row r="443">
      <c r="B443" s="30"/>
    </row>
    <row r="444">
      <c r="B444" s="30"/>
    </row>
    <row r="445">
      <c r="B445" s="30"/>
    </row>
    <row r="446">
      <c r="B446" s="30"/>
    </row>
    <row r="447">
      <c r="B447" s="30"/>
    </row>
    <row r="448">
      <c r="B448" s="30"/>
    </row>
    <row r="449">
      <c r="B449" s="30"/>
    </row>
    <row r="450">
      <c r="B450" s="30"/>
    </row>
    <row r="451">
      <c r="B451" s="30"/>
    </row>
    <row r="452">
      <c r="B452" s="30"/>
    </row>
    <row r="453">
      <c r="B453" s="30"/>
    </row>
    <row r="454">
      <c r="B454" s="30"/>
    </row>
    <row r="455">
      <c r="B455" s="30"/>
    </row>
    <row r="456">
      <c r="B456" s="30"/>
    </row>
    <row r="457">
      <c r="B457" s="30"/>
    </row>
    <row r="458">
      <c r="B458" s="30"/>
    </row>
    <row r="459">
      <c r="B459" s="30"/>
    </row>
    <row r="460">
      <c r="B460" s="30"/>
    </row>
    <row r="461">
      <c r="B461" s="30"/>
    </row>
    <row r="462">
      <c r="B462" s="30"/>
    </row>
    <row r="463">
      <c r="B463" s="30"/>
    </row>
    <row r="464">
      <c r="B464" s="30"/>
    </row>
    <row r="465">
      <c r="B465" s="30"/>
    </row>
    <row r="466">
      <c r="B466" s="30"/>
    </row>
    <row r="467">
      <c r="B467" s="30"/>
    </row>
    <row r="468">
      <c r="B468" s="30"/>
    </row>
    <row r="469">
      <c r="B469" s="30"/>
    </row>
    <row r="470">
      <c r="B470" s="30"/>
    </row>
    <row r="471">
      <c r="B471" s="30"/>
    </row>
    <row r="472">
      <c r="B472" s="30"/>
    </row>
    <row r="473">
      <c r="B473" s="30"/>
    </row>
    <row r="474">
      <c r="B474" s="30"/>
    </row>
    <row r="475">
      <c r="B475" s="30"/>
    </row>
    <row r="476">
      <c r="B476" s="30"/>
    </row>
    <row r="477">
      <c r="B477" s="30"/>
    </row>
    <row r="478">
      <c r="B478" s="30"/>
    </row>
    <row r="479">
      <c r="B479" s="30"/>
    </row>
    <row r="480">
      <c r="B480" s="30"/>
    </row>
    <row r="481">
      <c r="B481" s="30"/>
    </row>
    <row r="482">
      <c r="B482" s="30"/>
    </row>
    <row r="483">
      <c r="B483" s="30"/>
    </row>
    <row r="484">
      <c r="B484" s="30"/>
    </row>
    <row r="485">
      <c r="B485" s="30"/>
    </row>
    <row r="486">
      <c r="B486" s="30"/>
    </row>
    <row r="487">
      <c r="B487" s="30"/>
    </row>
    <row r="488">
      <c r="B488" s="30"/>
    </row>
    <row r="489">
      <c r="B489" s="30"/>
    </row>
    <row r="490">
      <c r="B490" s="30"/>
    </row>
    <row r="491">
      <c r="B491" s="30"/>
    </row>
    <row r="492">
      <c r="B492" s="30"/>
    </row>
    <row r="493">
      <c r="B493" s="30"/>
    </row>
    <row r="494">
      <c r="B494" s="30"/>
    </row>
    <row r="495">
      <c r="B495" s="30"/>
    </row>
    <row r="496">
      <c r="B496" s="30"/>
    </row>
    <row r="497">
      <c r="B497" s="30"/>
    </row>
    <row r="498">
      <c r="B498" s="30"/>
    </row>
    <row r="499">
      <c r="B499" s="30"/>
    </row>
    <row r="500">
      <c r="B500" s="30"/>
    </row>
    <row r="501">
      <c r="B501" s="30"/>
    </row>
    <row r="502">
      <c r="B502" s="30"/>
    </row>
    <row r="503">
      <c r="B503" s="30"/>
    </row>
    <row r="504">
      <c r="B504" s="30"/>
    </row>
    <row r="505">
      <c r="B505" s="30"/>
    </row>
    <row r="506">
      <c r="B506" s="30"/>
    </row>
    <row r="507">
      <c r="B507" s="30"/>
    </row>
    <row r="508">
      <c r="B508" s="30"/>
    </row>
    <row r="509">
      <c r="B509" s="30"/>
    </row>
    <row r="510">
      <c r="B510" s="30"/>
    </row>
    <row r="511">
      <c r="B511" s="30"/>
    </row>
    <row r="512">
      <c r="B512" s="30"/>
    </row>
    <row r="513">
      <c r="B513" s="30"/>
    </row>
    <row r="514">
      <c r="B514" s="30"/>
    </row>
    <row r="515">
      <c r="B515" s="30"/>
    </row>
    <row r="516">
      <c r="B516" s="30"/>
    </row>
    <row r="517">
      <c r="B517" s="30"/>
    </row>
    <row r="518">
      <c r="B518" s="30"/>
    </row>
    <row r="519">
      <c r="B519" s="30"/>
    </row>
    <row r="520">
      <c r="B520" s="30"/>
    </row>
    <row r="521">
      <c r="B521" s="30"/>
    </row>
    <row r="522">
      <c r="B522" s="30"/>
    </row>
    <row r="523">
      <c r="B523" s="30"/>
    </row>
    <row r="524">
      <c r="B524" s="30"/>
    </row>
    <row r="525">
      <c r="B525" s="30"/>
    </row>
    <row r="526">
      <c r="B526" s="30"/>
    </row>
    <row r="527">
      <c r="B527" s="30"/>
    </row>
    <row r="528">
      <c r="B528" s="30"/>
    </row>
    <row r="529">
      <c r="B529" s="30"/>
    </row>
    <row r="530">
      <c r="B530" s="30"/>
    </row>
    <row r="531">
      <c r="B531" s="30"/>
    </row>
    <row r="532">
      <c r="B532" s="30"/>
    </row>
    <row r="533">
      <c r="B533" s="30"/>
    </row>
    <row r="534">
      <c r="B534" s="30"/>
    </row>
    <row r="535">
      <c r="B535" s="30"/>
    </row>
    <row r="536">
      <c r="B536" s="30"/>
    </row>
    <row r="537">
      <c r="B537" s="30"/>
    </row>
    <row r="538">
      <c r="B538" s="30"/>
    </row>
    <row r="539">
      <c r="B539" s="30"/>
    </row>
    <row r="540">
      <c r="B540" s="30"/>
    </row>
    <row r="541">
      <c r="B541" s="30"/>
    </row>
    <row r="542">
      <c r="B542" s="30"/>
    </row>
    <row r="543">
      <c r="B543" s="30"/>
    </row>
    <row r="544">
      <c r="B544" s="30"/>
    </row>
    <row r="545">
      <c r="B545" s="30"/>
    </row>
    <row r="546">
      <c r="B546" s="30"/>
    </row>
    <row r="547">
      <c r="B547" s="30"/>
    </row>
    <row r="548">
      <c r="B548" s="30"/>
    </row>
    <row r="549">
      <c r="B549" s="30"/>
    </row>
    <row r="550">
      <c r="B550" s="30"/>
    </row>
    <row r="551">
      <c r="B551" s="30"/>
    </row>
    <row r="552">
      <c r="B552" s="30"/>
    </row>
    <row r="553">
      <c r="B553" s="30"/>
    </row>
    <row r="554">
      <c r="B554" s="30"/>
    </row>
    <row r="555">
      <c r="B555" s="30"/>
    </row>
    <row r="556">
      <c r="B556" s="30"/>
    </row>
    <row r="557">
      <c r="B557" s="30"/>
    </row>
    <row r="558">
      <c r="B558" s="30"/>
    </row>
    <row r="559">
      <c r="B559" s="30"/>
    </row>
    <row r="560">
      <c r="B560" s="30"/>
    </row>
    <row r="561">
      <c r="B561" s="30"/>
    </row>
    <row r="562">
      <c r="B562" s="30"/>
    </row>
    <row r="563">
      <c r="B563" s="30"/>
    </row>
    <row r="564">
      <c r="B564" s="30"/>
    </row>
    <row r="565">
      <c r="B565" s="30"/>
    </row>
    <row r="566">
      <c r="B566" s="30"/>
    </row>
    <row r="567">
      <c r="B567" s="30"/>
    </row>
    <row r="568">
      <c r="B568" s="30"/>
    </row>
    <row r="569">
      <c r="B569" s="30"/>
    </row>
    <row r="570">
      <c r="B570" s="30"/>
    </row>
    <row r="571">
      <c r="B571" s="30"/>
    </row>
    <row r="572">
      <c r="B572" s="30"/>
    </row>
    <row r="573">
      <c r="B573" s="30"/>
    </row>
    <row r="574">
      <c r="B574" s="30"/>
    </row>
    <row r="575">
      <c r="B575" s="30"/>
    </row>
    <row r="576">
      <c r="B576" s="30"/>
    </row>
    <row r="577">
      <c r="B577" s="30"/>
    </row>
    <row r="578">
      <c r="B578" s="30"/>
    </row>
    <row r="579">
      <c r="B579" s="30"/>
    </row>
    <row r="580">
      <c r="B580" s="30"/>
    </row>
    <row r="581">
      <c r="B581" s="30"/>
    </row>
    <row r="582">
      <c r="B582" s="30"/>
    </row>
    <row r="583">
      <c r="B583" s="30"/>
    </row>
    <row r="584">
      <c r="B584" s="30"/>
    </row>
    <row r="585">
      <c r="B585" s="30"/>
    </row>
    <row r="586">
      <c r="B586" s="30"/>
    </row>
    <row r="587">
      <c r="B587" s="30"/>
    </row>
    <row r="588">
      <c r="B588" s="30"/>
    </row>
    <row r="589">
      <c r="B589" s="30"/>
    </row>
    <row r="590">
      <c r="B590" s="30"/>
    </row>
    <row r="591">
      <c r="B591" s="30"/>
    </row>
    <row r="592">
      <c r="B592" s="30"/>
    </row>
    <row r="593">
      <c r="B593" s="30"/>
    </row>
    <row r="594">
      <c r="B594" s="30"/>
    </row>
    <row r="595">
      <c r="B595" s="30"/>
    </row>
    <row r="596">
      <c r="B596" s="30"/>
    </row>
    <row r="597">
      <c r="B597" s="30"/>
    </row>
    <row r="598">
      <c r="B598" s="30"/>
    </row>
    <row r="599">
      <c r="B599" s="30"/>
    </row>
    <row r="600">
      <c r="B600" s="30"/>
    </row>
    <row r="601">
      <c r="B601" s="30"/>
    </row>
    <row r="602">
      <c r="B602" s="30"/>
    </row>
    <row r="603">
      <c r="B603" s="30"/>
    </row>
    <row r="604">
      <c r="B604" s="30"/>
    </row>
    <row r="605">
      <c r="B605" s="30"/>
    </row>
    <row r="606">
      <c r="B606" s="30"/>
    </row>
    <row r="607">
      <c r="B607" s="30"/>
    </row>
    <row r="608">
      <c r="B608" s="30"/>
    </row>
    <row r="609">
      <c r="B609" s="30"/>
    </row>
    <row r="610">
      <c r="B610" s="30"/>
    </row>
    <row r="611">
      <c r="B611" s="30"/>
    </row>
    <row r="612">
      <c r="B612" s="30"/>
    </row>
    <row r="613">
      <c r="B613" s="30"/>
    </row>
    <row r="614">
      <c r="B614" s="30"/>
    </row>
    <row r="615">
      <c r="B615" s="30"/>
    </row>
    <row r="616">
      <c r="B616" s="30"/>
    </row>
    <row r="617">
      <c r="B617" s="30"/>
    </row>
    <row r="618">
      <c r="B618" s="30"/>
    </row>
    <row r="619">
      <c r="B619" s="30"/>
    </row>
    <row r="620">
      <c r="B620" s="30"/>
    </row>
    <row r="621">
      <c r="B621" s="30"/>
    </row>
    <row r="622">
      <c r="B622" s="30"/>
    </row>
    <row r="623">
      <c r="B623" s="30"/>
    </row>
    <row r="624">
      <c r="B624" s="30"/>
    </row>
    <row r="625">
      <c r="B625" s="30"/>
    </row>
    <row r="626">
      <c r="B626" s="30"/>
    </row>
    <row r="627">
      <c r="B627" s="30"/>
    </row>
    <row r="628">
      <c r="B628" s="30"/>
    </row>
    <row r="629">
      <c r="B629" s="30"/>
    </row>
    <row r="630">
      <c r="B630" s="30"/>
    </row>
    <row r="631">
      <c r="B631" s="30"/>
    </row>
    <row r="632">
      <c r="B632" s="30"/>
    </row>
    <row r="633">
      <c r="B633" s="30"/>
    </row>
    <row r="634">
      <c r="B634" s="30"/>
    </row>
    <row r="635">
      <c r="B635" s="30"/>
    </row>
    <row r="636">
      <c r="B636" s="30"/>
    </row>
    <row r="637">
      <c r="B637" s="30"/>
    </row>
    <row r="638">
      <c r="B638" s="30"/>
    </row>
    <row r="639">
      <c r="B639" s="30"/>
    </row>
    <row r="640">
      <c r="B640" s="30"/>
    </row>
    <row r="641">
      <c r="B641" s="30"/>
    </row>
    <row r="642">
      <c r="B642" s="30"/>
    </row>
    <row r="643">
      <c r="B643" s="30"/>
    </row>
    <row r="644">
      <c r="B644" s="30"/>
    </row>
    <row r="645">
      <c r="B645" s="30"/>
    </row>
    <row r="646">
      <c r="B646" s="30"/>
    </row>
    <row r="647">
      <c r="B647" s="30"/>
    </row>
    <row r="648">
      <c r="B648" s="30"/>
    </row>
    <row r="649">
      <c r="B649" s="30"/>
    </row>
    <row r="650">
      <c r="B650" s="30"/>
    </row>
    <row r="651">
      <c r="B651" s="30"/>
    </row>
    <row r="652">
      <c r="B652" s="30"/>
    </row>
    <row r="653">
      <c r="B653" s="30"/>
    </row>
    <row r="654">
      <c r="B654" s="30"/>
    </row>
    <row r="655">
      <c r="B655" s="30"/>
    </row>
    <row r="656">
      <c r="B656" s="30"/>
    </row>
    <row r="657">
      <c r="B657" s="30"/>
    </row>
    <row r="658">
      <c r="B658" s="30"/>
    </row>
    <row r="659">
      <c r="B659" s="30"/>
    </row>
    <row r="660">
      <c r="B660" s="30"/>
    </row>
    <row r="661">
      <c r="B661" s="30"/>
    </row>
    <row r="662">
      <c r="B662" s="30"/>
    </row>
    <row r="663">
      <c r="B663" s="30"/>
    </row>
    <row r="664">
      <c r="B664" s="30"/>
    </row>
    <row r="665">
      <c r="B665" s="30"/>
    </row>
    <row r="666">
      <c r="B666" s="30"/>
    </row>
    <row r="667">
      <c r="B667" s="30"/>
    </row>
    <row r="668">
      <c r="B668" s="30"/>
    </row>
    <row r="669">
      <c r="B669" s="30"/>
    </row>
    <row r="670">
      <c r="B670" s="30"/>
    </row>
    <row r="671">
      <c r="B671" s="30"/>
    </row>
    <row r="672">
      <c r="B672" s="30"/>
    </row>
    <row r="673">
      <c r="B673" s="30"/>
    </row>
    <row r="674">
      <c r="B674" s="30"/>
    </row>
    <row r="675">
      <c r="B675" s="30"/>
    </row>
    <row r="676">
      <c r="B676" s="30"/>
    </row>
    <row r="677">
      <c r="B677" s="30"/>
    </row>
    <row r="678">
      <c r="B678" s="30"/>
    </row>
    <row r="679">
      <c r="B679" s="30"/>
    </row>
    <row r="680">
      <c r="B680" s="30"/>
    </row>
    <row r="681">
      <c r="B681" s="30"/>
    </row>
    <row r="682">
      <c r="B682" s="30"/>
    </row>
    <row r="683">
      <c r="B683" s="30"/>
    </row>
    <row r="684">
      <c r="B684" s="30"/>
    </row>
    <row r="685">
      <c r="B685" s="30"/>
    </row>
    <row r="686">
      <c r="B686" s="30"/>
    </row>
    <row r="687">
      <c r="B687" s="30"/>
    </row>
    <row r="688">
      <c r="B688" s="30"/>
    </row>
    <row r="689">
      <c r="B689" s="30"/>
    </row>
    <row r="690">
      <c r="B690" s="30"/>
    </row>
    <row r="691">
      <c r="B691" s="30"/>
    </row>
    <row r="692">
      <c r="B692" s="30"/>
    </row>
    <row r="693">
      <c r="B693" s="30"/>
    </row>
    <row r="694">
      <c r="B694" s="30"/>
    </row>
    <row r="695">
      <c r="B695" s="30"/>
    </row>
    <row r="696">
      <c r="B696" s="30"/>
    </row>
    <row r="697">
      <c r="B697" s="30"/>
    </row>
    <row r="698">
      <c r="B698" s="30"/>
    </row>
    <row r="699">
      <c r="B699" s="30"/>
    </row>
    <row r="700">
      <c r="B700" s="30"/>
    </row>
    <row r="701">
      <c r="B701" s="30"/>
    </row>
    <row r="702">
      <c r="B702" s="30"/>
    </row>
    <row r="703">
      <c r="B703" s="30"/>
    </row>
    <row r="704">
      <c r="B704" s="30"/>
    </row>
    <row r="705">
      <c r="B705" s="30"/>
    </row>
    <row r="706">
      <c r="B706" s="30"/>
    </row>
    <row r="707">
      <c r="B707" s="30"/>
    </row>
    <row r="708">
      <c r="B708" s="30"/>
    </row>
    <row r="709">
      <c r="B709" s="30"/>
    </row>
    <row r="710">
      <c r="B710" s="30"/>
    </row>
    <row r="711">
      <c r="B711" s="30"/>
    </row>
    <row r="712">
      <c r="B712" s="30"/>
    </row>
    <row r="713">
      <c r="B713" s="30"/>
    </row>
    <row r="714">
      <c r="B714" s="30"/>
    </row>
    <row r="715">
      <c r="B715" s="30"/>
    </row>
    <row r="716">
      <c r="B716" s="30"/>
    </row>
    <row r="717">
      <c r="B717" s="30"/>
    </row>
    <row r="718">
      <c r="B718" s="30"/>
    </row>
    <row r="719">
      <c r="B719" s="30"/>
    </row>
    <row r="720">
      <c r="B720" s="30"/>
    </row>
    <row r="721">
      <c r="B721" s="30"/>
    </row>
    <row r="722">
      <c r="B722" s="30"/>
    </row>
    <row r="723">
      <c r="B723" s="30"/>
    </row>
    <row r="724">
      <c r="B724" s="30"/>
    </row>
    <row r="725">
      <c r="B725" s="30"/>
    </row>
    <row r="726">
      <c r="B726" s="30"/>
    </row>
    <row r="727">
      <c r="B727" s="30"/>
    </row>
    <row r="728">
      <c r="B728" s="30"/>
    </row>
    <row r="729">
      <c r="B729" s="30"/>
    </row>
    <row r="730">
      <c r="B730" s="30"/>
    </row>
    <row r="731">
      <c r="B731" s="30"/>
    </row>
    <row r="732">
      <c r="B732" s="30"/>
    </row>
    <row r="733">
      <c r="B733" s="30"/>
    </row>
    <row r="734">
      <c r="B734" s="30"/>
    </row>
    <row r="735">
      <c r="B735" s="30"/>
    </row>
    <row r="736">
      <c r="B736" s="30"/>
    </row>
    <row r="737">
      <c r="B737" s="30"/>
    </row>
    <row r="738">
      <c r="B738" s="30"/>
    </row>
    <row r="739">
      <c r="B739" s="30"/>
    </row>
    <row r="740">
      <c r="B740" s="30"/>
    </row>
    <row r="741">
      <c r="B741" s="30"/>
    </row>
    <row r="742">
      <c r="B742" s="30"/>
    </row>
    <row r="743">
      <c r="B743" s="30"/>
    </row>
    <row r="744">
      <c r="B744" s="30"/>
    </row>
    <row r="745">
      <c r="B745" s="30"/>
    </row>
    <row r="746">
      <c r="B746" s="30"/>
    </row>
    <row r="747">
      <c r="B747" s="30"/>
    </row>
    <row r="748">
      <c r="B748" s="30"/>
    </row>
    <row r="749">
      <c r="B749" s="30"/>
    </row>
    <row r="750">
      <c r="B750" s="30"/>
    </row>
    <row r="751">
      <c r="B751" s="30"/>
    </row>
    <row r="752">
      <c r="B752" s="30"/>
    </row>
    <row r="753">
      <c r="B753" s="30"/>
    </row>
    <row r="754">
      <c r="B754" s="30"/>
    </row>
    <row r="755">
      <c r="B755" s="30"/>
    </row>
    <row r="756">
      <c r="B756" s="30"/>
    </row>
    <row r="757">
      <c r="B757" s="30"/>
    </row>
    <row r="758">
      <c r="B758" s="30"/>
    </row>
    <row r="759">
      <c r="B759" s="30"/>
    </row>
    <row r="760">
      <c r="B760" s="30"/>
    </row>
    <row r="761">
      <c r="B761" s="30"/>
    </row>
    <row r="762">
      <c r="B762" s="30"/>
    </row>
    <row r="763">
      <c r="B763" s="30"/>
    </row>
    <row r="764">
      <c r="B764" s="30"/>
    </row>
    <row r="765">
      <c r="B765" s="30"/>
    </row>
    <row r="766">
      <c r="B766" s="30"/>
    </row>
    <row r="767">
      <c r="B767" s="30"/>
    </row>
    <row r="768">
      <c r="B768" s="30"/>
    </row>
    <row r="769">
      <c r="B769" s="30"/>
    </row>
    <row r="770">
      <c r="B770" s="30"/>
    </row>
    <row r="771">
      <c r="B771" s="30"/>
    </row>
    <row r="772">
      <c r="B772" s="30"/>
    </row>
    <row r="773">
      <c r="B773" s="30"/>
    </row>
    <row r="774">
      <c r="B774" s="30"/>
    </row>
    <row r="775">
      <c r="B775" s="30"/>
    </row>
    <row r="776">
      <c r="B776" s="30"/>
    </row>
    <row r="777">
      <c r="B777" s="30"/>
    </row>
    <row r="778">
      <c r="B778" s="30"/>
    </row>
    <row r="779">
      <c r="B779" s="30"/>
    </row>
    <row r="780">
      <c r="B780" s="30"/>
    </row>
    <row r="781">
      <c r="B781" s="30"/>
    </row>
    <row r="782">
      <c r="B782" s="30"/>
    </row>
    <row r="783">
      <c r="B783" s="30"/>
    </row>
    <row r="784">
      <c r="B784" s="30"/>
    </row>
    <row r="785">
      <c r="B785" s="30"/>
    </row>
    <row r="786">
      <c r="B786" s="30"/>
    </row>
    <row r="787">
      <c r="B787" s="30"/>
    </row>
    <row r="788">
      <c r="B788" s="30"/>
    </row>
    <row r="789">
      <c r="B789" s="30"/>
    </row>
    <row r="790">
      <c r="B790" s="30"/>
    </row>
    <row r="791">
      <c r="B791" s="30"/>
    </row>
    <row r="792">
      <c r="B792" s="30"/>
    </row>
    <row r="793">
      <c r="B793" s="30"/>
    </row>
    <row r="794">
      <c r="B794" s="30"/>
    </row>
    <row r="795">
      <c r="B795" s="30"/>
    </row>
    <row r="796">
      <c r="B796" s="30"/>
    </row>
    <row r="797">
      <c r="B797" s="30"/>
    </row>
    <row r="798">
      <c r="B798" s="30"/>
    </row>
    <row r="799">
      <c r="B799" s="30"/>
    </row>
    <row r="800">
      <c r="B800" s="30"/>
    </row>
    <row r="801">
      <c r="B801" s="30"/>
    </row>
    <row r="802">
      <c r="B802" s="30"/>
    </row>
    <row r="803">
      <c r="B803" s="30"/>
    </row>
    <row r="804">
      <c r="B804" s="30"/>
    </row>
    <row r="805">
      <c r="B805" s="30"/>
    </row>
    <row r="806">
      <c r="B806" s="30"/>
    </row>
    <row r="807">
      <c r="B807" s="30"/>
    </row>
    <row r="808">
      <c r="B808" s="30"/>
    </row>
    <row r="809">
      <c r="B809" s="30"/>
    </row>
    <row r="810">
      <c r="B810" s="30"/>
    </row>
    <row r="811">
      <c r="B811" s="30"/>
    </row>
    <row r="812">
      <c r="B812" s="30"/>
    </row>
    <row r="813">
      <c r="B813" s="30"/>
    </row>
    <row r="814">
      <c r="B814" s="30"/>
    </row>
    <row r="815">
      <c r="B815" s="30"/>
    </row>
    <row r="816">
      <c r="B816" s="30"/>
    </row>
    <row r="817">
      <c r="B817" s="30"/>
    </row>
    <row r="818">
      <c r="B818" s="30"/>
    </row>
    <row r="819">
      <c r="B819" s="30"/>
    </row>
    <row r="820">
      <c r="B820" s="30"/>
    </row>
    <row r="821">
      <c r="B821" s="30"/>
    </row>
    <row r="822">
      <c r="B822" s="30"/>
    </row>
    <row r="823">
      <c r="B823" s="30"/>
    </row>
    <row r="824">
      <c r="B824" s="30"/>
    </row>
    <row r="825">
      <c r="B825" s="30"/>
    </row>
    <row r="826">
      <c r="B826" s="30"/>
    </row>
    <row r="827">
      <c r="B827" s="30"/>
    </row>
    <row r="828">
      <c r="B828" s="30"/>
    </row>
    <row r="829">
      <c r="B829" s="30"/>
    </row>
    <row r="830">
      <c r="B830" s="30"/>
    </row>
    <row r="831">
      <c r="B831" s="30"/>
    </row>
    <row r="832">
      <c r="B832" s="30"/>
    </row>
    <row r="833">
      <c r="B833" s="30"/>
    </row>
    <row r="834">
      <c r="B834" s="30"/>
    </row>
    <row r="835">
      <c r="B835" s="30"/>
    </row>
    <row r="836">
      <c r="B836" s="30"/>
    </row>
    <row r="837">
      <c r="B837" s="30"/>
    </row>
    <row r="838">
      <c r="B838" s="30"/>
    </row>
    <row r="839">
      <c r="B839" s="30"/>
    </row>
    <row r="840">
      <c r="B840" s="30"/>
    </row>
    <row r="841">
      <c r="B841" s="30"/>
    </row>
    <row r="842">
      <c r="B842" s="30"/>
    </row>
    <row r="843">
      <c r="B843" s="30"/>
    </row>
    <row r="844">
      <c r="B844" s="30"/>
    </row>
    <row r="845">
      <c r="B845" s="30"/>
    </row>
    <row r="846">
      <c r="B846" s="30"/>
    </row>
    <row r="847">
      <c r="B847" s="30"/>
    </row>
    <row r="848">
      <c r="B848" s="30"/>
    </row>
    <row r="849">
      <c r="B849" s="30"/>
    </row>
    <row r="850">
      <c r="B850" s="30"/>
    </row>
    <row r="851">
      <c r="B851" s="30"/>
    </row>
    <row r="852">
      <c r="B852" s="30"/>
    </row>
    <row r="853">
      <c r="B853" s="30"/>
    </row>
    <row r="854">
      <c r="B854" s="30"/>
    </row>
    <row r="855">
      <c r="B855" s="30"/>
    </row>
    <row r="856">
      <c r="B856" s="30"/>
    </row>
    <row r="857">
      <c r="B857" s="30"/>
    </row>
    <row r="858">
      <c r="B858" s="30"/>
    </row>
    <row r="859">
      <c r="B859" s="30"/>
    </row>
    <row r="860">
      <c r="B860" s="30"/>
    </row>
    <row r="861">
      <c r="B861" s="30"/>
    </row>
    <row r="862">
      <c r="B862" s="30"/>
    </row>
    <row r="863">
      <c r="B863" s="30"/>
    </row>
    <row r="864">
      <c r="B864" s="30"/>
    </row>
    <row r="865">
      <c r="B865" s="30"/>
    </row>
    <row r="866">
      <c r="B866" s="30"/>
    </row>
    <row r="867">
      <c r="B867" s="30"/>
    </row>
    <row r="868">
      <c r="B868" s="30"/>
    </row>
    <row r="869">
      <c r="B869" s="30"/>
    </row>
    <row r="870">
      <c r="B870" s="30"/>
    </row>
    <row r="871">
      <c r="B871" s="30"/>
    </row>
    <row r="872">
      <c r="B872" s="30"/>
    </row>
    <row r="873">
      <c r="B873" s="30"/>
    </row>
    <row r="874">
      <c r="B874" s="30"/>
    </row>
    <row r="875">
      <c r="B875" s="30"/>
    </row>
    <row r="876">
      <c r="B876" s="30"/>
    </row>
    <row r="877">
      <c r="B877" s="30"/>
    </row>
    <row r="878">
      <c r="B878" s="30"/>
    </row>
    <row r="879">
      <c r="B879" s="30"/>
    </row>
    <row r="880">
      <c r="B880" s="30"/>
    </row>
    <row r="881">
      <c r="B881" s="30"/>
    </row>
    <row r="882">
      <c r="B882" s="30"/>
    </row>
    <row r="883">
      <c r="B883" s="30"/>
    </row>
    <row r="884">
      <c r="B884" s="30"/>
    </row>
    <row r="885">
      <c r="B885" s="30"/>
    </row>
    <row r="886">
      <c r="B886" s="30"/>
    </row>
    <row r="887">
      <c r="B887" s="30"/>
    </row>
    <row r="888">
      <c r="B888" s="30"/>
    </row>
    <row r="889">
      <c r="B889" s="30"/>
    </row>
    <row r="890">
      <c r="B890" s="30"/>
    </row>
    <row r="891">
      <c r="B891" s="30"/>
    </row>
    <row r="892">
      <c r="B892" s="30"/>
    </row>
    <row r="893">
      <c r="B893" s="30"/>
    </row>
    <row r="894">
      <c r="B894" s="30"/>
    </row>
    <row r="895">
      <c r="B895" s="30"/>
    </row>
    <row r="896">
      <c r="B896" s="30"/>
    </row>
    <row r="897">
      <c r="B897" s="30"/>
    </row>
    <row r="898">
      <c r="B898" s="30"/>
    </row>
    <row r="899">
      <c r="B899" s="30"/>
    </row>
    <row r="900">
      <c r="B900" s="30"/>
    </row>
    <row r="901">
      <c r="B901" s="30"/>
    </row>
    <row r="902">
      <c r="B902" s="30"/>
    </row>
    <row r="903">
      <c r="B903" s="30"/>
    </row>
    <row r="904">
      <c r="B904" s="30"/>
    </row>
    <row r="905">
      <c r="B905" s="30"/>
    </row>
    <row r="906">
      <c r="B906" s="30"/>
    </row>
    <row r="907">
      <c r="B907" s="30"/>
    </row>
    <row r="908">
      <c r="B908" s="30"/>
    </row>
    <row r="909">
      <c r="B909" s="30"/>
    </row>
    <row r="910">
      <c r="B910" s="30"/>
    </row>
    <row r="911">
      <c r="B911" s="30"/>
    </row>
    <row r="912">
      <c r="B912" s="30"/>
    </row>
    <row r="913">
      <c r="B913" s="30"/>
    </row>
    <row r="914">
      <c r="B914" s="30"/>
    </row>
    <row r="915">
      <c r="B915" s="30"/>
    </row>
    <row r="916">
      <c r="B916" s="30"/>
    </row>
    <row r="917">
      <c r="B917" s="30"/>
    </row>
    <row r="918">
      <c r="B918" s="30"/>
    </row>
    <row r="919">
      <c r="B919" s="30"/>
    </row>
    <row r="920">
      <c r="B920" s="30"/>
    </row>
    <row r="921">
      <c r="B921" s="30"/>
    </row>
    <row r="922">
      <c r="B922" s="30"/>
    </row>
    <row r="923">
      <c r="B923" s="30"/>
    </row>
    <row r="924">
      <c r="B924" s="30"/>
    </row>
    <row r="925">
      <c r="B925" s="30"/>
    </row>
    <row r="926">
      <c r="B926" s="30"/>
    </row>
    <row r="927">
      <c r="B927" s="30"/>
    </row>
    <row r="928">
      <c r="B928" s="30"/>
    </row>
    <row r="929">
      <c r="B929" s="30"/>
    </row>
    <row r="930">
      <c r="B930" s="30"/>
    </row>
    <row r="931">
      <c r="B931" s="30"/>
    </row>
    <row r="932">
      <c r="B932" s="30"/>
    </row>
    <row r="933">
      <c r="B933" s="30"/>
    </row>
    <row r="934">
      <c r="B934" s="30"/>
    </row>
    <row r="935">
      <c r="B935" s="30"/>
    </row>
    <row r="936">
      <c r="B936" s="30"/>
    </row>
    <row r="937">
      <c r="B937" s="30"/>
    </row>
    <row r="938">
      <c r="B938" s="30"/>
    </row>
    <row r="939">
      <c r="B939" s="30"/>
    </row>
    <row r="940">
      <c r="B940" s="30"/>
    </row>
    <row r="941">
      <c r="B941" s="30"/>
    </row>
    <row r="942">
      <c r="B942" s="30"/>
    </row>
    <row r="943">
      <c r="B943" s="30"/>
    </row>
    <row r="944">
      <c r="B944" s="30"/>
    </row>
    <row r="945">
      <c r="B945" s="30"/>
    </row>
    <row r="946">
      <c r="B946" s="30"/>
    </row>
    <row r="947">
      <c r="B947" s="30"/>
    </row>
    <row r="948">
      <c r="B948" s="30"/>
    </row>
    <row r="949">
      <c r="B949" s="30"/>
    </row>
    <row r="950">
      <c r="B950" s="30"/>
    </row>
    <row r="951">
      <c r="B951" s="30"/>
    </row>
    <row r="952">
      <c r="B952" s="30"/>
    </row>
    <row r="953">
      <c r="B953" s="30"/>
    </row>
    <row r="954">
      <c r="B954" s="30"/>
    </row>
    <row r="955">
      <c r="B955" s="30"/>
    </row>
    <row r="956">
      <c r="B956" s="30"/>
    </row>
    <row r="957">
      <c r="B957" s="30"/>
    </row>
    <row r="958">
      <c r="B958" s="30"/>
    </row>
    <row r="959">
      <c r="B959" s="30"/>
    </row>
    <row r="960">
      <c r="B960" s="30"/>
    </row>
    <row r="961">
      <c r="B961" s="30"/>
    </row>
    <row r="962">
      <c r="B962" s="30"/>
    </row>
    <row r="963">
      <c r="B963" s="30"/>
    </row>
    <row r="964">
      <c r="B964" s="30"/>
    </row>
    <row r="965">
      <c r="B965" s="30"/>
    </row>
    <row r="966">
      <c r="B966" s="30"/>
    </row>
    <row r="967">
      <c r="B967" s="30"/>
    </row>
    <row r="968">
      <c r="B968" s="30"/>
    </row>
    <row r="969">
      <c r="B969" s="30"/>
    </row>
    <row r="970">
      <c r="B970" s="30"/>
    </row>
    <row r="971">
      <c r="B971" s="30"/>
    </row>
    <row r="972">
      <c r="B972" s="30"/>
    </row>
    <row r="973">
      <c r="B973" s="30"/>
    </row>
    <row r="974">
      <c r="B974" s="30"/>
    </row>
    <row r="975">
      <c r="B975" s="30"/>
    </row>
    <row r="976">
      <c r="B976" s="30"/>
    </row>
    <row r="977">
      <c r="B977" s="30"/>
    </row>
    <row r="978">
      <c r="B978" s="30"/>
    </row>
    <row r="979">
      <c r="B979" s="30"/>
    </row>
    <row r="980">
      <c r="B980" s="30"/>
    </row>
    <row r="981">
      <c r="B981" s="30"/>
    </row>
    <row r="982">
      <c r="B982" s="30"/>
    </row>
    <row r="983">
      <c r="B983" s="30"/>
    </row>
    <row r="984">
      <c r="B984" s="30"/>
    </row>
    <row r="985">
      <c r="B985" s="30"/>
    </row>
    <row r="986">
      <c r="B986" s="30"/>
    </row>
    <row r="987">
      <c r="B987" s="30"/>
    </row>
    <row r="988">
      <c r="B988" s="30"/>
    </row>
    <row r="989">
      <c r="B989" s="30"/>
    </row>
    <row r="990">
      <c r="B990" s="30"/>
    </row>
    <row r="991">
      <c r="B991" s="30"/>
    </row>
    <row r="992">
      <c r="B992" s="30"/>
    </row>
    <row r="993">
      <c r="B993" s="30"/>
    </row>
    <row r="994">
      <c r="B994" s="30"/>
    </row>
    <row r="995">
      <c r="B995" s="30"/>
    </row>
    <row r="996">
      <c r="B996" s="30"/>
    </row>
    <row r="997">
      <c r="B997" s="30"/>
    </row>
    <row r="998">
      <c r="B998" s="30"/>
    </row>
    <row r="999">
      <c r="B999" s="30"/>
    </row>
    <row r="1000">
      <c r="B1000" s="3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8"/>
    <col customWidth="1" min="2" max="2" width="20.63"/>
    <col customWidth="1" min="5" max="5" width="19.88"/>
  </cols>
  <sheetData>
    <row r="1">
      <c r="A1" s="139"/>
      <c r="B1" s="140" t="s">
        <v>904</v>
      </c>
      <c r="C1" s="141"/>
      <c r="D1" s="141"/>
      <c r="E1" s="142"/>
      <c r="F1" s="28"/>
      <c r="G1" s="28"/>
    </row>
    <row r="2">
      <c r="A2" s="143" t="s">
        <v>378</v>
      </c>
      <c r="B2" s="144" t="s">
        <v>905</v>
      </c>
      <c r="C2" s="144" t="s">
        <v>906</v>
      </c>
      <c r="D2" s="144" t="s">
        <v>907</v>
      </c>
      <c r="E2" s="144" t="s">
        <v>908</v>
      </c>
    </row>
    <row r="3">
      <c r="A3" s="145">
        <v>1.0</v>
      </c>
      <c r="B3" s="145" t="s">
        <v>909</v>
      </c>
      <c r="C3" s="146">
        <v>-1.29889</v>
      </c>
      <c r="D3" s="146">
        <v>36.759707</v>
      </c>
      <c r="E3" s="147" t="s">
        <v>910</v>
      </c>
    </row>
    <row r="4">
      <c r="A4" s="148"/>
      <c r="B4" s="148"/>
      <c r="C4" s="148"/>
      <c r="D4" s="148"/>
      <c r="E4" s="147" t="s">
        <v>911</v>
      </c>
    </row>
    <row r="5">
      <c r="A5" s="149">
        <v>2.0</v>
      </c>
      <c r="B5" s="149" t="s">
        <v>912</v>
      </c>
      <c r="C5" s="149">
        <v>-1.267737</v>
      </c>
      <c r="D5" s="149">
        <v>36.831234</v>
      </c>
      <c r="E5" s="150" t="s">
        <v>30</v>
      </c>
    </row>
    <row r="6">
      <c r="A6" s="151"/>
      <c r="B6" s="151"/>
      <c r="C6" s="151"/>
      <c r="D6" s="151"/>
      <c r="E6" s="152" t="s">
        <v>911</v>
      </c>
    </row>
    <row r="7">
      <c r="A7" s="148"/>
      <c r="B7" s="148"/>
      <c r="C7" s="148"/>
      <c r="D7" s="148"/>
      <c r="E7" s="152" t="s">
        <v>913</v>
      </c>
    </row>
    <row r="8">
      <c r="A8" s="149">
        <v>3.0</v>
      </c>
      <c r="B8" s="149" t="s">
        <v>914</v>
      </c>
      <c r="C8" s="149">
        <v>-1.2815192</v>
      </c>
      <c r="D8" s="149">
        <v>36.9062568</v>
      </c>
      <c r="E8" s="150" t="s">
        <v>30</v>
      </c>
    </row>
    <row r="9">
      <c r="A9" s="151"/>
      <c r="B9" s="151"/>
      <c r="C9" s="151"/>
      <c r="D9" s="151"/>
      <c r="E9" s="152" t="s">
        <v>911</v>
      </c>
    </row>
    <row r="10">
      <c r="A10" s="148"/>
      <c r="B10" s="148"/>
      <c r="C10" s="148"/>
      <c r="D10" s="148"/>
      <c r="E10" s="152" t="s">
        <v>915</v>
      </c>
    </row>
    <row r="11">
      <c r="A11" s="145">
        <v>4.0</v>
      </c>
      <c r="B11" s="149" t="s">
        <v>916</v>
      </c>
      <c r="C11" s="149">
        <v>-1.301137048</v>
      </c>
      <c r="D11" s="149">
        <v>36.83353082</v>
      </c>
      <c r="E11" s="150" t="s">
        <v>30</v>
      </c>
    </row>
    <row r="12">
      <c r="A12" s="148"/>
      <c r="B12" s="151"/>
      <c r="C12" s="151"/>
      <c r="D12" s="151"/>
      <c r="E12" s="152" t="s">
        <v>911</v>
      </c>
    </row>
    <row r="13">
      <c r="A13" s="149">
        <v>5.0</v>
      </c>
      <c r="B13" s="148"/>
      <c r="C13" s="148"/>
      <c r="D13" s="148"/>
      <c r="E13" s="152" t="s">
        <v>917</v>
      </c>
    </row>
    <row r="14">
      <c r="A14" s="151"/>
      <c r="B14" s="149" t="s">
        <v>918</v>
      </c>
      <c r="C14" s="149">
        <v>-1.2690751</v>
      </c>
      <c r="D14" s="149">
        <v>36.8802062</v>
      </c>
      <c r="E14" s="150" t="s">
        <v>910</v>
      </c>
    </row>
    <row r="15">
      <c r="A15" s="148"/>
      <c r="B15" s="148"/>
      <c r="C15" s="148"/>
      <c r="D15" s="148"/>
      <c r="E15" s="152" t="s">
        <v>911</v>
      </c>
    </row>
    <row r="16">
      <c r="A16" s="149">
        <v>6.0</v>
      </c>
      <c r="B16" s="149" t="s">
        <v>919</v>
      </c>
      <c r="C16" s="149">
        <v>-1.214966692</v>
      </c>
      <c r="D16" s="149">
        <v>36.89227185</v>
      </c>
      <c r="E16" s="150" t="s">
        <v>30</v>
      </c>
    </row>
    <row r="17">
      <c r="A17" s="151"/>
      <c r="B17" s="151"/>
      <c r="C17" s="151"/>
      <c r="D17" s="151"/>
      <c r="E17" s="152" t="s">
        <v>911</v>
      </c>
    </row>
    <row r="18">
      <c r="A18" s="148"/>
      <c r="B18" s="148"/>
      <c r="C18" s="148"/>
      <c r="D18" s="148"/>
      <c r="E18" s="152" t="s">
        <v>920</v>
      </c>
    </row>
    <row r="19">
      <c r="A19" s="145">
        <v>7.0</v>
      </c>
      <c r="B19" s="149" t="s">
        <v>921</v>
      </c>
      <c r="C19" s="149">
        <v>-1.287902</v>
      </c>
      <c r="D19" s="149">
        <v>36.778833</v>
      </c>
      <c r="E19" s="150" t="s">
        <v>30</v>
      </c>
    </row>
    <row r="20">
      <c r="A20" s="148"/>
      <c r="B20" s="148"/>
      <c r="C20" s="148"/>
      <c r="D20" s="148"/>
      <c r="E20" s="152" t="s">
        <v>911</v>
      </c>
    </row>
    <row r="21">
      <c r="A21" s="149">
        <v>8.0</v>
      </c>
      <c r="B21" s="149" t="s">
        <v>922</v>
      </c>
      <c r="C21" s="149">
        <v>-1.258489049</v>
      </c>
      <c r="D21" s="149">
        <v>36.78178008</v>
      </c>
      <c r="E21" s="150" t="s">
        <v>30</v>
      </c>
    </row>
    <row r="22">
      <c r="A22" s="151"/>
      <c r="B22" s="151"/>
      <c r="C22" s="151"/>
      <c r="D22" s="151"/>
      <c r="E22" s="152" t="s">
        <v>911</v>
      </c>
    </row>
    <row r="23">
      <c r="A23" s="148"/>
      <c r="B23" s="148"/>
      <c r="C23" s="148"/>
      <c r="D23" s="148"/>
      <c r="E23" s="152" t="s">
        <v>923</v>
      </c>
    </row>
    <row r="24">
      <c r="A24" s="150">
        <v>9.0</v>
      </c>
      <c r="B24" s="150" t="s">
        <v>924</v>
      </c>
      <c r="C24" s="150">
        <v>-1.225138537</v>
      </c>
      <c r="D24" s="150">
        <v>36.7976311</v>
      </c>
      <c r="E24" s="150" t="s">
        <v>925</v>
      </c>
    </row>
    <row r="25">
      <c r="A25" s="149">
        <v>10.0</v>
      </c>
      <c r="B25" s="149" t="s">
        <v>926</v>
      </c>
      <c r="C25" s="149">
        <v>-1.266492294</v>
      </c>
      <c r="D25" s="149">
        <v>36.84531686</v>
      </c>
      <c r="E25" s="150" t="s">
        <v>30</v>
      </c>
    </row>
    <row r="26">
      <c r="A26" s="148"/>
      <c r="B26" s="148"/>
      <c r="C26" s="148"/>
      <c r="D26" s="148"/>
      <c r="E26" s="152" t="s">
        <v>911</v>
      </c>
    </row>
  </sheetData>
  <mergeCells count="37">
    <mergeCell ref="C5:C7"/>
    <mergeCell ref="D5:D7"/>
    <mergeCell ref="B1:E1"/>
    <mergeCell ref="A3:A4"/>
    <mergeCell ref="B3:B4"/>
    <mergeCell ref="C3:C4"/>
    <mergeCell ref="D3:D4"/>
    <mergeCell ref="A5:A7"/>
    <mergeCell ref="B5:B7"/>
    <mergeCell ref="A8:A10"/>
    <mergeCell ref="B8:B10"/>
    <mergeCell ref="C8:C10"/>
    <mergeCell ref="D8:D10"/>
    <mergeCell ref="B11:B13"/>
    <mergeCell ref="C11:C13"/>
    <mergeCell ref="D11:D13"/>
    <mergeCell ref="C16:C18"/>
    <mergeCell ref="D16:D18"/>
    <mergeCell ref="A11:A12"/>
    <mergeCell ref="A13:A15"/>
    <mergeCell ref="B14:B15"/>
    <mergeCell ref="C14:C15"/>
    <mergeCell ref="D14:D15"/>
    <mergeCell ref="A16:A18"/>
    <mergeCell ref="B16:B18"/>
    <mergeCell ref="A21:A23"/>
    <mergeCell ref="A25:A26"/>
    <mergeCell ref="B25:B26"/>
    <mergeCell ref="C25:C26"/>
    <mergeCell ref="D25:D26"/>
    <mergeCell ref="A19:A20"/>
    <mergeCell ref="B19:B20"/>
    <mergeCell ref="C19:C20"/>
    <mergeCell ref="D19:D20"/>
    <mergeCell ref="B21:B23"/>
    <mergeCell ref="C21:C23"/>
    <mergeCell ref="D21:D23"/>
  </mergeCells>
  <printOptions gridLines="1" horizontalCentered="1"/>
  <pageMargins bottom="0.75" footer="0.0" header="0.0" left="0.7" right="0.7" top="0.75"/>
  <pageSetup fitToHeight="0" cellComments="atEnd" orientation="portrait" pageOrder="overThenDown"/>
  <drawing r:id="rId1"/>
</worksheet>
</file>